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SQL Findings" sheetId="2" state="visible" r:id="rId4"/>
    <sheet name="Risk Scoring" sheetId="3" state="visible" r:id="rId5"/>
    <sheet name="Account Summary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<sst xmlns="http://schemas.openxmlformats.org/spreadsheetml/2006/main" count="13657" uniqueCount="3164">
  <si>
    <t xml:space="preserve">TransactionID</t>
  </si>
  <si>
    <t xml:space="preserve">AccountID</t>
  </si>
  <si>
    <t xml:space="preserve">DateTime</t>
  </si>
  <si>
    <t xml:space="preserve">Amount</t>
  </si>
  <si>
    <t xml:space="preserve">Currency</t>
  </si>
  <si>
    <t xml:space="preserve">Country</t>
  </si>
  <si>
    <t xml:space="preserve">MerchantCategory</t>
  </si>
  <si>
    <t xml:space="preserve">Channel</t>
  </si>
  <si>
    <t xml:space="preserve">Date</t>
  </si>
  <si>
    <t xml:space="preserve">Hour</t>
  </si>
  <si>
    <t xml:space="preserve">Weekday</t>
  </si>
  <si>
    <t xml:space="preserve">TXN501255</t>
  </si>
  <si>
    <t xml:space="preserve">ACC1055</t>
  </si>
  <si>
    <t xml:space="preserve">2026-01-01 05:29:00</t>
  </si>
  <si>
    <t xml:space="preserve">USD</t>
  </si>
  <si>
    <t xml:space="preserve">India</t>
  </si>
  <si>
    <t xml:space="preserve">Electronics</t>
  </si>
  <si>
    <t xml:space="preserve">ATM</t>
  </si>
  <si>
    <t xml:space="preserve">2026-01-01</t>
  </si>
  <si>
    <t xml:space="preserve">Thursday</t>
  </si>
  <si>
    <t xml:space="preserve">TXN500274</t>
  </si>
  <si>
    <t xml:space="preserve">ACC1012</t>
  </si>
  <si>
    <t xml:space="preserve">2026-01-01 06:09:00</t>
  </si>
  <si>
    <t xml:space="preserve">Wire Transfer</t>
  </si>
  <si>
    <t xml:space="preserve">POS</t>
  </si>
  <si>
    <t xml:space="preserve">TXN500063</t>
  </si>
  <si>
    <t xml:space="preserve">ACC1002</t>
  </si>
  <si>
    <t xml:space="preserve">2026-01-01 09:08:00</t>
  </si>
  <si>
    <t xml:space="preserve">Singapore</t>
  </si>
  <si>
    <t xml:space="preserve">Utilities</t>
  </si>
  <si>
    <t xml:space="preserve">TXN500892</t>
  </si>
  <si>
    <t xml:space="preserve">ACC1038</t>
  </si>
  <si>
    <t xml:space="preserve">2026-01-01 12:03:00</t>
  </si>
  <si>
    <t xml:space="preserve">TXN501090</t>
  </si>
  <si>
    <t xml:space="preserve">ACC1048</t>
  </si>
  <si>
    <t xml:space="preserve">2026-01-01 12:48:00</t>
  </si>
  <si>
    <t xml:space="preserve">Travel</t>
  </si>
  <si>
    <t xml:space="preserve">Online</t>
  </si>
  <si>
    <t xml:space="preserve">TXN501237</t>
  </si>
  <si>
    <t xml:space="preserve">ACC1054</t>
  </si>
  <si>
    <t xml:space="preserve">2026-01-01 13:16:00</t>
  </si>
  <si>
    <t xml:space="preserve">UAE</t>
  </si>
  <si>
    <t xml:space="preserve">Retail</t>
  </si>
  <si>
    <t xml:space="preserve">TXN501153</t>
  </si>
  <si>
    <t xml:space="preserve">ACC1050</t>
  </si>
  <si>
    <t xml:space="preserve">2026-01-01 15:18:00</t>
  </si>
  <si>
    <t xml:space="preserve">TXN501047</t>
  </si>
  <si>
    <t xml:space="preserve">ACC1045</t>
  </si>
  <si>
    <t xml:space="preserve">2026-01-01 16:34:00</t>
  </si>
  <si>
    <t xml:space="preserve">USA</t>
  </si>
  <si>
    <t xml:space="preserve">TXN500340</t>
  </si>
  <si>
    <t xml:space="preserve">ACC1015</t>
  </si>
  <si>
    <t xml:space="preserve">2026-01-01 19:01:00</t>
  </si>
  <si>
    <t xml:space="preserve">TXN500562</t>
  </si>
  <si>
    <t xml:space="preserve">ACC1024</t>
  </si>
  <si>
    <t xml:space="preserve">2026-01-01 21:21:00</t>
  </si>
  <si>
    <t xml:space="preserve">UK</t>
  </si>
  <si>
    <t xml:space="preserve">TXN500017</t>
  </si>
  <si>
    <t xml:space="preserve">ACC1000</t>
  </si>
  <si>
    <t xml:space="preserve">2026-01-01 21:56:00</t>
  </si>
  <si>
    <t xml:space="preserve">TXN501027</t>
  </si>
  <si>
    <t xml:space="preserve">ACC1044</t>
  </si>
  <si>
    <t xml:space="preserve">2026-01-01 22:05:00</t>
  </si>
  <si>
    <t xml:space="preserve">TXN501323</t>
  </si>
  <si>
    <t xml:space="preserve">ACC1057</t>
  </si>
  <si>
    <t xml:space="preserve">2026-01-02 03:01:00</t>
  </si>
  <si>
    <t xml:space="preserve">2026-01-02</t>
  </si>
  <si>
    <t xml:space="preserve">Friday</t>
  </si>
  <si>
    <t xml:space="preserve">TXN501109</t>
  </si>
  <si>
    <t xml:space="preserve">2026-01-02 05:49:00</t>
  </si>
  <si>
    <t xml:space="preserve">Dining</t>
  </si>
  <si>
    <t xml:space="preserve">TXN501116</t>
  </si>
  <si>
    <t xml:space="preserve">ACC1049</t>
  </si>
  <si>
    <t xml:space="preserve">2026-01-02 06:17:00</t>
  </si>
  <si>
    <t xml:space="preserve">TXN501062</t>
  </si>
  <si>
    <t xml:space="preserve">ACC1046</t>
  </si>
  <si>
    <t xml:space="preserve">2026-01-02 06:31:00</t>
  </si>
  <si>
    <t xml:space="preserve">TXN501104</t>
  </si>
  <si>
    <t xml:space="preserve">2026-01-02 07:09:00</t>
  </si>
  <si>
    <t xml:space="preserve">TXN500673</t>
  </si>
  <si>
    <t xml:space="preserve">ACC1029</t>
  </si>
  <si>
    <t xml:space="preserve">2026-01-02 07:30:00</t>
  </si>
  <si>
    <t xml:space="preserve">Cash Withdrawal</t>
  </si>
  <si>
    <t xml:space="preserve">TXN500229</t>
  </si>
  <si>
    <t xml:space="preserve">ACC1010</t>
  </si>
  <si>
    <t xml:space="preserve">2026-01-02 08:07:00</t>
  </si>
  <si>
    <t xml:space="preserve">Online Marketplace</t>
  </si>
  <si>
    <t xml:space="preserve">TXN500555</t>
  </si>
  <si>
    <t xml:space="preserve">2026-01-02 08:24:00</t>
  </si>
  <si>
    <t xml:space="preserve">TXN500454</t>
  </si>
  <si>
    <t xml:space="preserve">ACC1020</t>
  </si>
  <si>
    <t xml:space="preserve">2026-01-02 08:38:00</t>
  </si>
  <si>
    <t xml:space="preserve">TXN501182</t>
  </si>
  <si>
    <t xml:space="preserve">ACC1052</t>
  </si>
  <si>
    <t xml:space="preserve">2026-01-02 09:51:00</t>
  </si>
  <si>
    <t xml:space="preserve">TXN500053</t>
  </si>
  <si>
    <t xml:space="preserve">2026-01-02 11:36:00</t>
  </si>
  <si>
    <t xml:space="preserve">TXN500138</t>
  </si>
  <si>
    <t xml:space="preserve">ACC1006</t>
  </si>
  <si>
    <t xml:space="preserve">2026-01-02 12:12:00</t>
  </si>
  <si>
    <t xml:space="preserve">TXN500217</t>
  </si>
  <si>
    <t xml:space="preserve">ACC1009</t>
  </si>
  <si>
    <t xml:space="preserve">2026-01-02 13:43:00</t>
  </si>
  <si>
    <t xml:space="preserve">TXN501054</t>
  </si>
  <si>
    <t xml:space="preserve">2026-01-02 14:24:00</t>
  </si>
  <si>
    <t xml:space="preserve">TXN501361</t>
  </si>
  <si>
    <t xml:space="preserve">ACC1059</t>
  </si>
  <si>
    <t xml:space="preserve">2026-01-02 14:53:00</t>
  </si>
  <si>
    <t xml:space="preserve">TXN501029</t>
  </si>
  <si>
    <t xml:space="preserve">2026-01-02 15:04:00</t>
  </si>
  <si>
    <t xml:space="preserve">TXN500148</t>
  </si>
  <si>
    <t xml:space="preserve">2026-01-02 15:08:00</t>
  </si>
  <si>
    <t xml:space="preserve">TXN500665</t>
  </si>
  <si>
    <t xml:space="preserve">ACC1028</t>
  </si>
  <si>
    <t xml:space="preserve">2026-01-02 15:44:00</t>
  </si>
  <si>
    <t xml:space="preserve">TXN500638</t>
  </si>
  <si>
    <t xml:space="preserve">2026-01-02 15:52:00</t>
  </si>
  <si>
    <t xml:space="preserve">TXN500653</t>
  </si>
  <si>
    <t xml:space="preserve">2026-01-02 23:59:00</t>
  </si>
  <si>
    <t xml:space="preserve">TXN500409</t>
  </si>
  <si>
    <t xml:space="preserve">ACC1017</t>
  </si>
  <si>
    <t xml:space="preserve">2026-01-03 04:25:00</t>
  </si>
  <si>
    <t xml:space="preserve">2026-01-03</t>
  </si>
  <si>
    <t xml:space="preserve">Saturday</t>
  </si>
  <si>
    <t xml:space="preserve">TXN500731</t>
  </si>
  <si>
    <t xml:space="preserve">ACC1031</t>
  </si>
  <si>
    <t xml:space="preserve">2026-01-03 06:45:00</t>
  </si>
  <si>
    <t xml:space="preserve">TXN501190</t>
  </si>
  <si>
    <t xml:space="preserve">2026-01-03 08:56:00</t>
  </si>
  <si>
    <t xml:space="preserve">TXN500350</t>
  </si>
  <si>
    <t xml:space="preserve">2026-01-03 09:04:00</t>
  </si>
  <si>
    <t xml:space="preserve">TXN500749</t>
  </si>
  <si>
    <t xml:space="preserve">ACC1032</t>
  </si>
  <si>
    <t xml:space="preserve">2026-01-03 09:06:00</t>
  </si>
  <si>
    <t xml:space="preserve">TXN501068</t>
  </si>
  <si>
    <t xml:space="preserve">2026-01-03 10:22:00</t>
  </si>
  <si>
    <t xml:space="preserve">TXN500429</t>
  </si>
  <si>
    <t xml:space="preserve">ACC1019</t>
  </si>
  <si>
    <t xml:space="preserve">2026-01-03 11:26:00</t>
  </si>
  <si>
    <t xml:space="preserve">TXN500526</t>
  </si>
  <si>
    <t xml:space="preserve">ACC1023</t>
  </si>
  <si>
    <t xml:space="preserve">2026-01-03 12:17:00</t>
  </si>
  <si>
    <t xml:space="preserve">TXN500656</t>
  </si>
  <si>
    <t xml:space="preserve">2026-01-03 13:00:00</t>
  </si>
  <si>
    <t xml:space="preserve">TXN500839</t>
  </si>
  <si>
    <t xml:space="preserve">ACC1035</t>
  </si>
  <si>
    <t xml:space="preserve">2026-01-03 13:10:00</t>
  </si>
  <si>
    <t xml:space="preserve">TXN500093</t>
  </si>
  <si>
    <t xml:space="preserve">ACC1004</t>
  </si>
  <si>
    <t xml:space="preserve">2026-01-04 02:30:00</t>
  </si>
  <si>
    <t xml:space="preserve">2026-01-04</t>
  </si>
  <si>
    <t xml:space="preserve">Sunday</t>
  </si>
  <si>
    <t xml:space="preserve">TXN501318</t>
  </si>
  <si>
    <t xml:space="preserve">2026-01-04 07:44:00</t>
  </si>
  <si>
    <t xml:space="preserve">TXN500335</t>
  </si>
  <si>
    <t xml:space="preserve">ACC1014</t>
  </si>
  <si>
    <t xml:space="preserve">2026-01-04 10:25:00</t>
  </si>
  <si>
    <t xml:space="preserve">TXN500752</t>
  </si>
  <si>
    <t xml:space="preserve">2026-01-04 10:41:00</t>
  </si>
  <si>
    <t xml:space="preserve">TXN501037</t>
  </si>
  <si>
    <t xml:space="preserve">2026-01-04 11:16:00</t>
  </si>
  <si>
    <t xml:space="preserve">TXN500581</t>
  </si>
  <si>
    <t xml:space="preserve">ACC1025</t>
  </si>
  <si>
    <t xml:space="preserve">2026-01-04 11:18:00</t>
  </si>
  <si>
    <t xml:space="preserve">TXN501364</t>
  </si>
  <si>
    <t xml:space="preserve">2026-01-04 13:03:00</t>
  </si>
  <si>
    <t xml:space="preserve">TXN500811</t>
  </si>
  <si>
    <t xml:space="preserve">ACC1034</t>
  </si>
  <si>
    <t xml:space="preserve">2026-01-04 14:18:00</t>
  </si>
  <si>
    <t xml:space="preserve">TXN500075</t>
  </si>
  <si>
    <t xml:space="preserve">ACC1003</t>
  </si>
  <si>
    <t xml:space="preserve">2026-01-04 14:25:00</t>
  </si>
  <si>
    <t xml:space="preserve">TXN500590</t>
  </si>
  <si>
    <t xml:space="preserve">ACC1026</t>
  </si>
  <si>
    <t xml:space="preserve">2026-01-04 15:56:00</t>
  </si>
  <si>
    <t xml:space="preserve">TXN500649</t>
  </si>
  <si>
    <t xml:space="preserve">2026-01-04 17:42:00</t>
  </si>
  <si>
    <t xml:space="preserve">TXN501198</t>
  </si>
  <si>
    <t xml:space="preserve">2026-01-04 21:17:00</t>
  </si>
  <si>
    <t xml:space="preserve">TXN500182</t>
  </si>
  <si>
    <t xml:space="preserve">ACC1007</t>
  </si>
  <si>
    <t xml:space="preserve">2026-01-04 22:38:00</t>
  </si>
  <si>
    <t xml:space="preserve">TXN500197</t>
  </si>
  <si>
    <t xml:space="preserve">ACC1008</t>
  </si>
  <si>
    <t xml:space="preserve">2026-01-05 06:37:00</t>
  </si>
  <si>
    <t xml:space="preserve">2026-01-05</t>
  </si>
  <si>
    <t xml:space="preserve">Monday</t>
  </si>
  <si>
    <t xml:space="preserve">TXN500235</t>
  </si>
  <si>
    <t xml:space="preserve">2026-01-05 08:31:00</t>
  </si>
  <si>
    <t xml:space="preserve">TXN501157</t>
  </si>
  <si>
    <t xml:space="preserve">ACC1051</t>
  </si>
  <si>
    <t xml:space="preserve">2026-01-05 11:09:00</t>
  </si>
  <si>
    <t xml:space="preserve">TXN500613</t>
  </si>
  <si>
    <t xml:space="preserve">ACC1027</t>
  </si>
  <si>
    <t xml:space="preserve">2026-01-05 11:22:00</t>
  </si>
  <si>
    <t xml:space="preserve">TXN501278</t>
  </si>
  <si>
    <t xml:space="preserve">ACC1056</t>
  </si>
  <si>
    <t xml:space="preserve">2026-01-05 11:45:00</t>
  </si>
  <si>
    <t xml:space="preserve">TXN500769</t>
  </si>
  <si>
    <t xml:space="preserve">ACC1033</t>
  </si>
  <si>
    <t xml:space="preserve">2026-01-05 12:57:00</t>
  </si>
  <si>
    <t xml:space="preserve">TXN500203</t>
  </si>
  <si>
    <t xml:space="preserve">2026-01-05 13:15:00</t>
  </si>
  <si>
    <t xml:space="preserve">TXN501263</t>
  </si>
  <si>
    <t xml:space="preserve">2026-01-05 14:30:00</t>
  </si>
  <si>
    <t xml:space="preserve">TXN500357</t>
  </si>
  <si>
    <t xml:space="preserve">2026-01-05 16:12:00</t>
  </si>
  <si>
    <t xml:space="preserve">TXN500575</t>
  </si>
  <si>
    <t xml:space="preserve">2026-01-05 16:23:00</t>
  </si>
  <si>
    <t xml:space="preserve">TXN501025</t>
  </si>
  <si>
    <t xml:space="preserve">2026-01-05 16:32:00</t>
  </si>
  <si>
    <t xml:space="preserve">TXN500521</t>
  </si>
  <si>
    <t xml:space="preserve">2026-01-05 17:04:00</t>
  </si>
  <si>
    <t xml:space="preserve">TXN500066</t>
  </si>
  <si>
    <t xml:space="preserve">2026-01-05 17:37:00</t>
  </si>
  <si>
    <t xml:space="preserve">TXN500949</t>
  </si>
  <si>
    <t xml:space="preserve">ACC1041</t>
  </si>
  <si>
    <t xml:space="preserve">2026-01-06 00:38:00</t>
  </si>
  <si>
    <t xml:space="preserve">2026-01-06</t>
  </si>
  <si>
    <t xml:space="preserve">Tuesday</t>
  </si>
  <si>
    <t xml:space="preserve">TXN500419</t>
  </si>
  <si>
    <t xml:space="preserve">ACC1018</t>
  </si>
  <si>
    <t xml:space="preserve">2026-01-06 02:08:00</t>
  </si>
  <si>
    <t xml:space="preserve">TXN500536</t>
  </si>
  <si>
    <t xml:space="preserve">2026-01-06 07:57:00</t>
  </si>
  <si>
    <t xml:space="preserve">TXN500834</t>
  </si>
  <si>
    <t xml:space="preserve">2026-01-06 08:18:00</t>
  </si>
  <si>
    <t xml:space="preserve">TXN500932</t>
  </si>
  <si>
    <t xml:space="preserve">ACC1040</t>
  </si>
  <si>
    <t xml:space="preserve">2026-01-06 08:41:00</t>
  </si>
  <si>
    <t xml:space="preserve">TXN500441</t>
  </si>
  <si>
    <t xml:space="preserve">2026-01-06 08:45:00</t>
  </si>
  <si>
    <t xml:space="preserve">TXN500352</t>
  </si>
  <si>
    <t xml:space="preserve">2026-01-06 09:21:00</t>
  </si>
  <si>
    <t xml:space="preserve">TXN500128</t>
  </si>
  <si>
    <t xml:space="preserve">ACC1005</t>
  </si>
  <si>
    <t xml:space="preserve">2026-01-06 09:27:00</t>
  </si>
  <si>
    <t xml:space="preserve">TXN500195</t>
  </si>
  <si>
    <t xml:space="preserve">2026-01-06 09:30:00</t>
  </si>
  <si>
    <t xml:space="preserve">TXN500492</t>
  </si>
  <si>
    <t xml:space="preserve">ACC1022</t>
  </si>
  <si>
    <t xml:space="preserve">2026-01-06 10:14:00</t>
  </si>
  <si>
    <t xml:space="preserve">TXN501222</t>
  </si>
  <si>
    <t xml:space="preserve">2026-01-06 12:33:00</t>
  </si>
  <si>
    <t xml:space="preserve">TXN500850</t>
  </si>
  <si>
    <t xml:space="preserve">ACC1036</t>
  </si>
  <si>
    <t xml:space="preserve">2026-01-06 12:58:00</t>
  </si>
  <si>
    <t xml:space="preserve">TXN500253</t>
  </si>
  <si>
    <t xml:space="preserve">2026-01-06 15:58:00</t>
  </si>
  <si>
    <t xml:space="preserve">TXN500395</t>
  </si>
  <si>
    <t xml:space="preserve">2026-01-06 17:01:00</t>
  </si>
  <si>
    <t xml:space="preserve">TXN500537</t>
  </si>
  <si>
    <t xml:space="preserve">2026-01-06 20:43:00</t>
  </si>
  <si>
    <t xml:space="preserve">TXN500657</t>
  </si>
  <si>
    <t xml:space="preserve">2026-01-06 20:50:00</t>
  </si>
  <si>
    <t xml:space="preserve">TXN500689</t>
  </si>
  <si>
    <t xml:space="preserve">2026-01-06 20:57:00</t>
  </si>
  <si>
    <t xml:space="preserve">TXN500709</t>
  </si>
  <si>
    <t xml:space="preserve">ACC1030</t>
  </si>
  <si>
    <t xml:space="preserve">2026-01-06 21:03:00</t>
  </si>
  <si>
    <t xml:space="preserve">TXN500855</t>
  </si>
  <si>
    <t xml:space="preserve">2026-01-07 04:11:00</t>
  </si>
  <si>
    <t xml:space="preserve">2026-01-07</t>
  </si>
  <si>
    <t xml:space="preserve">Wednesday</t>
  </si>
  <si>
    <t xml:space="preserve">TXN500062</t>
  </si>
  <si>
    <t xml:space="preserve">2026-01-07 04:27:00</t>
  </si>
  <si>
    <t xml:space="preserve">TXN500179</t>
  </si>
  <si>
    <t xml:space="preserve">2026-01-07 07:23:00</t>
  </si>
  <si>
    <t xml:space="preserve">TXN501181</t>
  </si>
  <si>
    <t xml:space="preserve">2026-01-07 07:39:00</t>
  </si>
  <si>
    <t xml:space="preserve">TXN500116</t>
  </si>
  <si>
    <t xml:space="preserve">2026-01-07 08:20:00</t>
  </si>
  <si>
    <t xml:space="preserve">TXN501235</t>
  </si>
  <si>
    <t xml:space="preserve">2026-01-07 10:19:00</t>
  </si>
  <si>
    <t xml:space="preserve">TXN501460</t>
  </si>
  <si>
    <t xml:space="preserve">2026-01-07 12:00:00</t>
  </si>
  <si>
    <t xml:space="preserve">Wire</t>
  </si>
  <si>
    <t xml:space="preserve">TXN500149</t>
  </si>
  <si>
    <t xml:space="preserve">2026-01-07 12:44:00</t>
  </si>
  <si>
    <t xml:space="preserve">TXN500414</t>
  </si>
  <si>
    <t xml:space="preserve">2026-01-07 13:12:00</t>
  </si>
  <si>
    <t xml:space="preserve">TXN501168</t>
  </si>
  <si>
    <t xml:space="preserve">2026-01-07 14:25:00</t>
  </si>
  <si>
    <t xml:space="preserve">TXN500445</t>
  </si>
  <si>
    <t xml:space="preserve">2026-01-07 14:33:00</t>
  </si>
  <si>
    <t xml:space="preserve">TXN500035</t>
  </si>
  <si>
    <t xml:space="preserve">ACC1001</t>
  </si>
  <si>
    <t xml:space="preserve">2026-01-07 14:41:00</t>
  </si>
  <si>
    <t xml:space="preserve">TXN500842</t>
  </si>
  <si>
    <t xml:space="preserve">2026-01-07 15:26:00</t>
  </si>
  <si>
    <t xml:space="preserve">TXN500921</t>
  </si>
  <si>
    <t xml:space="preserve">ACC1039</t>
  </si>
  <si>
    <t xml:space="preserve">2026-01-07 16:40:00</t>
  </si>
  <si>
    <t xml:space="preserve">TXN501466</t>
  </si>
  <si>
    <t xml:space="preserve">2026-01-07 17:00:00</t>
  </si>
  <si>
    <t xml:space="preserve">TXN500012</t>
  </si>
  <si>
    <t xml:space="preserve">2026-01-07 17:09:00</t>
  </si>
  <si>
    <t xml:space="preserve">TXN500358</t>
  </si>
  <si>
    <t xml:space="preserve">2026-01-07 17:21:00</t>
  </si>
  <si>
    <t xml:space="preserve">TXN500820</t>
  </si>
  <si>
    <t xml:space="preserve">2026-01-07 17:37:00</t>
  </si>
  <si>
    <t xml:space="preserve">TXN501336</t>
  </si>
  <si>
    <t xml:space="preserve">ACC1058</t>
  </si>
  <si>
    <t xml:space="preserve">2026-01-07 19:34:00</t>
  </si>
  <si>
    <t xml:space="preserve">TXN500792</t>
  </si>
  <si>
    <t xml:space="preserve">2026-01-07 20:45:00</t>
  </si>
  <si>
    <t xml:space="preserve">TXN500267</t>
  </si>
  <si>
    <t xml:space="preserve">ACC1011</t>
  </si>
  <si>
    <t xml:space="preserve">2026-01-07 22:38:00</t>
  </si>
  <si>
    <t xml:space="preserve">TXN500826</t>
  </si>
  <si>
    <t xml:space="preserve">2026-01-08 00:17:00</t>
  </si>
  <si>
    <t xml:space="preserve">2026-01-08</t>
  </si>
  <si>
    <t xml:space="preserve">TXN500284</t>
  </si>
  <si>
    <t xml:space="preserve">2026-01-08 00:19:00</t>
  </si>
  <si>
    <t xml:space="preserve">TXN501120</t>
  </si>
  <si>
    <t xml:space="preserve">2026-01-08 02:41:00</t>
  </si>
  <si>
    <t xml:space="preserve">TXN500400</t>
  </si>
  <si>
    <t xml:space="preserve">2026-01-08 06:26:00</t>
  </si>
  <si>
    <t xml:space="preserve">TXN500764</t>
  </si>
  <si>
    <t xml:space="preserve">2026-01-08 06:44:00</t>
  </si>
  <si>
    <t xml:space="preserve">TXN500304</t>
  </si>
  <si>
    <t xml:space="preserve">ACC1013</t>
  </si>
  <si>
    <t xml:space="preserve">2026-01-08 09:18:00</t>
  </si>
  <si>
    <t xml:space="preserve">TXN500524</t>
  </si>
  <si>
    <t xml:space="preserve">2026-01-08 13:42:00</t>
  </si>
  <si>
    <t xml:space="preserve">TXN500431</t>
  </si>
  <si>
    <t xml:space="preserve">2026-01-08 15:33:00</t>
  </si>
  <si>
    <t xml:space="preserve">TXN500722</t>
  </si>
  <si>
    <t xml:space="preserve">2026-01-08 16:14:00</t>
  </si>
  <si>
    <t xml:space="preserve">TXN501141</t>
  </si>
  <si>
    <t xml:space="preserve">2026-01-08 17:17:00</t>
  </si>
  <si>
    <t xml:space="preserve">TXN500480</t>
  </si>
  <si>
    <t xml:space="preserve">ACC1021</t>
  </si>
  <si>
    <t xml:space="preserve">2026-01-08 20:04:00</t>
  </si>
  <si>
    <t xml:space="preserve">TXN501163</t>
  </si>
  <si>
    <t xml:space="preserve">2026-01-08 20:21:00</t>
  </si>
  <si>
    <t xml:space="preserve">TXN500688</t>
  </si>
  <si>
    <t xml:space="preserve">2026-01-08 22:09:00</t>
  </si>
  <si>
    <t xml:space="preserve">TXN500490</t>
  </si>
  <si>
    <t xml:space="preserve">2026-01-09 04:02:00</t>
  </si>
  <si>
    <t xml:space="preserve">2026-01-09</t>
  </si>
  <si>
    <t xml:space="preserve">TXN500773</t>
  </si>
  <si>
    <t xml:space="preserve">2026-01-09 04:35:00</t>
  </si>
  <si>
    <t xml:space="preserve">TXN501217</t>
  </si>
  <si>
    <t xml:space="preserve">ACC1053</t>
  </si>
  <si>
    <t xml:space="preserve">2026-01-09 06:28:00</t>
  </si>
  <si>
    <t xml:space="preserve">TXN500707</t>
  </si>
  <si>
    <t xml:space="preserve">2026-01-09 07:41:00</t>
  </si>
  <si>
    <t xml:space="preserve">TXN500955</t>
  </si>
  <si>
    <t xml:space="preserve">2026-01-09 08:12:00</t>
  </si>
  <si>
    <t xml:space="preserve">TXN501206</t>
  </si>
  <si>
    <t xml:space="preserve">2026-01-09 12:46:00</t>
  </si>
  <si>
    <t xml:space="preserve">TXN500047</t>
  </si>
  <si>
    <t xml:space="preserve">2026-01-09 13:43:00</t>
  </si>
  <si>
    <t xml:space="preserve">TXN500354</t>
  </si>
  <si>
    <t xml:space="preserve">2026-01-09 15:29:00</t>
  </si>
  <si>
    <t xml:space="preserve">TXN500055</t>
  </si>
  <si>
    <t xml:space="preserve">2026-01-09 18:23:00</t>
  </si>
  <si>
    <t xml:space="preserve">TXN500076</t>
  </si>
  <si>
    <t xml:space="preserve">2026-01-09 22:17:00</t>
  </si>
  <si>
    <t xml:space="preserve">TXN500023</t>
  </si>
  <si>
    <t xml:space="preserve">2026-01-09 22:34:00</t>
  </si>
  <si>
    <t xml:space="preserve">TXN500479</t>
  </si>
  <si>
    <t xml:space="preserve">2026-01-10 02:22:00</t>
  </si>
  <si>
    <t xml:space="preserve">2026-01-10</t>
  </si>
  <si>
    <t xml:space="preserve">TXN500637</t>
  </si>
  <si>
    <t xml:space="preserve">2026-01-10 06:14:00</t>
  </si>
  <si>
    <t xml:space="preserve">TXN500160</t>
  </si>
  <si>
    <t xml:space="preserve">2026-01-10 06:26:00</t>
  </si>
  <si>
    <t xml:space="preserve">TXN500299</t>
  </si>
  <si>
    <t xml:space="preserve">2026-01-10 06:49:00</t>
  </si>
  <si>
    <t xml:space="preserve">TXN500741</t>
  </si>
  <si>
    <t xml:space="preserve">2026-01-10 07:20:00</t>
  </si>
  <si>
    <t xml:space="preserve">TXN501175</t>
  </si>
  <si>
    <t xml:space="preserve">2026-01-10 08:27:00</t>
  </si>
  <si>
    <t xml:space="preserve">TXN500943</t>
  </si>
  <si>
    <t xml:space="preserve">2026-01-10 09:32:00</t>
  </si>
  <si>
    <t xml:space="preserve">TXN500573</t>
  </si>
  <si>
    <t xml:space="preserve">2026-01-10 11:38:00</t>
  </si>
  <si>
    <t xml:space="preserve">TXN500031</t>
  </si>
  <si>
    <t xml:space="preserve">2026-01-10 12:17:00</t>
  </si>
  <si>
    <t xml:space="preserve">TXN500153</t>
  </si>
  <si>
    <t xml:space="preserve">2026-01-10 13:43:00</t>
  </si>
  <si>
    <t xml:space="preserve">TXN501368</t>
  </si>
  <si>
    <t xml:space="preserve">2026-01-10 14:59:00</t>
  </si>
  <si>
    <t xml:space="preserve">TXN500937</t>
  </si>
  <si>
    <t xml:space="preserve">2026-01-10 15:09:00</t>
  </si>
  <si>
    <t xml:space="preserve">TXN501160</t>
  </si>
  <si>
    <t xml:space="preserve">2026-01-10 15:50:00</t>
  </si>
  <si>
    <t xml:space="preserve">TXN501142</t>
  </si>
  <si>
    <t xml:space="preserve">2026-01-10 17:04:00</t>
  </si>
  <si>
    <t xml:space="preserve">TXN500065</t>
  </si>
  <si>
    <t xml:space="preserve">2026-01-10 21:44:00</t>
  </si>
  <si>
    <t xml:space="preserve">TXN501080</t>
  </si>
  <si>
    <t xml:space="preserve">ACC1047</t>
  </si>
  <si>
    <t xml:space="preserve">2026-01-11 04:39:00</t>
  </si>
  <si>
    <t xml:space="preserve">2026-01-11</t>
  </si>
  <si>
    <t xml:space="preserve">TXN501073</t>
  </si>
  <si>
    <t xml:space="preserve">2026-01-11 06:14:00</t>
  </si>
  <si>
    <t xml:space="preserve">TXN500105</t>
  </si>
  <si>
    <t xml:space="preserve">TXN501332</t>
  </si>
  <si>
    <t xml:space="preserve">2026-01-11 06:46:00</t>
  </si>
  <si>
    <t xml:space="preserve">TXN501456</t>
  </si>
  <si>
    <t xml:space="preserve">2026-01-11 08:00:00</t>
  </si>
  <si>
    <t xml:space="preserve">TXN500317</t>
  </si>
  <si>
    <t xml:space="preserve">2026-01-11 08:24:00</t>
  </si>
  <si>
    <t xml:space="preserve">TXN500660</t>
  </si>
  <si>
    <t xml:space="preserve">2026-01-11 08:32:00</t>
  </si>
  <si>
    <t xml:space="preserve">TXN501457</t>
  </si>
  <si>
    <t xml:space="preserve">2026-01-11 10:00:00</t>
  </si>
  <si>
    <t xml:space="preserve">Germany</t>
  </si>
  <si>
    <t xml:space="preserve">TXN501172</t>
  </si>
  <si>
    <t xml:space="preserve">2026-01-11 10:27:00</t>
  </si>
  <si>
    <t xml:space="preserve">TXN500309</t>
  </si>
  <si>
    <t xml:space="preserve">2026-01-11 12:11:00</t>
  </si>
  <si>
    <t xml:space="preserve">TXN500542</t>
  </si>
  <si>
    <t xml:space="preserve">2026-01-11 12:22:00</t>
  </si>
  <si>
    <t xml:space="preserve">TXN500315</t>
  </si>
  <si>
    <t xml:space="preserve">2026-01-11 13:09:00</t>
  </si>
  <si>
    <t xml:space="preserve">TXN500532</t>
  </si>
  <si>
    <t xml:space="preserve">2026-01-11 14:54:00</t>
  </si>
  <si>
    <t xml:space="preserve">TXN501348</t>
  </si>
  <si>
    <t xml:space="preserve">2026-01-11 22:38:00</t>
  </si>
  <si>
    <t xml:space="preserve">TXN501244</t>
  </si>
  <si>
    <t xml:space="preserve">2026-01-12 02:26:00</t>
  </si>
  <si>
    <t xml:space="preserve">2026-01-12</t>
  </si>
  <si>
    <t xml:space="preserve">TXN500141</t>
  </si>
  <si>
    <t xml:space="preserve">2026-01-12 08:25:00</t>
  </si>
  <si>
    <t xml:space="preserve">TXN501229</t>
  </si>
  <si>
    <t xml:space="preserve">2026-01-12 08:44:00</t>
  </si>
  <si>
    <t xml:space="preserve">TXN500177</t>
  </si>
  <si>
    <t xml:space="preserve">2026-01-12 09:20:00</t>
  </si>
  <si>
    <t xml:space="preserve">TXN500751</t>
  </si>
  <si>
    <t xml:space="preserve">2026-01-12 09:39:00</t>
  </si>
  <si>
    <t xml:space="preserve">TXN500204</t>
  </si>
  <si>
    <t xml:space="preserve">2026-01-12 10:06:00</t>
  </si>
  <si>
    <t xml:space="preserve">TXN500305</t>
  </si>
  <si>
    <t xml:space="preserve">2026-01-12 13:32:00</t>
  </si>
  <si>
    <t xml:space="preserve">TXN500633</t>
  </si>
  <si>
    <t xml:space="preserve">2026-01-12 14:16:00</t>
  </si>
  <si>
    <t xml:space="preserve">TXN500640</t>
  </si>
  <si>
    <t xml:space="preserve">2026-01-12 15:06:00</t>
  </si>
  <si>
    <t xml:space="preserve">TXN500853</t>
  </si>
  <si>
    <t xml:space="preserve">2026-01-12 16:04:00</t>
  </si>
  <si>
    <t xml:space="preserve">TXN500742</t>
  </si>
  <si>
    <t xml:space="preserve">2026-01-12 17:42:00</t>
  </si>
  <si>
    <t xml:space="preserve">TXN500708</t>
  </si>
  <si>
    <t xml:space="preserve">2026-01-12 19:53:00</t>
  </si>
  <si>
    <t xml:space="preserve">TXN500852</t>
  </si>
  <si>
    <t xml:space="preserve">TXN500334</t>
  </si>
  <si>
    <t xml:space="preserve">2026-01-12 21:14:00</t>
  </si>
  <si>
    <t xml:space="preserve">TXN501143</t>
  </si>
  <si>
    <t xml:space="preserve">2026-01-13 04:14:00</t>
  </si>
  <si>
    <t xml:space="preserve">2026-01-13</t>
  </si>
  <si>
    <t xml:space="preserve">TXN500646</t>
  </si>
  <si>
    <t xml:space="preserve">2026-01-13 06:07:00</t>
  </si>
  <si>
    <t xml:space="preserve">TXN500721</t>
  </si>
  <si>
    <t xml:space="preserve">2026-01-13 07:15:00</t>
  </si>
  <si>
    <t xml:space="preserve">TXN501358</t>
  </si>
  <si>
    <t xml:space="preserve">2026-01-13 08:37:00</t>
  </si>
  <si>
    <t xml:space="preserve">TXN500001</t>
  </si>
  <si>
    <t xml:space="preserve">2026-01-13 10:29:00</t>
  </si>
  <si>
    <t xml:space="preserve">TXN500417</t>
  </si>
  <si>
    <t xml:space="preserve">2026-01-13 10:50:00</t>
  </si>
  <si>
    <t xml:space="preserve">TXN501134</t>
  </si>
  <si>
    <t xml:space="preserve">2026-01-13 12:04:00</t>
  </si>
  <si>
    <t xml:space="preserve">TXN501111</t>
  </si>
  <si>
    <t xml:space="preserve">2026-01-13 12:13:00</t>
  </si>
  <si>
    <t xml:space="preserve">TXN500691</t>
  </si>
  <si>
    <t xml:space="preserve">2026-01-13 12:40:00</t>
  </si>
  <si>
    <t xml:space="preserve">TXN501065</t>
  </si>
  <si>
    <t xml:space="preserve">2026-01-13 15:03:00</t>
  </si>
  <si>
    <t xml:space="preserve">TXN500337</t>
  </si>
  <si>
    <t xml:space="preserve">2026-01-13 17:41:00</t>
  </si>
  <si>
    <t xml:space="preserve">TXN500857</t>
  </si>
  <si>
    <t xml:space="preserve">ACC1037</t>
  </si>
  <si>
    <t xml:space="preserve">2026-01-13 17:56:00</t>
  </si>
  <si>
    <t xml:space="preserve">TXN500221</t>
  </si>
  <si>
    <t xml:space="preserve">2026-01-13 19:41:00</t>
  </si>
  <si>
    <t xml:space="preserve">TXN500158</t>
  </si>
  <si>
    <t xml:space="preserve">2026-01-13 21:13:00</t>
  </si>
  <si>
    <t xml:space="preserve">TXN500241</t>
  </si>
  <si>
    <t xml:space="preserve">2026-01-13 23:23:00</t>
  </si>
  <si>
    <t xml:space="preserve">TXN500805</t>
  </si>
  <si>
    <t xml:space="preserve">2026-01-14 00:42:00</t>
  </si>
  <si>
    <t xml:space="preserve">2026-01-14</t>
  </si>
  <si>
    <t xml:space="preserve">TXN500363</t>
  </si>
  <si>
    <t xml:space="preserve">ACC1016</t>
  </si>
  <si>
    <t xml:space="preserve">2026-01-14 03:42:00</t>
  </si>
  <si>
    <t xml:space="preserve">TXN501046</t>
  </si>
  <si>
    <t xml:space="preserve">2026-01-14 05:05:00</t>
  </si>
  <si>
    <t xml:space="preserve">TXN501210</t>
  </si>
  <si>
    <t xml:space="preserve">2026-01-14 06:01:00</t>
  </si>
  <si>
    <t xml:space="preserve">TXN500696</t>
  </si>
  <si>
    <t xml:space="preserve">2026-01-14 06:29:00</t>
  </si>
  <si>
    <t xml:space="preserve">TXN500964</t>
  </si>
  <si>
    <t xml:space="preserve">ACC1042</t>
  </si>
  <si>
    <t xml:space="preserve">2026-01-14 06:38:00</t>
  </si>
  <si>
    <t xml:space="preserve">TXN501010</t>
  </si>
  <si>
    <t xml:space="preserve">2026-01-14 06:41:00</t>
  </si>
  <si>
    <t xml:space="preserve">TXN501103</t>
  </si>
  <si>
    <t xml:space="preserve">2026-01-14 08:08:00</t>
  </si>
  <si>
    <t xml:space="preserve">TXN501300</t>
  </si>
  <si>
    <t xml:space="preserve">2026-01-14 09:41:00</t>
  </si>
  <si>
    <t xml:space="preserve">TXN500130</t>
  </si>
  <si>
    <t xml:space="preserve">2026-01-14 10:23:00</t>
  </si>
  <si>
    <t xml:space="preserve">TXN500412</t>
  </si>
  <si>
    <t xml:space="preserve">2026-01-14 10:56:00</t>
  </si>
  <si>
    <t xml:space="preserve">TXN500807</t>
  </si>
  <si>
    <t xml:space="preserve">2026-01-14 11:21:00</t>
  </si>
  <si>
    <t xml:space="preserve">TXN501221</t>
  </si>
  <si>
    <t xml:space="preserve">2026-01-14 11:52:00</t>
  </si>
  <si>
    <t xml:space="preserve">TXN501033</t>
  </si>
  <si>
    <t xml:space="preserve">2026-01-14 12:32:00</t>
  </si>
  <si>
    <t xml:space="preserve">TXN500268</t>
  </si>
  <si>
    <t xml:space="preserve">2026-01-14 13:13:00</t>
  </si>
  <si>
    <t xml:space="preserve">TXN500444</t>
  </si>
  <si>
    <t xml:space="preserve">2026-01-14 13:37:00</t>
  </si>
  <si>
    <t xml:space="preserve">TXN501308</t>
  </si>
  <si>
    <t xml:space="preserve">2026-01-14 14:38:00</t>
  </si>
  <si>
    <t xml:space="preserve">TXN500059</t>
  </si>
  <si>
    <t xml:space="preserve">2026-01-14 15:09:00</t>
  </si>
  <si>
    <t xml:space="preserve">TXN500593</t>
  </si>
  <si>
    <t xml:space="preserve">2026-01-14 16:34:00</t>
  </si>
  <si>
    <t xml:space="preserve">TXN500175</t>
  </si>
  <si>
    <t xml:space="preserve">2026-01-14 17:21:00</t>
  </si>
  <si>
    <t xml:space="preserve">TXN500528</t>
  </si>
  <si>
    <t xml:space="preserve">2026-01-14 20:33:00</t>
  </si>
  <si>
    <t xml:space="preserve">TXN500058</t>
  </si>
  <si>
    <t xml:space="preserve">2026-01-14 21:08:00</t>
  </si>
  <si>
    <t xml:space="preserve">TXN501284</t>
  </si>
  <si>
    <t xml:space="preserve">2026-01-15 00:39:00</t>
  </si>
  <si>
    <t xml:space="preserve">2026-01-15</t>
  </si>
  <si>
    <t xml:space="preserve">TXN500586</t>
  </si>
  <si>
    <t xml:space="preserve">2026-01-15 01:21:00</t>
  </si>
  <si>
    <t xml:space="preserve">TXN500472</t>
  </si>
  <si>
    <t xml:space="preserve">2026-01-15 02:35:00</t>
  </si>
  <si>
    <t xml:space="preserve">TXN500953</t>
  </si>
  <si>
    <t xml:space="preserve">2026-01-15 06:51:00</t>
  </si>
  <si>
    <t xml:space="preserve">TXN501468</t>
  </si>
  <si>
    <t xml:space="preserve">2026-01-15 10:00:00</t>
  </si>
  <si>
    <t xml:space="preserve">TXN500291</t>
  </si>
  <si>
    <t xml:space="preserve">2026-01-15 10:20:00</t>
  </si>
  <si>
    <t xml:space="preserve">TXN500164</t>
  </si>
  <si>
    <t xml:space="preserve">2026-01-15 12:41:00</t>
  </si>
  <si>
    <t xml:space="preserve">TXN501345</t>
  </si>
  <si>
    <t xml:space="preserve">2026-01-15 13:58:00</t>
  </si>
  <si>
    <t xml:space="preserve">TXN500248</t>
  </si>
  <si>
    <t xml:space="preserve">2026-01-15 14:01:00</t>
  </si>
  <si>
    <t xml:space="preserve">TXN501260</t>
  </si>
  <si>
    <t xml:space="preserve">2026-01-15 14:21:00</t>
  </si>
  <si>
    <t xml:space="preserve">TXN500927</t>
  </si>
  <si>
    <t xml:space="preserve">2026-01-15 14:28:00</t>
  </si>
  <si>
    <t xml:space="preserve">TXN500015</t>
  </si>
  <si>
    <t xml:space="preserve">2026-01-15 14:34:00</t>
  </si>
  <si>
    <t xml:space="preserve">TXN501100</t>
  </si>
  <si>
    <t xml:space="preserve">2026-01-15 14:39:00</t>
  </si>
  <si>
    <t xml:space="preserve">TXN500251</t>
  </si>
  <si>
    <t xml:space="preserve">2026-01-15 15:30:00</t>
  </si>
  <si>
    <t xml:space="preserve">TXN501034</t>
  </si>
  <si>
    <t xml:space="preserve">2026-01-15 16:16:00</t>
  </si>
  <si>
    <t xml:space="preserve">TXN500902</t>
  </si>
  <si>
    <t xml:space="preserve">2026-01-15 16:35:00</t>
  </si>
  <si>
    <t xml:space="preserve">TXN500344</t>
  </si>
  <si>
    <t xml:space="preserve">2026-01-15 17:31:00</t>
  </si>
  <si>
    <t xml:space="preserve">TXN500582</t>
  </si>
  <si>
    <t xml:space="preserve">2026-01-15 17:46:00</t>
  </si>
  <si>
    <t xml:space="preserve">TXN500078</t>
  </si>
  <si>
    <t xml:space="preserve">2026-01-15 18:16:00</t>
  </si>
  <si>
    <t xml:space="preserve">TXN500568</t>
  </si>
  <si>
    <t xml:space="preserve">2026-01-15 20:12:00</t>
  </si>
  <si>
    <t xml:space="preserve">TXN500704</t>
  </si>
  <si>
    <t xml:space="preserve">2026-01-16 00:53:00</t>
  </si>
  <si>
    <t xml:space="preserve">2026-01-16</t>
  </si>
  <si>
    <t xml:space="preserve">TXN501230</t>
  </si>
  <si>
    <t xml:space="preserve">2026-01-16 04:45:00</t>
  </si>
  <si>
    <t xml:space="preserve">TXN500266</t>
  </si>
  <si>
    <t xml:space="preserve">2026-01-16 10:55:00</t>
  </si>
  <si>
    <t xml:space="preserve">TXN500155</t>
  </si>
  <si>
    <t xml:space="preserve">2026-01-16 12:26:00</t>
  </si>
  <si>
    <t xml:space="preserve">TXN500843</t>
  </si>
  <si>
    <t xml:space="preserve">2026-01-16 12:30:00</t>
  </si>
  <si>
    <t xml:space="preserve">TXN500697</t>
  </si>
  <si>
    <t xml:space="preserve">2026-01-16 12:49:00</t>
  </si>
  <si>
    <t xml:space="preserve">TXN500439</t>
  </si>
  <si>
    <t xml:space="preserve">2026-01-16 13:34:00</t>
  </si>
  <si>
    <t xml:space="preserve">TXN501400</t>
  </si>
  <si>
    <t xml:space="preserve">2026-01-16 14:00:00</t>
  </si>
  <si>
    <t xml:space="preserve">TXN501401</t>
  </si>
  <si>
    <t xml:space="preserve">2026-01-16 14:05:00</t>
  </si>
  <si>
    <t xml:space="preserve">TXN500185</t>
  </si>
  <si>
    <t xml:space="preserve">2026-01-16 14:09:00</t>
  </si>
  <si>
    <t xml:space="preserve">TXN501402</t>
  </si>
  <si>
    <t xml:space="preserve">2026-01-16 14:10:00</t>
  </si>
  <si>
    <t xml:space="preserve">TXN501403</t>
  </si>
  <si>
    <t xml:space="preserve">2026-01-16 14:15:00</t>
  </si>
  <si>
    <t xml:space="preserve">TXN500794</t>
  </si>
  <si>
    <t xml:space="preserve">TXN500466</t>
  </si>
  <si>
    <t xml:space="preserve">2026-01-16 14:18:00</t>
  </si>
  <si>
    <t xml:space="preserve">TXN501404</t>
  </si>
  <si>
    <t xml:space="preserve">2026-01-16 14:20:00</t>
  </si>
  <si>
    <t xml:space="preserve">TXN501405</t>
  </si>
  <si>
    <t xml:space="preserve">2026-01-16 14:25:00</t>
  </si>
  <si>
    <t xml:space="preserve">TXN501406</t>
  </si>
  <si>
    <t xml:space="preserve">2026-01-16 14:30:00</t>
  </si>
  <si>
    <t xml:space="preserve">TXN501407</t>
  </si>
  <si>
    <t xml:space="preserve">2026-01-16 14:35:00</t>
  </si>
  <si>
    <t xml:space="preserve">TXN501408</t>
  </si>
  <si>
    <t xml:space="preserve">2026-01-16 14:40:00</t>
  </si>
  <si>
    <t xml:space="preserve">TXN501409</t>
  </si>
  <si>
    <t xml:space="preserve">2026-01-16 14:45:00</t>
  </si>
  <si>
    <t xml:space="preserve">TXN501053</t>
  </si>
  <si>
    <t xml:space="preserve">2026-01-16 15:29:00</t>
  </si>
  <si>
    <t xml:space="preserve">TXN500145</t>
  </si>
  <si>
    <t xml:space="preserve">2026-01-16 15:48:00</t>
  </si>
  <si>
    <t xml:space="preserve">TXN500668</t>
  </si>
  <si>
    <t xml:space="preserve">2026-01-16 16:01:00</t>
  </si>
  <si>
    <t xml:space="preserve">TXN500614</t>
  </si>
  <si>
    <t xml:space="preserve">2026-01-16 16:15:00</t>
  </si>
  <si>
    <t xml:space="preserve">TXN500048</t>
  </si>
  <si>
    <t xml:space="preserve">2026-01-16 21:36:00</t>
  </si>
  <si>
    <t xml:space="preserve">TXN501288</t>
  </si>
  <si>
    <t xml:space="preserve">2026-01-17 01:57:00</t>
  </si>
  <si>
    <t xml:space="preserve">2026-01-17</t>
  </si>
  <si>
    <t xml:space="preserve">TXN500771</t>
  </si>
  <si>
    <t xml:space="preserve">2026-01-17 02:05:00</t>
  </si>
  <si>
    <t xml:space="preserve">TXN500067</t>
  </si>
  <si>
    <t xml:space="preserve">2026-01-17 02:23:00</t>
  </si>
  <si>
    <t xml:space="preserve">TXN500369</t>
  </si>
  <si>
    <t xml:space="preserve">2026-01-17 03:49:00</t>
  </si>
  <si>
    <t xml:space="preserve">TXN500552</t>
  </si>
  <si>
    <t xml:space="preserve">2026-01-17 04:27:00</t>
  </si>
  <si>
    <t xml:space="preserve">TXN501293</t>
  </si>
  <si>
    <t xml:space="preserve">2026-01-17 04:51:00</t>
  </si>
  <si>
    <t xml:space="preserve">TXN500620</t>
  </si>
  <si>
    <t xml:space="preserve">2026-01-17 07:45:00</t>
  </si>
  <si>
    <t xml:space="preserve">TXN501366</t>
  </si>
  <si>
    <t xml:space="preserve">2026-01-17 10:48:00</t>
  </si>
  <si>
    <t xml:space="preserve">TXN500121</t>
  </si>
  <si>
    <t xml:space="preserve">2026-01-17 11:07:00</t>
  </si>
  <si>
    <t xml:space="preserve">TXN500866</t>
  </si>
  <si>
    <t xml:space="preserve">2026-01-17 11:31:00</t>
  </si>
  <si>
    <t xml:space="preserve">TXN501344</t>
  </si>
  <si>
    <t xml:space="preserve">2026-01-17 13:17:00</t>
  </si>
  <si>
    <t xml:space="preserve">TXN500052</t>
  </si>
  <si>
    <t xml:space="preserve">2026-01-17 14:19:00</t>
  </si>
  <si>
    <t xml:space="preserve">TXN500801</t>
  </si>
  <si>
    <t xml:space="preserve">2026-01-17 14:38:00</t>
  </si>
  <si>
    <t xml:space="preserve">TXN500485</t>
  </si>
  <si>
    <t xml:space="preserve">2026-01-17 15:14:00</t>
  </si>
  <si>
    <t xml:space="preserve">TXN500667</t>
  </si>
  <si>
    <t xml:space="preserve">2026-01-17 15:55:00</t>
  </si>
  <si>
    <t xml:space="preserve">TXN500403</t>
  </si>
  <si>
    <t xml:space="preserve">2026-01-17 16:32:00</t>
  </si>
  <si>
    <t xml:space="preserve">TXN500224</t>
  </si>
  <si>
    <t xml:space="preserve">2026-01-17 16:56:00</t>
  </si>
  <si>
    <t xml:space="preserve">TXN500632</t>
  </si>
  <si>
    <t xml:space="preserve">2026-01-17 18:19:00</t>
  </si>
  <si>
    <t xml:space="preserve">TXN501001</t>
  </si>
  <si>
    <t xml:space="preserve">ACC1043</t>
  </si>
  <si>
    <t xml:space="preserve">2026-01-17 19:34:00</t>
  </si>
  <si>
    <t xml:space="preserve">TXN500181</t>
  </si>
  <si>
    <t xml:space="preserve">2026-01-17 20:28:00</t>
  </si>
  <si>
    <t xml:space="preserve">TXN500901</t>
  </si>
  <si>
    <t xml:space="preserve">2026-01-17 23:41:00</t>
  </si>
  <si>
    <t xml:space="preserve">TXN500338</t>
  </si>
  <si>
    <t xml:space="preserve">2026-01-18 01:58:00</t>
  </si>
  <si>
    <t xml:space="preserve">2026-01-18</t>
  </si>
  <si>
    <t xml:space="preserve">TXN501124</t>
  </si>
  <si>
    <t xml:space="preserve">2026-01-18 08:02:00</t>
  </si>
  <si>
    <t xml:space="preserve">TXN500785</t>
  </si>
  <si>
    <t xml:space="preserve">2026-01-18 08:47:00</t>
  </si>
  <si>
    <t xml:space="preserve">TXN501005</t>
  </si>
  <si>
    <t xml:space="preserve">2026-01-18 08:49:00</t>
  </si>
  <si>
    <t xml:space="preserve">TXN500599</t>
  </si>
  <si>
    <t xml:space="preserve">2026-01-18 09:15:00</t>
  </si>
  <si>
    <t xml:space="preserve">TXN500836</t>
  </si>
  <si>
    <t xml:space="preserve">2026-01-18 09:57:00</t>
  </si>
  <si>
    <t xml:space="preserve">TXN500898</t>
  </si>
  <si>
    <t xml:space="preserve">2026-01-18 10:44:00</t>
  </si>
  <si>
    <t xml:space="preserve">TXN500973</t>
  </si>
  <si>
    <t xml:space="preserve">2026-01-18 11:11:00</t>
  </si>
  <si>
    <t xml:space="preserve">TXN500983</t>
  </si>
  <si>
    <t xml:space="preserve">2026-01-18 11:14:00</t>
  </si>
  <si>
    <t xml:space="preserve">TXN500461</t>
  </si>
  <si>
    <t xml:space="preserve">2026-01-18 11:59:00</t>
  </si>
  <si>
    <t xml:space="preserve">TXN500493</t>
  </si>
  <si>
    <t xml:space="preserve">2026-01-18 12:18:00</t>
  </si>
  <si>
    <t xml:space="preserve">TXN500858</t>
  </si>
  <si>
    <t xml:space="preserve">2026-01-18 14:10:00</t>
  </si>
  <si>
    <t xml:space="preserve">TXN501478</t>
  </si>
  <si>
    <t xml:space="preserve">2026-01-18 16:00:00</t>
  </si>
  <si>
    <t xml:space="preserve">TXN501479</t>
  </si>
  <si>
    <t xml:space="preserve">2026-01-18 16:05:00</t>
  </si>
  <si>
    <t xml:space="preserve">TXN500339</t>
  </si>
  <si>
    <t xml:space="preserve">2026-01-18 16:30:00</t>
  </si>
  <si>
    <t xml:space="preserve">TXN500099</t>
  </si>
  <si>
    <t xml:space="preserve">2026-01-18 16:42:00</t>
  </si>
  <si>
    <t xml:space="preserve">TXN501015</t>
  </si>
  <si>
    <t xml:space="preserve">2026-01-18 17:42:00</t>
  </si>
  <si>
    <t xml:space="preserve">TXN500965</t>
  </si>
  <si>
    <t xml:space="preserve">2026-01-18 18:12:00</t>
  </si>
  <si>
    <t xml:space="preserve">TXN501310</t>
  </si>
  <si>
    <t xml:space="preserve">2026-01-18 18:57:00</t>
  </si>
  <si>
    <t xml:space="preserve">TXN501154</t>
  </si>
  <si>
    <t xml:space="preserve">2026-01-18 23:19:00</t>
  </si>
  <si>
    <t xml:space="preserve">TXN500515</t>
  </si>
  <si>
    <t xml:space="preserve">2026-01-19 00:35:00</t>
  </si>
  <si>
    <t xml:space="preserve">2026-01-19</t>
  </si>
  <si>
    <t xml:space="preserve">TXN500990</t>
  </si>
  <si>
    <t xml:space="preserve">2026-01-19 02:16:00</t>
  </si>
  <si>
    <t xml:space="preserve">TXN501107</t>
  </si>
  <si>
    <t xml:space="preserve">2026-01-19 02:49:00</t>
  </si>
  <si>
    <t xml:space="preserve">TXN500165</t>
  </si>
  <si>
    <t xml:space="preserve">2026-01-19 03:10:00</t>
  </si>
  <si>
    <t xml:space="preserve">TXN500405</t>
  </si>
  <si>
    <t xml:space="preserve">2026-01-19 04:18:00</t>
  </si>
  <si>
    <t xml:space="preserve">TXN500199</t>
  </si>
  <si>
    <t xml:space="preserve">2026-01-19 10:41:00</t>
  </si>
  <si>
    <t xml:space="preserve">TXN501179</t>
  </si>
  <si>
    <t xml:space="preserve">2026-01-19 11:59:00</t>
  </si>
  <si>
    <t xml:space="preserve">TXN501354</t>
  </si>
  <si>
    <t xml:space="preserve">2026-01-19 12:27:00</t>
  </si>
  <si>
    <t xml:space="preserve">TXN501205</t>
  </si>
  <si>
    <t xml:space="preserve">2026-01-19 14:36:00</t>
  </si>
  <si>
    <t xml:space="preserve">TXN500275</t>
  </si>
  <si>
    <t xml:space="preserve">2026-01-19 15:01:00</t>
  </si>
  <si>
    <t xml:space="preserve">TXN500246</t>
  </si>
  <si>
    <t xml:space="preserve">2026-01-19 16:38:00</t>
  </si>
  <si>
    <t xml:space="preserve">TXN500501</t>
  </si>
  <si>
    <t xml:space="preserve">2026-01-19 16:58:00</t>
  </si>
  <si>
    <t xml:space="preserve">TXN501243</t>
  </si>
  <si>
    <t xml:space="preserve">2026-01-19 17:42:00</t>
  </si>
  <si>
    <t xml:space="preserve">TXN500368</t>
  </si>
  <si>
    <t xml:space="preserve">2026-01-19 17:43:00</t>
  </si>
  <si>
    <t xml:space="preserve">TXN500247</t>
  </si>
  <si>
    <t xml:space="preserve">2026-01-19 23:34:00</t>
  </si>
  <si>
    <t xml:space="preserve">TXN500523</t>
  </si>
  <si>
    <t xml:space="preserve">2026-01-20 00:32:00</t>
  </si>
  <si>
    <t xml:space="preserve">2026-01-20</t>
  </si>
  <si>
    <t xml:space="preserve">TXN500920</t>
  </si>
  <si>
    <t xml:space="preserve">2026-01-20 01:59:00</t>
  </si>
  <si>
    <t xml:space="preserve">TXN501102</t>
  </si>
  <si>
    <t xml:space="preserve">2026-01-20 02:34:00</t>
  </si>
  <si>
    <t xml:space="preserve">TXN500674</t>
  </si>
  <si>
    <t xml:space="preserve">2026-01-20 06:54:00</t>
  </si>
  <si>
    <t xml:space="preserve">TXN500516</t>
  </si>
  <si>
    <t xml:space="preserve">2026-01-20 07:14:00</t>
  </si>
  <si>
    <t xml:space="preserve">TXN501268</t>
  </si>
  <si>
    <t xml:space="preserve">2026-01-20 08:01:00</t>
  </si>
  <si>
    <t xml:space="preserve">TXN501322</t>
  </si>
  <si>
    <t xml:space="preserve">2026-01-20 08:55:00</t>
  </si>
  <si>
    <t xml:space="preserve">TXN500488</t>
  </si>
  <si>
    <t xml:space="preserve">2026-01-20 08:59:00</t>
  </si>
  <si>
    <t xml:space="preserve">TXN500131</t>
  </si>
  <si>
    <t xml:space="preserve">2026-01-20 10:46:00</t>
  </si>
  <si>
    <t xml:space="preserve">TXN500809</t>
  </si>
  <si>
    <t xml:space="preserve">2026-01-20 12:15:00</t>
  </si>
  <si>
    <t xml:space="preserve">TXN500341</t>
  </si>
  <si>
    <t xml:space="preserve">2026-01-20 12:46:00</t>
  </si>
  <si>
    <t xml:space="preserve">TXN500106</t>
  </si>
  <si>
    <t xml:space="preserve">2026-01-20 15:04:00</t>
  </si>
  <si>
    <t xml:space="preserve">TXN501461</t>
  </si>
  <si>
    <t xml:space="preserve">2026-01-20 16:00:00</t>
  </si>
  <si>
    <t xml:space="preserve">TXN500154</t>
  </si>
  <si>
    <t xml:space="preserve">2026-01-20 16:19:00</t>
  </si>
  <si>
    <t xml:space="preserve">TXN500238</t>
  </si>
  <si>
    <t xml:space="preserve">2026-01-20 18:41:00</t>
  </si>
  <si>
    <t xml:space="preserve">TXN500308</t>
  </si>
  <si>
    <t xml:space="preserve">2026-01-20 21:28:00</t>
  </si>
  <si>
    <t xml:space="preserve">TXN500789</t>
  </si>
  <si>
    <t xml:space="preserve">2026-01-21 03:45:00</t>
  </si>
  <si>
    <t xml:space="preserve">2026-01-21</t>
  </si>
  <si>
    <t xml:space="preserve">TXN500183</t>
  </si>
  <si>
    <t xml:space="preserve">2026-01-21 08:00:00</t>
  </si>
  <si>
    <t xml:space="preserve">TXN501462</t>
  </si>
  <si>
    <t xml:space="preserve">2026-01-21 09:00:00</t>
  </si>
  <si>
    <t xml:space="preserve">TXN501467</t>
  </si>
  <si>
    <t xml:space="preserve">TXN500277</t>
  </si>
  <si>
    <t xml:space="preserve">2026-01-21 09:46:00</t>
  </si>
  <si>
    <t xml:space="preserve">TXN500924</t>
  </si>
  <si>
    <t xml:space="preserve">2026-01-21 10:34:00</t>
  </si>
  <si>
    <t xml:space="preserve">TXN501119</t>
  </si>
  <si>
    <t xml:space="preserve">2026-01-21 11:43:00</t>
  </si>
  <si>
    <t xml:space="preserve">TXN500946</t>
  </si>
  <si>
    <t xml:space="preserve">2026-01-21 12:08:00</t>
  </si>
  <si>
    <t xml:space="preserve">TXN501148</t>
  </si>
  <si>
    <t xml:space="preserve">2026-01-21 12:38:00</t>
  </si>
  <si>
    <t xml:space="preserve">TXN500540</t>
  </si>
  <si>
    <t xml:space="preserve">2026-01-21 13:36:00</t>
  </si>
  <si>
    <t xml:space="preserve">TXN501095</t>
  </si>
  <si>
    <t xml:space="preserve">2026-01-21 15:41:00</t>
  </si>
  <si>
    <t xml:space="preserve">TXN500457</t>
  </si>
  <si>
    <t xml:space="preserve">TXN500072</t>
  </si>
  <si>
    <t xml:space="preserve">2026-01-21 16:06:00</t>
  </si>
  <si>
    <t xml:space="preserve">TXN501370</t>
  </si>
  <si>
    <t xml:space="preserve">2026-01-21 16:17:00</t>
  </si>
  <si>
    <t xml:space="preserve">TXN500699</t>
  </si>
  <si>
    <t xml:space="preserve">2026-01-21 16:19:00</t>
  </si>
  <si>
    <t xml:space="preserve">TXN500798</t>
  </si>
  <si>
    <t xml:space="preserve">2026-01-21 17:49:00</t>
  </si>
  <si>
    <t xml:space="preserve">TXN501339</t>
  </si>
  <si>
    <t xml:space="preserve">2026-01-22 01:59:00</t>
  </si>
  <si>
    <t xml:space="preserve">2026-01-22</t>
  </si>
  <si>
    <t xml:space="preserve">TXN501187</t>
  </si>
  <si>
    <t xml:space="preserve">2026-01-22 02:12:00</t>
  </si>
  <si>
    <t xml:space="preserve">TXN500873</t>
  </si>
  <si>
    <t xml:space="preserve">2026-01-22 03:31:00</t>
  </si>
  <si>
    <t xml:space="preserve">TXN501076</t>
  </si>
  <si>
    <t xml:space="preserve">2026-01-22 06:01:00</t>
  </si>
  <si>
    <t xml:space="preserve">TXN500671</t>
  </si>
  <si>
    <t xml:space="preserve">2026-01-22 09:16:00</t>
  </si>
  <si>
    <t xml:space="preserve">TXN501078</t>
  </si>
  <si>
    <t xml:space="preserve">2026-01-22 10:06:00</t>
  </si>
  <si>
    <t xml:space="preserve">TXN500603</t>
  </si>
  <si>
    <t xml:space="preserve">2026-01-22 11:08:00</t>
  </si>
  <si>
    <t xml:space="preserve">TXN501352</t>
  </si>
  <si>
    <t xml:space="preserve">2026-01-22 11:30:00</t>
  </si>
  <si>
    <t xml:space="preserve">TXN500886</t>
  </si>
  <si>
    <t xml:space="preserve">2026-01-22 11:52:00</t>
  </si>
  <si>
    <t xml:space="preserve">TXN501341</t>
  </si>
  <si>
    <t xml:space="preserve">2026-01-22 13:42:00</t>
  </si>
  <si>
    <t xml:space="preserve">TXN500091</t>
  </si>
  <si>
    <t xml:space="preserve">2026-01-22 14:18:00</t>
  </si>
  <si>
    <t xml:space="preserve">TXN501026</t>
  </si>
  <si>
    <t xml:space="preserve">2026-01-22 14:23:00</t>
  </si>
  <si>
    <t xml:space="preserve">TXN500519</t>
  </si>
  <si>
    <t xml:space="preserve">2026-01-22 15:22:00</t>
  </si>
  <si>
    <t xml:space="preserve">TXN500205</t>
  </si>
  <si>
    <t xml:space="preserve">2026-01-22 15:57:00</t>
  </si>
  <si>
    <t xml:space="preserve">TXN500113</t>
  </si>
  <si>
    <t xml:space="preserve">2026-01-22 17:58:00</t>
  </si>
  <si>
    <t xml:space="preserve">TXN500750</t>
  </si>
  <si>
    <t xml:space="preserve">2026-01-22 18:10:00</t>
  </si>
  <si>
    <t xml:space="preserve">TXN500587</t>
  </si>
  <si>
    <t xml:space="preserve">2026-01-22 20:47:00</t>
  </si>
  <si>
    <t xml:space="preserve">TXN501178</t>
  </si>
  <si>
    <t xml:space="preserve">2026-01-22 23:39:00</t>
  </si>
  <si>
    <t xml:space="preserve">TXN500702</t>
  </si>
  <si>
    <t xml:space="preserve">2026-01-23 01:25:00</t>
  </si>
  <si>
    <t xml:space="preserve">2026-01-23</t>
  </si>
  <si>
    <t xml:space="preserve">TXN500723</t>
  </si>
  <si>
    <t xml:space="preserve">2026-01-23 06:37:00</t>
  </si>
  <si>
    <t xml:space="preserve">TXN500250</t>
  </si>
  <si>
    <t xml:space="preserve">2026-01-23 08:08:00</t>
  </si>
  <si>
    <t xml:space="preserve">TXN501307</t>
  </si>
  <si>
    <t xml:space="preserve">2026-01-23 08:25:00</t>
  </si>
  <si>
    <t xml:space="preserve">TXN501372</t>
  </si>
  <si>
    <t xml:space="preserve">2026-01-23 11:31:00</t>
  </si>
  <si>
    <t xml:space="preserve">TXN500433</t>
  </si>
  <si>
    <t xml:space="preserve">2026-01-23 11:34:00</t>
  </si>
  <si>
    <t xml:space="preserve">TXN500018</t>
  </si>
  <si>
    <t xml:space="preserve">2026-01-23 12:06:00</t>
  </si>
  <si>
    <t xml:space="preserve">TXN500588</t>
  </si>
  <si>
    <t xml:space="preserve">2026-01-23 12:21:00</t>
  </si>
  <si>
    <t xml:space="preserve">TXN500917</t>
  </si>
  <si>
    <t xml:space="preserve">2026-01-23 15:07:00</t>
  </si>
  <si>
    <t xml:space="preserve">TXN501135</t>
  </si>
  <si>
    <t xml:space="preserve">2026-01-23 17:12:00</t>
  </si>
  <si>
    <t xml:space="preserve">TXN500070</t>
  </si>
  <si>
    <t xml:space="preserve">2026-01-23 18:01:00</t>
  </si>
  <si>
    <t xml:space="preserve">TXN500377</t>
  </si>
  <si>
    <t xml:space="preserve">2026-01-23 19:28:00</t>
  </si>
  <si>
    <t xml:space="preserve">TXN500730</t>
  </si>
  <si>
    <t xml:space="preserve">2026-01-23 20:54:00</t>
  </si>
  <si>
    <t xml:space="preserve">TXN500565</t>
  </si>
  <si>
    <t xml:space="preserve">2026-01-23 22:20:00</t>
  </si>
  <si>
    <t xml:space="preserve">TXN500458</t>
  </si>
  <si>
    <t xml:space="preserve">2026-01-24 00:21:00</t>
  </si>
  <si>
    <t xml:space="preserve">2026-01-24</t>
  </si>
  <si>
    <t xml:space="preserve">TXN501242</t>
  </si>
  <si>
    <t xml:space="preserve">2026-01-24 06:41:00</t>
  </si>
  <si>
    <t xml:space="preserve">TXN500952</t>
  </si>
  <si>
    <t xml:space="preserve">2026-01-24 07:53:00</t>
  </si>
  <si>
    <t xml:space="preserve">TXN500038</t>
  </si>
  <si>
    <t xml:space="preserve">2026-01-24 08:15:00</t>
  </si>
  <si>
    <t xml:space="preserve">TXN500712</t>
  </si>
  <si>
    <t xml:space="preserve">2026-01-24 08:28:00</t>
  </si>
  <si>
    <t xml:space="preserve">TXN500600</t>
  </si>
  <si>
    <t xml:space="preserve">2026-01-24 09:09:00</t>
  </si>
  <si>
    <t xml:space="preserve">TXN501057</t>
  </si>
  <si>
    <t xml:space="preserve">2026-01-24 11:13:00</t>
  </si>
  <si>
    <t xml:space="preserve">TXN500374</t>
  </si>
  <si>
    <t xml:space="preserve">2026-01-24 11:24:00</t>
  </si>
  <si>
    <t xml:space="preserve">TXN501147</t>
  </si>
  <si>
    <t xml:space="preserve">2026-01-24 12:32:00</t>
  </si>
  <si>
    <t xml:space="preserve">TXN500995</t>
  </si>
  <si>
    <t xml:space="preserve">2026-01-24 13:32:00</t>
  </si>
  <si>
    <t xml:space="preserve">TXN501059</t>
  </si>
  <si>
    <t xml:space="preserve">2026-01-24 13:36:00</t>
  </si>
  <si>
    <t xml:space="preserve">TXN501254</t>
  </si>
  <si>
    <t xml:space="preserve">2026-01-24 18:14:00</t>
  </si>
  <si>
    <t xml:space="preserve">TXN501130</t>
  </si>
  <si>
    <t xml:space="preserve">2026-01-24 18:39:00</t>
  </si>
  <si>
    <t xml:space="preserve">TXN501049</t>
  </si>
  <si>
    <t xml:space="preserve">2026-01-24 23:58:00</t>
  </si>
  <si>
    <t xml:space="preserve">TXN500831</t>
  </si>
  <si>
    <t xml:space="preserve">2026-01-25 00:00:00</t>
  </si>
  <si>
    <t xml:space="preserve">2026-01-25</t>
  </si>
  <si>
    <t xml:space="preserve">TXN501007</t>
  </si>
  <si>
    <t xml:space="preserve">2026-01-25 00:47:00</t>
  </si>
  <si>
    <t xml:space="preserve">TXN501123</t>
  </si>
  <si>
    <t xml:space="preserve">2026-01-25 01:24:00</t>
  </si>
  <si>
    <t xml:space="preserve">TXN501136</t>
  </si>
  <si>
    <t xml:space="preserve">2026-01-25 04:36:00</t>
  </si>
  <si>
    <t xml:space="preserve">TXN500837</t>
  </si>
  <si>
    <t xml:space="preserve">2026-01-25 06:58:00</t>
  </si>
  <si>
    <t xml:space="preserve">TXN500321</t>
  </si>
  <si>
    <t xml:space="preserve">2026-01-25 07:08:00</t>
  </si>
  <si>
    <t xml:space="preserve">TXN500037</t>
  </si>
  <si>
    <t xml:space="preserve">2026-01-25 07:28:00</t>
  </si>
  <si>
    <t xml:space="preserve">TXN500044</t>
  </si>
  <si>
    <t xml:space="preserve">2026-01-25 08:03:00</t>
  </si>
  <si>
    <t xml:space="preserve">TXN500147</t>
  </si>
  <si>
    <t xml:space="preserve">2026-01-25 08:23:00</t>
  </si>
  <si>
    <t xml:space="preserve">TXN500754</t>
  </si>
  <si>
    <t xml:space="preserve">2026-01-25 10:35:00</t>
  </si>
  <si>
    <t xml:space="preserve">TXN501144</t>
  </si>
  <si>
    <t xml:space="preserve">2026-01-25 12:15:00</t>
  </si>
  <si>
    <t xml:space="preserve">TXN501321</t>
  </si>
  <si>
    <t xml:space="preserve">2026-01-25 12:53:00</t>
  </si>
  <si>
    <t xml:space="preserve">TXN500821</t>
  </si>
  <si>
    <t xml:space="preserve">2026-01-25 12:55:00</t>
  </si>
  <si>
    <t xml:space="preserve">TXN500529</t>
  </si>
  <si>
    <t xml:space="preserve">2026-01-25 13:16:00</t>
  </si>
  <si>
    <t xml:space="preserve">TXN500506</t>
  </si>
  <si>
    <t xml:space="preserve">2026-01-25 16:37:00</t>
  </si>
  <si>
    <t xml:space="preserve">TXN501099</t>
  </si>
  <si>
    <t xml:space="preserve">2026-01-25 17:11:00</t>
  </si>
  <si>
    <t xml:space="preserve">TXN500726</t>
  </si>
  <si>
    <t xml:space="preserve">2026-01-25 17:51:00</t>
  </si>
  <si>
    <t xml:space="preserve">TXN500355</t>
  </si>
  <si>
    <t xml:space="preserve">2026-01-26 02:12:00</t>
  </si>
  <si>
    <t xml:space="preserve">2026-01-26</t>
  </si>
  <si>
    <t xml:space="preserve">TXN500126</t>
  </si>
  <si>
    <t xml:space="preserve">2026-01-26 03:44:00</t>
  </si>
  <si>
    <t xml:space="preserve">TXN500758</t>
  </si>
  <si>
    <t xml:space="preserve">2026-01-26 04:13:00</t>
  </si>
  <si>
    <t xml:space="preserve">TXN501061</t>
  </si>
  <si>
    <t xml:space="preserve">2026-01-26 06:47:00</t>
  </si>
  <si>
    <t xml:space="preserve">TXN500695</t>
  </si>
  <si>
    <t xml:space="preserve">2026-01-26 06:49:00</t>
  </si>
  <si>
    <t xml:space="preserve">TXN501044</t>
  </si>
  <si>
    <t xml:space="preserve">2026-01-26 07:15:00</t>
  </si>
  <si>
    <t xml:space="preserve">TXN501282</t>
  </si>
  <si>
    <t xml:space="preserve">2026-01-26 07:17:00</t>
  </si>
  <si>
    <t xml:space="preserve">TXN500849</t>
  </si>
  <si>
    <t xml:space="preserve">2026-01-26 09:26:00</t>
  </si>
  <si>
    <t xml:space="preserve">TXN500823</t>
  </si>
  <si>
    <t xml:space="preserve">2026-01-26 09:36:00</t>
  </si>
  <si>
    <t xml:space="preserve">TXN501193</t>
  </si>
  <si>
    <t xml:space="preserve">2026-01-26 12:29:00</t>
  </si>
  <si>
    <t xml:space="preserve">TXN500848</t>
  </si>
  <si>
    <t xml:space="preserve">2026-01-26 13:49:00</t>
  </si>
  <si>
    <t xml:space="preserve">TXN501480</t>
  </si>
  <si>
    <t xml:space="preserve">2026-01-26 14:00:00</t>
  </si>
  <si>
    <t xml:space="preserve">TXN501481</t>
  </si>
  <si>
    <t xml:space="preserve">2026-01-26 14:01:00</t>
  </si>
  <si>
    <t xml:space="preserve">TXN500330</t>
  </si>
  <si>
    <t xml:space="preserve">2026-01-26 16:08:00</t>
  </si>
  <si>
    <t xml:space="preserve">TXN500791</t>
  </si>
  <si>
    <t xml:space="preserve">2026-01-26 17:15:00</t>
  </si>
  <si>
    <t xml:space="preserve">TXN500705</t>
  </si>
  <si>
    <t xml:space="preserve">2026-01-26 17:23:00</t>
  </si>
  <si>
    <t xml:space="preserve">TXN501274</t>
  </si>
  <si>
    <t xml:space="preserve">2026-01-26 19:28:00</t>
  </si>
  <si>
    <t xml:space="preserve">TXN500401</t>
  </si>
  <si>
    <t xml:space="preserve">2026-01-27 09:09:00</t>
  </si>
  <si>
    <t xml:space="preserve">2026-01-27</t>
  </si>
  <si>
    <t xml:space="preserve">TXN500570</t>
  </si>
  <si>
    <t xml:space="preserve">2026-01-27 11:18:00</t>
  </si>
  <si>
    <t xml:space="preserve">TXN500687</t>
  </si>
  <si>
    <t xml:space="preserve">2026-01-27 12:15:00</t>
  </si>
  <si>
    <t xml:space="preserve">TXN500936</t>
  </si>
  <si>
    <t xml:space="preserve">2026-01-27 12:44:00</t>
  </si>
  <si>
    <t xml:space="preserve">TXN501250</t>
  </si>
  <si>
    <t xml:space="preserve">2026-01-27 13:06:00</t>
  </si>
  <si>
    <t xml:space="preserve">TXN500900</t>
  </si>
  <si>
    <t xml:space="preserve">2026-01-27 13:18:00</t>
  </si>
  <si>
    <t xml:space="preserve">TXN500539</t>
  </si>
  <si>
    <t xml:space="preserve">2026-01-27 13:48:00</t>
  </si>
  <si>
    <t xml:space="preserve">TXN500068</t>
  </si>
  <si>
    <t xml:space="preserve">2026-01-27 14:42:00</t>
  </si>
  <si>
    <t xml:space="preserve">TXN501139</t>
  </si>
  <si>
    <t xml:space="preserve">2026-01-27 14:59:00</t>
  </si>
  <si>
    <t xml:space="preserve">TXN501009</t>
  </si>
  <si>
    <t xml:space="preserve">2026-01-27 15:20:00</t>
  </si>
  <si>
    <t xml:space="preserve">TXN500437</t>
  </si>
  <si>
    <t xml:space="preserve">2026-01-27 15:31:00</t>
  </si>
  <si>
    <t xml:space="preserve">TXN501256</t>
  </si>
  <si>
    <t xml:space="preserve">2026-01-27 16:26:00</t>
  </si>
  <si>
    <t xml:space="preserve">TXN500507</t>
  </si>
  <si>
    <t xml:space="preserve">2026-01-27 17:21:00</t>
  </si>
  <si>
    <t xml:space="preserve">TXN501488</t>
  </si>
  <si>
    <t xml:space="preserve">2026-01-28 04:00:00</t>
  </si>
  <si>
    <t xml:space="preserve">2026-01-28</t>
  </si>
  <si>
    <t xml:space="preserve">TXN501105</t>
  </si>
  <si>
    <t xml:space="preserve">2026-01-28 09:19:00</t>
  </si>
  <si>
    <t xml:space="preserve">TXN500888</t>
  </si>
  <si>
    <t xml:space="preserve">2026-01-28 11:50:00</t>
  </si>
  <si>
    <t xml:space="preserve">TXN501017</t>
  </si>
  <si>
    <t xml:space="preserve">2026-01-28 12:50:00</t>
  </si>
  <si>
    <t xml:space="preserve">TXN500410</t>
  </si>
  <si>
    <t xml:space="preserve">2026-01-28 13:03:00</t>
  </si>
  <si>
    <t xml:space="preserve">TXN500146</t>
  </si>
  <si>
    <t xml:space="preserve">2026-01-28 15:17:00</t>
  </si>
  <si>
    <t xml:space="preserve">TXN501155</t>
  </si>
  <si>
    <t xml:space="preserve">2026-01-28 17:01:00</t>
  </si>
  <si>
    <t xml:space="preserve">TXN501476</t>
  </si>
  <si>
    <t xml:space="preserve">2026-01-28 18:00:00</t>
  </si>
  <si>
    <t xml:space="preserve">TXN501477</t>
  </si>
  <si>
    <t xml:space="preserve">2026-01-28 18:06:00</t>
  </si>
  <si>
    <t xml:space="preserve">TXN500968</t>
  </si>
  <si>
    <t xml:space="preserve">2026-01-28 19:35:00</t>
  </si>
  <si>
    <t xml:space="preserve">TXN500508</t>
  </si>
  <si>
    <t xml:space="preserve">2026-01-28 20:47:00</t>
  </si>
  <si>
    <t xml:space="preserve">TXN501115</t>
  </si>
  <si>
    <t xml:space="preserve">2026-01-28 22:15:00</t>
  </si>
  <si>
    <t xml:space="preserve">TXN500612</t>
  </si>
  <si>
    <t xml:space="preserve">2026-01-28 23:06:00</t>
  </si>
  <si>
    <t xml:space="preserve">TXN501215</t>
  </si>
  <si>
    <t xml:space="preserve">2026-01-29 01:48:00</t>
  </si>
  <si>
    <t xml:space="preserve">2026-01-29</t>
  </si>
  <si>
    <t xml:space="preserve">TXN500381</t>
  </si>
  <si>
    <t xml:space="preserve">2026-01-29 05:12:00</t>
  </si>
  <si>
    <t xml:space="preserve">TXN500097</t>
  </si>
  <si>
    <t xml:space="preserve">2026-01-29 06:44:00</t>
  </si>
  <si>
    <t xml:space="preserve">TXN500467</t>
  </si>
  <si>
    <t xml:space="preserve">2026-01-29 07:08:00</t>
  </si>
  <si>
    <t xml:space="preserve">TXN501096</t>
  </si>
  <si>
    <t xml:space="preserve">2026-01-29 08:27:00</t>
  </si>
  <si>
    <t xml:space="preserve">TXN500111</t>
  </si>
  <si>
    <t xml:space="preserve">2026-01-29 08:31:00</t>
  </si>
  <si>
    <t xml:space="preserve">TXN501031</t>
  </si>
  <si>
    <t xml:space="preserve">2026-01-29 13:12:00</t>
  </si>
  <si>
    <t xml:space="preserve">TXN501410</t>
  </si>
  <si>
    <t xml:space="preserve">2026-01-29 14:00:00</t>
  </si>
  <si>
    <t xml:space="preserve">TXN501438</t>
  </si>
  <si>
    <t xml:space="preserve">TXN501411</t>
  </si>
  <si>
    <t xml:space="preserve">2026-01-29 14:05:00</t>
  </si>
  <si>
    <t xml:space="preserve">TXN501439</t>
  </si>
  <si>
    <t xml:space="preserve">TXN501440</t>
  </si>
  <si>
    <t xml:space="preserve">2026-01-29 14:10:00</t>
  </si>
  <si>
    <t xml:space="preserve">TXN501412</t>
  </si>
  <si>
    <t xml:space="preserve">TXN501441</t>
  </si>
  <si>
    <t xml:space="preserve">2026-01-29 14:15:00</t>
  </si>
  <si>
    <t xml:space="preserve">TXN501413</t>
  </si>
  <si>
    <t xml:space="preserve">TXN501442</t>
  </si>
  <si>
    <t xml:space="preserve">2026-01-29 14:20:00</t>
  </si>
  <si>
    <t xml:space="preserve">TXN501414</t>
  </si>
  <si>
    <t xml:space="preserve">TXN501415</t>
  </si>
  <si>
    <t xml:space="preserve">2026-01-29 14:25:00</t>
  </si>
  <si>
    <t xml:space="preserve">TXN501443</t>
  </si>
  <si>
    <t xml:space="preserve">TXN501416</t>
  </si>
  <si>
    <t xml:space="preserve">2026-01-29 14:30:00</t>
  </si>
  <si>
    <t xml:space="preserve">TXN501444</t>
  </si>
  <si>
    <t xml:space="preserve">TXN501445</t>
  </si>
  <si>
    <t xml:space="preserve">2026-01-29 14:35:00</t>
  </si>
  <si>
    <t xml:space="preserve">TXN501417</t>
  </si>
  <si>
    <t xml:space="preserve">TXN501418</t>
  </si>
  <si>
    <t xml:space="preserve">2026-01-29 14:40:00</t>
  </si>
  <si>
    <t xml:space="preserve">TXN500813</t>
  </si>
  <si>
    <t xml:space="preserve">TXN501446</t>
  </si>
  <si>
    <t xml:space="preserve">TXN500233</t>
  </si>
  <si>
    <t xml:space="preserve">TXN501419</t>
  </si>
  <si>
    <t xml:space="preserve">2026-01-29 14:45:00</t>
  </si>
  <si>
    <t xml:space="preserve">TXN501447</t>
  </si>
  <si>
    <t xml:space="preserve">TXN501363</t>
  </si>
  <si>
    <t xml:space="preserve">2026-01-29 15:16:00</t>
  </si>
  <si>
    <t xml:space="preserve">TXN501458</t>
  </si>
  <si>
    <t xml:space="preserve">2026-01-29 16:00:00</t>
  </si>
  <si>
    <t xml:space="preserve">TXN501050</t>
  </si>
  <si>
    <t xml:space="preserve">2026-01-29 16:08:00</t>
  </si>
  <si>
    <t xml:space="preserve">TXN500994</t>
  </si>
  <si>
    <t xml:space="preserve">2026-01-29 17:38:00</t>
  </si>
  <si>
    <t xml:space="preserve">TXN500923</t>
  </si>
  <si>
    <t xml:space="preserve">2026-01-29 21:33:00</t>
  </si>
  <si>
    <t xml:space="preserve">TXN500011</t>
  </si>
  <si>
    <t xml:space="preserve">2026-01-29 23:08:00</t>
  </si>
  <si>
    <t xml:space="preserve">TXN500184</t>
  </si>
  <si>
    <t xml:space="preserve">2026-01-29 23:58:00</t>
  </si>
  <si>
    <t xml:space="preserve">TXN500446</t>
  </si>
  <si>
    <t xml:space="preserve">2026-01-30 02:26:00</t>
  </si>
  <si>
    <t xml:space="preserve">2026-01-30</t>
  </si>
  <si>
    <t xml:space="preserve">TXN500975</t>
  </si>
  <si>
    <t xml:space="preserve">2026-01-30 03:23:00</t>
  </si>
  <si>
    <t xml:space="preserve">TXN500838</t>
  </si>
  <si>
    <t xml:space="preserve">2026-01-30 07:08:00</t>
  </si>
  <si>
    <t xml:space="preserve">TXN501045</t>
  </si>
  <si>
    <t xml:space="preserve">2026-01-30 07:15:00</t>
  </si>
  <si>
    <t xml:space="preserve">TXN500986</t>
  </si>
  <si>
    <t xml:space="preserve">2026-01-30 10:21:00</t>
  </si>
  <si>
    <t xml:space="preserve">TXN500210</t>
  </si>
  <si>
    <t xml:space="preserve">2026-01-30 11:16:00</t>
  </si>
  <si>
    <t xml:space="preserve">TXN501016</t>
  </si>
  <si>
    <t xml:space="preserve">2026-01-30 11:44:00</t>
  </si>
  <si>
    <t xml:space="preserve">TXN500766</t>
  </si>
  <si>
    <t xml:space="preserve">2026-01-30 12:53:00</t>
  </si>
  <si>
    <t xml:space="preserve">TXN500728</t>
  </si>
  <si>
    <t xml:space="preserve">2026-01-30 13:01:00</t>
  </si>
  <si>
    <t xml:space="preserve">TXN501093</t>
  </si>
  <si>
    <t xml:space="preserve">2026-01-30 16:35:00</t>
  </si>
  <si>
    <t xml:space="preserve">TXN500006</t>
  </si>
  <si>
    <t xml:space="preserve">2026-01-30 17:51:00</t>
  </si>
  <si>
    <t xml:space="preserve">TXN501295</t>
  </si>
  <si>
    <t xml:space="preserve">2026-01-30 21:09:00</t>
  </si>
  <si>
    <t xml:space="preserve">TXN500022</t>
  </si>
  <si>
    <t xml:space="preserve">2026-01-31 02:56:00</t>
  </si>
  <si>
    <t xml:space="preserve">2026-01-31</t>
  </si>
  <si>
    <t xml:space="preserve">TXN500040</t>
  </si>
  <si>
    <t xml:space="preserve">2026-01-31 06:31:00</t>
  </si>
  <si>
    <t xml:space="preserve">TXN501131</t>
  </si>
  <si>
    <t xml:space="preserve">2026-01-31 09:04:00</t>
  </si>
  <si>
    <t xml:space="preserve">TXN501272</t>
  </si>
  <si>
    <t xml:space="preserve">2026-01-31 09:53:00</t>
  </si>
  <si>
    <t xml:space="preserve">TXN500215</t>
  </si>
  <si>
    <t xml:space="preserve">2026-01-31 10:22:00</t>
  </si>
  <si>
    <t xml:space="preserve">TXN500768</t>
  </si>
  <si>
    <t xml:space="preserve">2026-01-31 11:05:00</t>
  </si>
  <si>
    <t xml:space="preserve">TXN500404</t>
  </si>
  <si>
    <t xml:space="preserve">2026-01-31 11:17:00</t>
  </si>
  <si>
    <t xml:space="preserve">TXN501347</t>
  </si>
  <si>
    <t xml:space="preserve">2026-01-31 11:51:00</t>
  </si>
  <si>
    <t xml:space="preserve">TXN500510</t>
  </si>
  <si>
    <t xml:space="preserve">2026-01-31 12:49:00</t>
  </si>
  <si>
    <t xml:space="preserve">TXN501151</t>
  </si>
  <si>
    <t xml:space="preserve">2026-01-31 13:13:00</t>
  </si>
  <si>
    <t xml:space="preserve">TXN501201</t>
  </si>
  <si>
    <t xml:space="preserve">2026-01-31 13:27:00</t>
  </si>
  <si>
    <t xml:space="preserve">TXN500092</t>
  </si>
  <si>
    <t xml:space="preserve">2026-01-31 14:14:00</t>
  </si>
  <si>
    <t xml:space="preserve">TXN501077</t>
  </si>
  <si>
    <t xml:space="preserve">2026-01-31 14:47:00</t>
  </si>
  <si>
    <t xml:space="preserve">TXN501473</t>
  </si>
  <si>
    <t xml:space="preserve">2026-01-31 15:00:00</t>
  </si>
  <si>
    <t xml:space="preserve">TXN500236</t>
  </si>
  <si>
    <t xml:space="preserve">2026-01-31 18:08:00</t>
  </si>
  <si>
    <t xml:space="preserve">TXN501117</t>
  </si>
  <si>
    <t xml:space="preserve">2026-02-01 00:02:00</t>
  </si>
  <si>
    <t xml:space="preserve">2026-02-01</t>
  </si>
  <si>
    <t xml:space="preserve">TXN500663</t>
  </si>
  <si>
    <t xml:space="preserve">2026-02-01 04:27:00</t>
  </si>
  <si>
    <t xml:space="preserve">TXN500004</t>
  </si>
  <si>
    <t xml:space="preserve">2026-02-01 06:24:00</t>
  </si>
  <si>
    <t xml:space="preserve">TXN500120</t>
  </si>
  <si>
    <t xml:space="preserve">2026-02-01 07:01:00</t>
  </si>
  <si>
    <t xml:space="preserve">TXN500028</t>
  </si>
  <si>
    <t xml:space="preserve">2026-02-01 07:21:00</t>
  </si>
  <si>
    <t xml:space="preserve">TXN500503</t>
  </si>
  <si>
    <t xml:space="preserve">2026-02-01 08:21:00</t>
  </si>
  <si>
    <t xml:space="preserve">TXN500187</t>
  </si>
  <si>
    <t xml:space="preserve">2026-02-01 11:09:00</t>
  </si>
  <si>
    <t xml:space="preserve">TXN500517</t>
  </si>
  <si>
    <t xml:space="preserve">2026-02-01 11:41:00</t>
  </si>
  <si>
    <t xml:space="preserve">TXN500576</t>
  </si>
  <si>
    <t xml:space="preserve">2026-02-01 14:22:00</t>
  </si>
  <si>
    <t xml:space="preserve">TXN501082</t>
  </si>
  <si>
    <t xml:space="preserve">2026-02-01 15:28:00</t>
  </si>
  <si>
    <t xml:space="preserve">TXN501194</t>
  </si>
  <si>
    <t xml:space="preserve">2026-02-01 20:19:00</t>
  </si>
  <si>
    <t xml:space="preserve">TXN500531</t>
  </si>
  <si>
    <t xml:space="preserve">2026-02-01 23:14:00</t>
  </si>
  <si>
    <t xml:space="preserve">TXN500391</t>
  </si>
  <si>
    <t xml:space="preserve">2026-02-02 07:35:00</t>
  </si>
  <si>
    <t xml:space="preserve">2026-02-02</t>
  </si>
  <si>
    <t xml:space="preserve">TXN500298</t>
  </si>
  <si>
    <t xml:space="preserve">2026-02-02 07:38:00</t>
  </si>
  <si>
    <t xml:space="preserve">TXN500913</t>
  </si>
  <si>
    <t xml:space="preserve">2026-02-02 07:55:00</t>
  </si>
  <si>
    <t xml:space="preserve">TXN500285</t>
  </si>
  <si>
    <t xml:space="preserve">2026-02-02 08:07:00</t>
  </si>
  <si>
    <t xml:space="preserve">TXN501152</t>
  </si>
  <si>
    <t xml:space="preserve">2026-02-02 09:28:00</t>
  </si>
  <si>
    <t xml:space="preserve">TXN500930</t>
  </si>
  <si>
    <t xml:space="preserve">2026-02-02 12:18:00</t>
  </si>
  <si>
    <t xml:space="preserve">TXN500939</t>
  </si>
  <si>
    <t xml:space="preserve">2026-02-02 12:36:00</t>
  </si>
  <si>
    <t xml:space="preserve">TXN501064</t>
  </si>
  <si>
    <t xml:space="preserve">TXN500887</t>
  </si>
  <si>
    <t xml:space="preserve">2026-02-02 13:12:00</t>
  </si>
  <si>
    <t xml:space="preserve">TXN500802</t>
  </si>
  <si>
    <t xml:space="preserve">2026-02-02 13:19:00</t>
  </si>
  <si>
    <t xml:space="preserve">TXN500572</t>
  </si>
  <si>
    <t xml:space="preserve">2026-02-02 14:45:00</t>
  </si>
  <si>
    <t xml:space="preserve">TXN500220</t>
  </si>
  <si>
    <t xml:space="preserve">2026-02-02 14:46:00</t>
  </si>
  <si>
    <t xml:space="preserve">TXN501376</t>
  </si>
  <si>
    <t xml:space="preserve">2026-02-02 16:01:00</t>
  </si>
  <si>
    <t xml:space="preserve">TXN500744</t>
  </si>
  <si>
    <t xml:space="preserve">2026-02-02 16:46:00</t>
  </si>
  <si>
    <t xml:space="preserve">TXN500478</t>
  </si>
  <si>
    <t xml:space="preserve">2026-02-02 17:47:00</t>
  </si>
  <si>
    <t xml:space="preserve">TXN500560</t>
  </si>
  <si>
    <t xml:space="preserve">2026-02-02 21:46:00</t>
  </si>
  <si>
    <t xml:space="preserve">TXN500079</t>
  </si>
  <si>
    <t xml:space="preserve">2026-02-03 01:38:00</t>
  </si>
  <si>
    <t xml:space="preserve">2026-02-03</t>
  </si>
  <si>
    <t xml:space="preserve">TXN501375</t>
  </si>
  <si>
    <t xml:space="preserve">2026-02-03 04:04:00</t>
  </si>
  <si>
    <t xml:space="preserve">TXN500009</t>
  </si>
  <si>
    <t xml:space="preserve">2026-02-03 06:47:00</t>
  </si>
  <si>
    <t xml:space="preserve">TXN501040</t>
  </si>
  <si>
    <t xml:space="preserve">2026-02-03 07:05:00</t>
  </si>
  <si>
    <t xml:space="preserve">TXN501021</t>
  </si>
  <si>
    <t xml:space="preserve">TXN501056</t>
  </si>
  <si>
    <t xml:space="preserve">2026-02-03 07:30:00</t>
  </si>
  <si>
    <t xml:space="preserve">TXN500743</t>
  </si>
  <si>
    <t xml:space="preserve">2026-02-03 07:44:00</t>
  </si>
  <si>
    <t xml:space="preserve">TXN500462</t>
  </si>
  <si>
    <t xml:space="preserve">2026-02-03 10:28:00</t>
  </si>
  <si>
    <t xml:space="preserve">TXN500979</t>
  </si>
  <si>
    <t xml:space="preserve">2026-02-03 13:36:00</t>
  </si>
  <si>
    <t xml:space="preserve">TXN500375</t>
  </si>
  <si>
    <t xml:space="preserve">2026-02-03 15:13:00</t>
  </si>
  <si>
    <t xml:space="preserve">TXN500816</t>
  </si>
  <si>
    <t xml:space="preserve">2026-02-03 15:35:00</t>
  </si>
  <si>
    <t xml:space="preserve">TXN500102</t>
  </si>
  <si>
    <t xml:space="preserve">2026-02-03 16:53:00</t>
  </si>
  <si>
    <t xml:space="preserve">TXN500693</t>
  </si>
  <si>
    <t xml:space="preserve">2026-02-03 17:59:00</t>
  </si>
  <si>
    <t xml:space="preserve">TXN500007</t>
  </si>
  <si>
    <t xml:space="preserve">2026-02-04 03:58:00</t>
  </si>
  <si>
    <t xml:space="preserve">2026-02-04</t>
  </si>
  <si>
    <t xml:space="preserve">TXN500549</t>
  </si>
  <si>
    <t xml:space="preserve">2026-02-04 06:45:00</t>
  </si>
  <si>
    <t xml:space="preserve">TXN500281</t>
  </si>
  <si>
    <t xml:space="preserve">2026-02-04 07:32:00</t>
  </si>
  <si>
    <t xml:space="preserve">TXN500627</t>
  </si>
  <si>
    <t xml:space="preserve">2026-02-04 09:18:00</t>
  </si>
  <si>
    <t xml:space="preserve">TXN500505</t>
  </si>
  <si>
    <t xml:space="preserve">2026-02-04 10:38:00</t>
  </si>
  <si>
    <t xml:space="preserve">TXN500333</t>
  </si>
  <si>
    <t xml:space="preserve">2026-02-04 11:32:00</t>
  </si>
  <si>
    <t xml:space="preserve">TXN500669</t>
  </si>
  <si>
    <t xml:space="preserve">2026-02-04 12:16:00</t>
  </si>
  <si>
    <t xml:space="preserve">TXN500171</t>
  </si>
  <si>
    <t xml:space="preserve">2026-02-04 13:48:00</t>
  </si>
  <si>
    <t xml:space="preserve">TXN500786</t>
  </si>
  <si>
    <t xml:space="preserve">2026-02-04 15:38:00</t>
  </si>
  <si>
    <t xml:space="preserve">TXN501060</t>
  </si>
  <si>
    <t xml:space="preserve">2026-02-04 16:35:00</t>
  </si>
  <si>
    <t xml:space="preserve">TXN500861</t>
  </si>
  <si>
    <t xml:space="preserve">2026-02-04 17:44:00</t>
  </si>
  <si>
    <t xml:space="preserve">TXN500715</t>
  </si>
  <si>
    <t xml:space="preserve">2026-02-05 10:26:00</t>
  </si>
  <si>
    <t xml:space="preserve">2026-02-05</t>
  </si>
  <si>
    <t xml:space="preserve">TXN500780</t>
  </si>
  <si>
    <t xml:space="preserve">2026-02-05 10:39:00</t>
  </si>
  <si>
    <t xml:space="preserve">TXN501482</t>
  </si>
  <si>
    <t xml:space="preserve">2026-02-05 11:00:00</t>
  </si>
  <si>
    <t xml:space="preserve">TXN501483</t>
  </si>
  <si>
    <t xml:space="preserve">2026-02-05 11:08:00</t>
  </si>
  <si>
    <t xml:space="preserve">TXN501197</t>
  </si>
  <si>
    <t xml:space="preserve">2026-02-05 16:40:00</t>
  </si>
  <si>
    <t xml:space="preserve">TXN500592</t>
  </si>
  <si>
    <t xml:space="preserve">2026-02-05 16:51:00</t>
  </si>
  <si>
    <t xml:space="preserve">TXN500189</t>
  </si>
  <si>
    <t xml:space="preserve">2026-02-05 16:54:00</t>
  </si>
  <si>
    <t xml:space="preserve">TXN500416</t>
  </si>
  <si>
    <t xml:space="preserve">2026-02-05 17:39:00</t>
  </si>
  <si>
    <t xml:space="preserve">TXN500134</t>
  </si>
  <si>
    <t xml:space="preserve">2026-02-05 18:15:00</t>
  </si>
  <si>
    <t xml:space="preserve">TXN500137</t>
  </si>
  <si>
    <t xml:space="preserve">2026-02-05 18:44:00</t>
  </si>
  <si>
    <t xml:space="preserve">TXN500415</t>
  </si>
  <si>
    <t xml:space="preserve">2026-02-06 03:32:00</t>
  </si>
  <si>
    <t xml:space="preserve">2026-02-06</t>
  </si>
  <si>
    <t xml:space="preserve">TXN500342</t>
  </si>
  <si>
    <t xml:space="preserve">2026-02-06 07:07:00</t>
  </si>
  <si>
    <t xml:space="preserve">TXN500104</t>
  </si>
  <si>
    <t xml:space="preserve">2026-02-06 07:21:00</t>
  </si>
  <si>
    <t xml:space="preserve">TXN500089</t>
  </si>
  <si>
    <t xml:space="preserve">2026-02-06 07:50:00</t>
  </si>
  <si>
    <t xml:space="preserve">TXN501450</t>
  </si>
  <si>
    <t xml:space="preserve">2026-02-06 08:00:00</t>
  </si>
  <si>
    <t xml:space="preserve">TXN500755</t>
  </si>
  <si>
    <t xml:space="preserve">2026-02-06 08:06:00</t>
  </si>
  <si>
    <t xml:space="preserve">TXN501133</t>
  </si>
  <si>
    <t xml:space="preserve">2026-02-06 09:41:00</t>
  </si>
  <si>
    <t xml:space="preserve">TXN501069</t>
  </si>
  <si>
    <t xml:space="preserve">2026-02-06 09:43:00</t>
  </si>
  <si>
    <t xml:space="preserve">TXN500481</t>
  </si>
  <si>
    <t xml:space="preserve">2026-02-06 10:49:00</t>
  </si>
  <si>
    <t xml:space="preserve">TXN501091</t>
  </si>
  <si>
    <t xml:space="preserve">2026-02-06 11:00:00</t>
  </si>
  <si>
    <t xml:space="preserve">TXN500455</t>
  </si>
  <si>
    <t xml:space="preserve">2026-02-06 11:41:00</t>
  </si>
  <si>
    <t xml:space="preserve">TXN501286</t>
  </si>
  <si>
    <t xml:space="preserve">2026-02-06 13:10:00</t>
  </si>
  <si>
    <t xml:space="preserve">TXN501006</t>
  </si>
  <si>
    <t xml:space="preserve">2026-02-06 13:34:00</t>
  </si>
  <si>
    <t xml:space="preserve">TXN501451</t>
  </si>
  <si>
    <t xml:space="preserve">2026-02-06 14:00:00</t>
  </si>
  <si>
    <t xml:space="preserve">TXN500658</t>
  </si>
  <si>
    <t xml:space="preserve">2026-02-06 14:32:00</t>
  </si>
  <si>
    <t xml:space="preserve">TXN500450</t>
  </si>
  <si>
    <t xml:space="preserve">2026-02-06 14:58:00</t>
  </si>
  <si>
    <t xml:space="preserve">TXN500679</t>
  </si>
  <si>
    <t xml:space="preserve">2026-02-06 16:19:00</t>
  </si>
  <si>
    <t xml:space="preserve">TXN500329</t>
  </si>
  <si>
    <t xml:space="preserve">2026-02-06 16:32:00</t>
  </si>
  <si>
    <t xml:space="preserve">TXN500608</t>
  </si>
  <si>
    <t xml:space="preserve">2026-02-07 01:14:00</t>
  </si>
  <si>
    <t xml:space="preserve">2026-02-07</t>
  </si>
  <si>
    <t xml:space="preserve">TXN500216</t>
  </si>
  <si>
    <t xml:space="preserve">2026-02-07 01:53:00</t>
  </si>
  <si>
    <t xml:space="preserve">TXN501484</t>
  </si>
  <si>
    <t xml:space="preserve">2026-02-07 02:00:00</t>
  </si>
  <si>
    <t xml:space="preserve">TXN500908</t>
  </si>
  <si>
    <t xml:space="preserve">2026-02-07 07:34:00</t>
  </si>
  <si>
    <t xml:space="preserve">TXN500618</t>
  </si>
  <si>
    <t xml:space="preserve">2026-02-07 08:17:00</t>
  </si>
  <si>
    <t xml:space="preserve">TXN500223</t>
  </si>
  <si>
    <t xml:space="preserve">2026-02-07 09:26:00</t>
  </si>
  <si>
    <t xml:space="preserve">TXN501223</t>
  </si>
  <si>
    <t xml:space="preserve">2026-02-07 11:56:00</t>
  </si>
  <si>
    <t xml:space="preserve">TXN500086</t>
  </si>
  <si>
    <t xml:space="preserve">2026-02-07 12:12:00</t>
  </si>
  <si>
    <t xml:space="preserve">TXN500885</t>
  </si>
  <si>
    <t xml:space="preserve">2026-02-07 12:23:00</t>
  </si>
  <si>
    <t xml:space="preserve">TXN500548</t>
  </si>
  <si>
    <t xml:space="preserve">2026-02-07 16:45:00</t>
  </si>
  <si>
    <t xml:space="preserve">TXN500322</t>
  </si>
  <si>
    <t xml:space="preserve">2026-02-07 17:06:00</t>
  </si>
  <si>
    <t xml:space="preserve">TXN500947</t>
  </si>
  <si>
    <t xml:space="preserve">2026-02-07 22:09:00</t>
  </si>
  <si>
    <t xml:space="preserve">TXN500759</t>
  </si>
  <si>
    <t xml:space="preserve">2026-02-07 22:30:00</t>
  </si>
  <si>
    <t xml:space="preserve">TXN501092</t>
  </si>
  <si>
    <t xml:space="preserve">2026-02-08 00:27:00</t>
  </si>
  <si>
    <t xml:space="preserve">2026-02-08</t>
  </si>
  <si>
    <t xml:space="preserve">TXN501159</t>
  </si>
  <si>
    <t xml:space="preserve">2026-02-08 04:25:00</t>
  </si>
  <si>
    <t xml:space="preserve">TXN500436</t>
  </si>
  <si>
    <t xml:space="preserve">2026-02-08 07:19:00</t>
  </si>
  <si>
    <t xml:space="preserve">TXN500214</t>
  </si>
  <si>
    <t xml:space="preserve">2026-02-08 07:24:00</t>
  </si>
  <si>
    <t xml:space="preserve">TXN501114</t>
  </si>
  <si>
    <t xml:space="preserve">2026-02-08 07:56:00</t>
  </si>
  <si>
    <t xml:space="preserve">TXN500496</t>
  </si>
  <si>
    <t xml:space="preserve">2026-02-08 08:35:00</t>
  </si>
  <si>
    <t xml:space="preserve">TXN500822</t>
  </si>
  <si>
    <t xml:space="preserve">2026-02-08 10:55:00</t>
  </si>
  <si>
    <t xml:space="preserve">TXN500486</t>
  </si>
  <si>
    <t xml:space="preserve">2026-02-08 11:46:00</t>
  </si>
  <si>
    <t xml:space="preserve">TXN500463</t>
  </si>
  <si>
    <t xml:space="preserve">2026-02-08 13:36:00</t>
  </si>
  <si>
    <t xml:space="preserve">TXN500234</t>
  </si>
  <si>
    <t xml:space="preserve">2026-02-08 14:07:00</t>
  </si>
  <si>
    <t xml:space="preserve">TXN500191</t>
  </si>
  <si>
    <t xml:space="preserve">2026-02-08 17:37:00</t>
  </si>
  <si>
    <t xml:space="preserve">TXN500495</t>
  </si>
  <si>
    <t xml:space="preserve">2026-02-08 18:42:00</t>
  </si>
  <si>
    <t xml:space="preserve">TXN500598</t>
  </si>
  <si>
    <t xml:space="preserve">2026-02-08 20:37:00</t>
  </si>
  <si>
    <t xml:space="preserve">TXN500124</t>
  </si>
  <si>
    <t xml:space="preserve">2026-02-09 05:01:00</t>
  </si>
  <si>
    <t xml:space="preserve">2026-02-09</t>
  </si>
  <si>
    <t xml:space="preserve">TXN500727</t>
  </si>
  <si>
    <t xml:space="preserve">2026-02-09 06:02:00</t>
  </si>
  <si>
    <t xml:space="preserve">TXN500320</t>
  </si>
  <si>
    <t xml:space="preserve">2026-02-09 06:13:00</t>
  </si>
  <si>
    <t xml:space="preserve">TXN500465</t>
  </si>
  <si>
    <t xml:space="preserve">2026-02-09 06:43:00</t>
  </si>
  <si>
    <t xml:space="preserve">TXN500144</t>
  </si>
  <si>
    <t xml:space="preserve">2026-02-09 08:07:00</t>
  </si>
  <si>
    <t xml:space="preserve">TXN501259</t>
  </si>
  <si>
    <t xml:space="preserve">2026-02-09 08:35:00</t>
  </si>
  <si>
    <t xml:space="preserve">TXN500583</t>
  </si>
  <si>
    <t xml:space="preserve">2026-02-09 09:50:00</t>
  </si>
  <si>
    <t xml:space="preserve">TXN500384</t>
  </si>
  <si>
    <t xml:space="preserve">2026-02-09 10:45:00</t>
  </si>
  <si>
    <t xml:space="preserve">TXN500551</t>
  </si>
  <si>
    <t xml:space="preserve">2026-02-09 11:48:00</t>
  </si>
  <si>
    <t xml:space="preserve">TXN500698</t>
  </si>
  <si>
    <t xml:space="preserve">2026-02-09 11:54:00</t>
  </si>
  <si>
    <t xml:space="preserve">TXN500356</t>
  </si>
  <si>
    <t xml:space="preserve">2026-02-09 12:52:00</t>
  </si>
  <si>
    <t xml:space="preserve">TXN500085</t>
  </si>
  <si>
    <t xml:space="preserve">2026-02-09 14:20:00</t>
  </si>
  <si>
    <t xml:space="preserve">TXN501204</t>
  </si>
  <si>
    <t xml:space="preserve">2026-02-09 15:57:00</t>
  </si>
  <si>
    <t xml:space="preserve">TXN500074</t>
  </si>
  <si>
    <t xml:space="preserve">2026-02-09 17:55:00</t>
  </si>
  <si>
    <t xml:space="preserve">TXN501279</t>
  </si>
  <si>
    <t xml:space="preserve">2026-02-09 20:43:00</t>
  </si>
  <si>
    <t xml:space="preserve">TXN500941</t>
  </si>
  <si>
    <t xml:space="preserve">2026-02-10 00:43:00</t>
  </si>
  <si>
    <t xml:space="preserve">2026-02-10</t>
  </si>
  <si>
    <t xml:space="preserve">TXN500045</t>
  </si>
  <si>
    <t xml:space="preserve">2026-02-10 02:37:00</t>
  </si>
  <si>
    <t xml:space="preserve">TXN500877</t>
  </si>
  <si>
    <t xml:space="preserve">2026-02-10 05:31:00</t>
  </si>
  <si>
    <t xml:space="preserve">TXN500301</t>
  </si>
  <si>
    <t xml:space="preserve">2026-02-10 06:04:00</t>
  </si>
  <si>
    <t xml:space="preserve">TXN501452</t>
  </si>
  <si>
    <t xml:space="preserve">2026-02-10 08:00:00</t>
  </si>
  <si>
    <t xml:space="preserve">TXN500676</t>
  </si>
  <si>
    <t xml:space="preserve">2026-02-10 08:04:00</t>
  </si>
  <si>
    <t xml:space="preserve">TXN501313</t>
  </si>
  <si>
    <t xml:space="preserve">2026-02-10 08:50:00</t>
  </si>
  <si>
    <t xml:space="preserve">TXN501396</t>
  </si>
  <si>
    <t xml:space="preserve">2026-02-10 09:34:00</t>
  </si>
  <si>
    <t xml:space="preserve">TXN501042</t>
  </si>
  <si>
    <t xml:space="preserve">2026-02-10 09:57:00</t>
  </si>
  <si>
    <t xml:space="preserve">TXN501453</t>
  </si>
  <si>
    <t xml:space="preserve">2026-02-10 10:00:00</t>
  </si>
  <si>
    <t xml:space="preserve">TXN500080</t>
  </si>
  <si>
    <t xml:space="preserve">2026-02-10 10:32:00</t>
  </si>
  <si>
    <t xml:space="preserve">TXN500514</t>
  </si>
  <si>
    <t xml:space="preserve">2026-02-10 10:36:00</t>
  </si>
  <si>
    <t xml:space="preserve">TXN501220</t>
  </si>
  <si>
    <t xml:space="preserve">2026-02-10 10:47:00</t>
  </si>
  <si>
    <t xml:space="preserve">TXN501397</t>
  </si>
  <si>
    <t xml:space="preserve">2026-02-10 11:01:00</t>
  </si>
  <si>
    <t xml:space="preserve">TXN501149</t>
  </si>
  <si>
    <t xml:space="preserve">2026-02-10 12:20:00</t>
  </si>
  <si>
    <t xml:space="preserve">TXN501398</t>
  </si>
  <si>
    <t xml:space="preserve">2026-02-10 12:28:00</t>
  </si>
  <si>
    <t xml:space="preserve">TXN500719</t>
  </si>
  <si>
    <t xml:space="preserve">2026-02-10 13:01:00</t>
  </si>
  <si>
    <t xml:space="preserve">TXN501399</t>
  </si>
  <si>
    <t xml:space="preserve">2026-02-10 13:31:00</t>
  </si>
  <si>
    <t xml:space="preserve">TXN500084</t>
  </si>
  <si>
    <t xml:space="preserve">2026-02-10 14:07:00</t>
  </si>
  <si>
    <t xml:space="preserve">TXN500262</t>
  </si>
  <si>
    <t xml:space="preserve">2026-02-10 14:23:00</t>
  </si>
  <si>
    <t xml:space="preserve">TXN500386</t>
  </si>
  <si>
    <t xml:space="preserve">2026-02-10 14:28:00</t>
  </si>
  <si>
    <t xml:space="preserve">TXN500378</t>
  </si>
  <si>
    <t xml:space="preserve">2026-02-10 14:45:00</t>
  </si>
  <si>
    <t xml:space="preserve">TXN501271</t>
  </si>
  <si>
    <t xml:space="preserve">2026-02-10 15:17:00</t>
  </si>
  <si>
    <t xml:space="preserve">TXN501319</t>
  </si>
  <si>
    <t xml:space="preserve">2026-02-10 15:25:00</t>
  </si>
  <si>
    <t xml:space="preserve">TXN500402</t>
  </si>
  <si>
    <t xml:space="preserve">2026-02-10 15:55:00</t>
  </si>
  <si>
    <t xml:space="preserve">TXN501207</t>
  </si>
  <si>
    <t xml:space="preserve">2026-02-10 17:09:00</t>
  </si>
  <si>
    <t xml:space="preserve">TXN500824</t>
  </si>
  <si>
    <t xml:space="preserve">2026-02-10 17:11:00</t>
  </si>
  <si>
    <t xml:space="preserve">TXN501122</t>
  </si>
  <si>
    <t xml:space="preserve">2026-02-10 23:50:00</t>
  </si>
  <si>
    <t xml:space="preserve">TXN500734</t>
  </si>
  <si>
    <t xml:space="preserve">2026-02-11 06:10:00</t>
  </si>
  <si>
    <t xml:space="preserve">2026-02-11</t>
  </si>
  <si>
    <t xml:space="preserve">TXN500700</t>
  </si>
  <si>
    <t xml:space="preserve">2026-02-11 06:45:00</t>
  </si>
  <si>
    <t xml:space="preserve">TXN500594</t>
  </si>
  <si>
    <t xml:space="preserve">2026-02-11 07:07:00</t>
  </si>
  <si>
    <t xml:space="preserve">TXN500694</t>
  </si>
  <si>
    <t xml:space="preserve">2026-02-11 09:17:00</t>
  </si>
  <si>
    <t xml:space="preserve">TXN501247</t>
  </si>
  <si>
    <t xml:space="preserve">2026-02-11 09:24:00</t>
  </si>
  <si>
    <t xml:space="preserve">TXN500117</t>
  </si>
  <si>
    <t xml:space="preserve">2026-02-11 09:56:00</t>
  </si>
  <si>
    <t xml:space="preserve">TXN500929</t>
  </si>
  <si>
    <t xml:space="preserve">2026-02-11 10:50:00</t>
  </si>
  <si>
    <t xml:space="preserve">TXN500021</t>
  </si>
  <si>
    <t xml:space="preserve">2026-02-11 11:07:00</t>
  </si>
  <si>
    <t xml:space="preserve">TXN501472</t>
  </si>
  <si>
    <t xml:space="preserve">2026-02-11 12:00:00</t>
  </si>
  <si>
    <t xml:space="preserve">TXN500169</t>
  </si>
  <si>
    <t xml:space="preserve">2026-02-11 13:01:00</t>
  </si>
  <si>
    <t xml:space="preserve">TXN500256</t>
  </si>
  <si>
    <t xml:space="preserve">2026-02-11 13:04:00</t>
  </si>
  <si>
    <t xml:space="preserve">TXN501470</t>
  </si>
  <si>
    <t xml:space="preserve">2026-02-11 15:00:00</t>
  </si>
  <si>
    <t xml:space="preserve">TXN500206</t>
  </si>
  <si>
    <t xml:space="preserve">2026-02-11 16:18:00</t>
  </si>
  <si>
    <t xml:space="preserve">TXN500808</t>
  </si>
  <si>
    <t xml:space="preserve">2026-02-11 17:16:00</t>
  </si>
  <si>
    <t xml:space="preserve">TXN500774</t>
  </si>
  <si>
    <t xml:space="preserve">2026-02-11 17:33:00</t>
  </si>
  <si>
    <t xml:space="preserve">TXN501218</t>
  </si>
  <si>
    <t xml:space="preserve">2026-02-11 17:56:00</t>
  </si>
  <si>
    <t xml:space="preserve">TXN500432</t>
  </si>
  <si>
    <t xml:space="preserve">2026-02-11 23:30:00</t>
  </si>
  <si>
    <t xml:space="preserve">TXN500938</t>
  </si>
  <si>
    <t xml:space="preserve">2026-02-12 01:04:00</t>
  </si>
  <si>
    <t xml:space="preserve">2026-02-12</t>
  </si>
  <si>
    <t xml:space="preserve">TXN500313</t>
  </si>
  <si>
    <t xml:space="preserve">2026-02-12 04:43:00</t>
  </si>
  <si>
    <t xml:space="preserve">TXN500244</t>
  </si>
  <si>
    <t xml:space="preserve">2026-02-12 07:08:00</t>
  </si>
  <si>
    <t xml:space="preserve">TXN501067</t>
  </si>
  <si>
    <t xml:space="preserve">2026-02-12 08:23:00</t>
  </si>
  <si>
    <t xml:space="preserve">TXN501257</t>
  </si>
  <si>
    <t xml:space="preserve">2026-02-12 09:51:00</t>
  </si>
  <si>
    <t xml:space="preserve">TXN501202</t>
  </si>
  <si>
    <t xml:space="preserve">2026-02-12 11:08:00</t>
  </si>
  <si>
    <t xml:space="preserve">TXN500107</t>
  </si>
  <si>
    <t xml:space="preserve">2026-02-12 12:26:00</t>
  </si>
  <si>
    <t xml:space="preserve">TXN501249</t>
  </si>
  <si>
    <t xml:space="preserve">2026-02-12 12:33:00</t>
  </si>
  <si>
    <t xml:space="preserve">TXN500882</t>
  </si>
  <si>
    <t xml:space="preserve">2026-02-12 12:39:00</t>
  </si>
  <si>
    <t xml:space="preserve">TXN500825</t>
  </si>
  <si>
    <t xml:space="preserve">2026-02-12 14:11:00</t>
  </si>
  <si>
    <t xml:space="preserve">TXN500817</t>
  </si>
  <si>
    <t xml:space="preserve">2026-02-12 14:14:00</t>
  </si>
  <si>
    <t xml:space="preserve">TXN500424</t>
  </si>
  <si>
    <t xml:space="preserve">2026-02-12 14:26:00</t>
  </si>
  <si>
    <t xml:space="preserve">TXN500071</t>
  </si>
  <si>
    <t xml:space="preserve">2026-02-12 16:26:00</t>
  </si>
  <si>
    <t xml:space="preserve">TXN501262</t>
  </si>
  <si>
    <t xml:space="preserve">2026-02-12 17:59:00</t>
  </si>
  <si>
    <t xml:space="preserve">TXN500729</t>
  </si>
  <si>
    <t xml:space="preserve">2026-02-12 20:12:00</t>
  </si>
  <si>
    <t xml:space="preserve">TXN500874</t>
  </si>
  <si>
    <t xml:space="preserve">2026-02-12 22:03:00</t>
  </si>
  <si>
    <t xml:space="preserve">TXN500135</t>
  </si>
  <si>
    <t xml:space="preserve">2026-02-13 01:54:00</t>
  </si>
  <si>
    <t xml:space="preserve">2026-02-13</t>
  </si>
  <si>
    <t xml:space="preserve">TXN501041</t>
  </si>
  <si>
    <t xml:space="preserve">2026-02-13 03:59:00</t>
  </si>
  <si>
    <t xml:space="preserve">TXN500889</t>
  </si>
  <si>
    <t xml:space="preserve">2026-02-13 05:26:00</t>
  </si>
  <si>
    <t xml:space="preserve">TXN500016</t>
  </si>
  <si>
    <t xml:space="preserve">2026-02-13 05:27:00</t>
  </si>
  <si>
    <t xml:space="preserve">TXN500860</t>
  </si>
  <si>
    <t xml:space="preserve">2026-02-13 06:25:00</t>
  </si>
  <si>
    <t xml:space="preserve">TXN501303</t>
  </si>
  <si>
    <t xml:space="preserve">2026-02-13 07:44:00</t>
  </si>
  <si>
    <t xml:space="preserve">TXN500295</t>
  </si>
  <si>
    <t xml:space="preserve">2026-02-13 07:49:00</t>
  </si>
  <si>
    <t xml:space="preserve">TXN501072</t>
  </si>
  <si>
    <t xml:space="preserve">2026-02-13 10:39:00</t>
  </si>
  <si>
    <t xml:space="preserve">TXN500422</t>
  </si>
  <si>
    <t xml:space="preserve">2026-02-13 12:32:00</t>
  </si>
  <si>
    <t xml:space="preserve">TXN500869</t>
  </si>
  <si>
    <t xml:space="preserve">2026-02-13 12:44:00</t>
  </si>
  <si>
    <t xml:space="preserve">TXN501360</t>
  </si>
  <si>
    <t xml:space="preserve">2026-02-13 14:11:00</t>
  </si>
  <si>
    <t xml:space="preserve">TXN500112</t>
  </si>
  <si>
    <t xml:space="preserve">2026-02-13 14:51:00</t>
  </si>
  <si>
    <t xml:space="preserve">TXN500783</t>
  </si>
  <si>
    <t xml:space="preserve">2026-02-13 17:19:00</t>
  </si>
  <si>
    <t xml:space="preserve">TXN500323</t>
  </si>
  <si>
    <t xml:space="preserve">2026-02-13 18:39:00</t>
  </si>
  <si>
    <t xml:space="preserve">TXN501199</t>
  </si>
  <si>
    <t xml:space="preserve">2026-02-13 19:42:00</t>
  </si>
  <si>
    <t xml:space="preserve">TXN501036</t>
  </si>
  <si>
    <t xml:space="preserve">2026-02-13 22:29:00</t>
  </si>
  <si>
    <t xml:space="preserve">TXN500360</t>
  </si>
  <si>
    <t xml:space="preserve">2026-02-13 22:31:00</t>
  </si>
  <si>
    <t xml:space="preserve">TXN500484</t>
  </si>
  <si>
    <t xml:space="preserve">2026-02-14 05:34:00</t>
  </si>
  <si>
    <t xml:space="preserve">2026-02-14</t>
  </si>
  <si>
    <t xml:space="preserve">TXN500119</t>
  </si>
  <si>
    <t xml:space="preserve">2026-02-14 07:04:00</t>
  </si>
  <si>
    <t xml:space="preserve">TXN500925</t>
  </si>
  <si>
    <t xml:space="preserve">2026-02-14 07:13:00</t>
  </si>
  <si>
    <t xml:space="preserve">TXN501177</t>
  </si>
  <si>
    <t xml:space="preserve">2026-02-14 07:22:00</t>
  </si>
  <si>
    <t xml:space="preserve">TXN500951</t>
  </si>
  <si>
    <t xml:space="preserve">2026-02-14 07:57:00</t>
  </si>
  <si>
    <t xml:space="preserve">TXN501377</t>
  </si>
  <si>
    <t xml:space="preserve">2026-02-14 09:25:00</t>
  </si>
  <si>
    <t xml:space="preserve">TXN501052</t>
  </si>
  <si>
    <t xml:space="preserve">2026-02-14 10:43:00</t>
  </si>
  <si>
    <t xml:space="preserve">TXN501378</t>
  </si>
  <si>
    <t xml:space="preserve">2026-02-14 11:02:00</t>
  </si>
  <si>
    <t xml:space="preserve">TXN500982</t>
  </si>
  <si>
    <t xml:space="preserve">2026-02-14 11:30:00</t>
  </si>
  <si>
    <t xml:space="preserve">TXN501298</t>
  </si>
  <si>
    <t xml:space="preserve">2026-02-14 11:54:00</t>
  </si>
  <si>
    <t xml:space="preserve">TXN501379</t>
  </si>
  <si>
    <t xml:space="preserve">2026-02-14 12:31:00</t>
  </si>
  <si>
    <t xml:space="preserve">TXN500438</t>
  </si>
  <si>
    <t xml:space="preserve">2026-02-14 12:59:00</t>
  </si>
  <si>
    <t xml:space="preserve">TXN501299</t>
  </si>
  <si>
    <t xml:space="preserve">2026-02-14 13:08:00</t>
  </si>
  <si>
    <t xml:space="preserve">TXN500644</t>
  </si>
  <si>
    <t xml:space="preserve">2026-02-14 15:40:00</t>
  </si>
  <si>
    <t xml:space="preserve">TXN500778</t>
  </si>
  <si>
    <t xml:space="preserve">2026-02-14 18:16:00</t>
  </si>
  <si>
    <t xml:space="preserve">TXN500390</t>
  </si>
  <si>
    <t xml:space="preserve">2026-02-14 21:33:00</t>
  </si>
  <si>
    <t xml:space="preserve">TXN500440</t>
  </si>
  <si>
    <t xml:space="preserve">2026-02-14 21:51:00</t>
  </si>
  <si>
    <t xml:space="preserve">TXN501314</t>
  </si>
  <si>
    <t xml:space="preserve">2026-02-14 23:37:00</t>
  </si>
  <si>
    <t xml:space="preserve">TXN500956</t>
  </si>
  <si>
    <t xml:space="preserve">2026-02-15 06:41:00</t>
  </si>
  <si>
    <t xml:space="preserve">2026-02-15</t>
  </si>
  <si>
    <t xml:space="preserve">TXN501328</t>
  </si>
  <si>
    <t xml:space="preserve">2026-02-15 07:27:00</t>
  </si>
  <si>
    <t xml:space="preserve">TXN501291</t>
  </si>
  <si>
    <t xml:space="preserve">2026-02-15 08:52:00</t>
  </si>
  <si>
    <t xml:space="preserve">TXN501196</t>
  </si>
  <si>
    <t xml:space="preserve">2026-02-15 09:19:00</t>
  </si>
  <si>
    <t xml:space="preserve">TXN500546</t>
  </si>
  <si>
    <t xml:space="preserve">2026-02-15 12:24:00</t>
  </si>
  <si>
    <t xml:space="preserve">TXN500554</t>
  </si>
  <si>
    <t xml:space="preserve">2026-02-15 12:38:00</t>
  </si>
  <si>
    <t xml:space="preserve">TXN500814</t>
  </si>
  <si>
    <t xml:space="preserve">2026-02-15 12:54:00</t>
  </si>
  <si>
    <t xml:space="preserve">TXN501028</t>
  </si>
  <si>
    <t xml:space="preserve">2026-02-15 14:25:00</t>
  </si>
  <si>
    <t xml:space="preserve">TXN500434</t>
  </si>
  <si>
    <t xml:space="preserve">2026-02-15 14:55:00</t>
  </si>
  <si>
    <t xml:space="preserve">TXN500249</t>
  </si>
  <si>
    <t xml:space="preserve">2026-02-15 16:15:00</t>
  </si>
  <si>
    <t xml:space="preserve">TXN501084</t>
  </si>
  <si>
    <t xml:space="preserve">2026-02-15 17:20:00</t>
  </si>
  <si>
    <t xml:space="preserve">TXN500597</t>
  </si>
  <si>
    <t xml:space="preserve">2026-02-15 17:39:00</t>
  </si>
  <si>
    <t xml:space="preserve">TXN501338</t>
  </si>
  <si>
    <t xml:space="preserve">2026-02-15 22:51:00</t>
  </si>
  <si>
    <t xml:space="preserve">TXN500757</t>
  </si>
  <si>
    <t xml:space="preserve">2026-02-16 00:05:00</t>
  </si>
  <si>
    <t xml:space="preserve">2026-02-16</t>
  </si>
  <si>
    <t xml:space="preserve">TXN500348</t>
  </si>
  <si>
    <t xml:space="preserve">2026-02-16 03:33:00</t>
  </si>
  <si>
    <t xml:space="preserve">TXN501231</t>
  </si>
  <si>
    <t xml:space="preserve">2026-02-16 04:45:00</t>
  </si>
  <si>
    <t xml:space="preserve">TXN501138</t>
  </si>
  <si>
    <t xml:space="preserve">2026-02-16 07:45:00</t>
  </si>
  <si>
    <t xml:space="preserve">TXN501448</t>
  </si>
  <si>
    <t xml:space="preserve">2026-02-16 08:00:00</t>
  </si>
  <si>
    <t xml:space="preserve">TXN500926</t>
  </si>
  <si>
    <t xml:space="preserve">2026-02-16 08:48:00</t>
  </si>
  <si>
    <t xml:space="preserve">TXN501089</t>
  </si>
  <si>
    <t xml:space="preserve">2026-02-16 10:09:00</t>
  </si>
  <si>
    <t xml:space="preserve">TXN501449</t>
  </si>
  <si>
    <t xml:space="preserve">2026-02-16 13:00:00</t>
  </si>
  <si>
    <t xml:space="preserve">TXN501055</t>
  </si>
  <si>
    <t xml:space="preserve">2026-02-16 13:16:00</t>
  </si>
  <si>
    <t xml:space="preserve">TXN500985</t>
  </si>
  <si>
    <t xml:space="preserve">2026-02-16 13:52:00</t>
  </si>
  <si>
    <t xml:space="preserve">TXN500418</t>
  </si>
  <si>
    <t xml:space="preserve">2026-02-16 16:12:00</t>
  </si>
  <si>
    <t xml:space="preserve">TXN500856</t>
  </si>
  <si>
    <t xml:space="preserve">2026-02-16 16:20:00</t>
  </si>
  <si>
    <t xml:space="preserve">TXN500413</t>
  </si>
  <si>
    <t xml:space="preserve">2026-02-16 16:23:00</t>
  </si>
  <si>
    <t xml:space="preserve">TXN500881</t>
  </si>
  <si>
    <t xml:space="preserve">2026-02-16 17:52:00</t>
  </si>
  <si>
    <t xml:space="preserve">TXN501158</t>
  </si>
  <si>
    <t xml:space="preserve">2026-02-16 18:15:00</t>
  </si>
  <si>
    <t xml:space="preserve">TXN500504</t>
  </si>
  <si>
    <t xml:space="preserve">2026-02-17 04:46:00</t>
  </si>
  <si>
    <t xml:space="preserve">2026-02-17</t>
  </si>
  <si>
    <t xml:space="preserve">TXN500231</t>
  </si>
  <si>
    <t xml:space="preserve">2026-02-17 05:14:00</t>
  </si>
  <si>
    <t xml:space="preserve">TXN500270</t>
  </si>
  <si>
    <t xml:space="preserve">2026-02-17 05:17:00</t>
  </si>
  <si>
    <t xml:space="preserve">TXN500762</t>
  </si>
  <si>
    <t xml:space="preserve">2026-02-17 06:02:00</t>
  </si>
  <si>
    <t xml:space="preserve">TXN500240</t>
  </si>
  <si>
    <t xml:space="preserve">2026-02-17 07:28:00</t>
  </si>
  <si>
    <t xml:space="preserve">TXN501058</t>
  </si>
  <si>
    <t xml:space="preserve">2026-02-17 09:25:00</t>
  </si>
  <si>
    <t xml:space="preserve">TXN501388</t>
  </si>
  <si>
    <t xml:space="preserve">2026-02-17 09:35:00</t>
  </si>
  <si>
    <t xml:space="preserve">TXN500002</t>
  </si>
  <si>
    <t xml:space="preserve">2026-02-17 09:42:00</t>
  </si>
  <si>
    <t xml:space="preserve">TXN500359</t>
  </si>
  <si>
    <t xml:space="preserve">2026-02-17 10:25:00</t>
  </si>
  <si>
    <t xml:space="preserve">TXN500580</t>
  </si>
  <si>
    <t xml:space="preserve">2026-02-17 10:49:00</t>
  </si>
  <si>
    <t xml:space="preserve">TXN501389</t>
  </si>
  <si>
    <t xml:space="preserve">2026-02-17 10:54:00</t>
  </si>
  <si>
    <t xml:space="preserve">TXN500690</t>
  </si>
  <si>
    <t xml:space="preserve">2026-02-17 11:47:00</t>
  </si>
  <si>
    <t xml:space="preserve">TXN501390</t>
  </si>
  <si>
    <t xml:space="preserve">2026-02-17 12:19:00</t>
  </si>
  <si>
    <t xml:space="preserve">TXN501013</t>
  </si>
  <si>
    <t xml:space="preserve">2026-02-17 12:30:00</t>
  </si>
  <si>
    <t xml:space="preserve">TXN500931</t>
  </si>
  <si>
    <t xml:space="preserve">2026-02-17 12:32:00</t>
  </si>
  <si>
    <t xml:space="preserve">TXN500682</t>
  </si>
  <si>
    <t xml:space="preserve">2026-02-17 13:31:00</t>
  </si>
  <si>
    <t xml:space="preserve">TXN501048</t>
  </si>
  <si>
    <t xml:space="preserve">TXN501391</t>
  </si>
  <si>
    <t xml:space="preserve">2026-02-17 13:36:00</t>
  </si>
  <si>
    <t xml:space="preserve">TXN500328</t>
  </si>
  <si>
    <t xml:space="preserve">2026-02-17 14:36:00</t>
  </si>
  <si>
    <t xml:space="preserve">TXN500237</t>
  </si>
  <si>
    <t xml:space="preserve">2026-02-17 14:47:00</t>
  </si>
  <si>
    <t xml:space="preserve">TXN501392</t>
  </si>
  <si>
    <t xml:space="preserve">2026-02-17 15:22:00</t>
  </si>
  <si>
    <t xml:space="preserve">TXN500793</t>
  </si>
  <si>
    <t xml:space="preserve">2026-02-17 17:32:00</t>
  </si>
  <si>
    <t xml:space="preserve">TXN500641</t>
  </si>
  <si>
    <t xml:space="preserve">2026-02-17 18:08:00</t>
  </si>
  <si>
    <t xml:space="preserve">TXN501316</t>
  </si>
  <si>
    <t xml:space="preserve">2026-02-17 19:03:00</t>
  </si>
  <si>
    <t xml:space="preserve">TXN500311</t>
  </si>
  <si>
    <t xml:space="preserve">2026-02-17 20:24:00</t>
  </si>
  <si>
    <t xml:space="preserve">TXN500830</t>
  </si>
  <si>
    <t xml:space="preserve">2026-02-17 21:57:00</t>
  </si>
  <si>
    <t xml:space="preserve">TXN501233</t>
  </si>
  <si>
    <t xml:space="preserve">2026-02-18 02:10:00</t>
  </si>
  <si>
    <t xml:space="preserve">2026-02-18</t>
  </si>
  <si>
    <t xml:space="preserve">TXN500324</t>
  </si>
  <si>
    <t xml:space="preserve">2026-02-18 06:11:00</t>
  </si>
  <si>
    <t xml:space="preserve">TXN500557</t>
  </si>
  <si>
    <t xml:space="preserve">2026-02-18 06:17:00</t>
  </si>
  <si>
    <t xml:space="preserve">TXN500567</t>
  </si>
  <si>
    <t xml:space="preserve">2026-02-18 08:50:00</t>
  </si>
  <si>
    <t xml:space="preserve">TXN500997</t>
  </si>
  <si>
    <t xml:space="preserve">2026-02-18 10:06:00</t>
  </si>
  <si>
    <t xml:space="preserve">TXN500945</t>
  </si>
  <si>
    <t xml:space="preserve">2026-02-18 10:42:00</t>
  </si>
  <si>
    <t xml:space="preserve">TXN500483</t>
  </si>
  <si>
    <t xml:space="preserve">2026-02-18 10:43:00</t>
  </si>
  <si>
    <t xml:space="preserve">TXN500109</t>
  </si>
  <si>
    <t xml:space="preserve">2026-02-18 11:22:00</t>
  </si>
  <si>
    <t xml:space="preserve">TXN500156</t>
  </si>
  <si>
    <t xml:space="preserve">2026-02-18 11:28:00</t>
  </si>
  <si>
    <t xml:space="preserve">TXN501200</t>
  </si>
  <si>
    <t xml:space="preserve">2026-02-18 12:43:00</t>
  </si>
  <si>
    <t xml:space="preserve">TXN501191</t>
  </si>
  <si>
    <t xml:space="preserve">2026-02-18 12:45:00</t>
  </si>
  <si>
    <t xml:space="preserve">TXN500711</t>
  </si>
  <si>
    <t xml:space="preserve">2026-02-18 14:11:00</t>
  </si>
  <si>
    <t xml:space="preserve">TXN500087</t>
  </si>
  <si>
    <t xml:space="preserve">2026-02-18 14:57:00</t>
  </si>
  <si>
    <t xml:space="preserve">TXN500487</t>
  </si>
  <si>
    <t xml:space="preserve">2026-02-18 17:15:00</t>
  </si>
  <si>
    <t xml:space="preserve">TXN500803</t>
  </si>
  <si>
    <t xml:space="preserve">2026-02-18 17:29:00</t>
  </si>
  <si>
    <t xml:space="preserve">TXN500686</t>
  </si>
  <si>
    <t xml:space="preserve">2026-02-18 17:46:00</t>
  </si>
  <si>
    <t xml:space="preserve">TXN500981</t>
  </si>
  <si>
    <t xml:space="preserve">2026-02-18 22:14:00</t>
  </si>
  <si>
    <t xml:space="preserve">TXN501289</t>
  </si>
  <si>
    <t xml:space="preserve">2026-02-19 02:27:00</t>
  </si>
  <si>
    <t xml:space="preserve">2026-02-19</t>
  </si>
  <si>
    <t xml:space="preserve">TXN500652</t>
  </si>
  <si>
    <t xml:space="preserve">2026-02-19 05:31:00</t>
  </si>
  <si>
    <t xml:space="preserve">TXN500042</t>
  </si>
  <si>
    <t xml:space="preserve">2026-02-19 08:50:00</t>
  </si>
  <si>
    <t xml:space="preserve">TXN501371</t>
  </si>
  <si>
    <t xml:space="preserve">2026-02-19 09:03:00</t>
  </si>
  <si>
    <t xml:space="preserve">TXN500550</t>
  </si>
  <si>
    <t xml:space="preserve">2026-02-19 09:06:00</t>
  </si>
  <si>
    <t xml:space="preserve">TXN500896</t>
  </si>
  <si>
    <t xml:space="preserve">2026-02-19 10:38:00</t>
  </si>
  <si>
    <t xml:space="preserve">TXN501214</t>
  </si>
  <si>
    <t xml:space="preserve">2026-02-19 11:08:00</t>
  </si>
  <si>
    <t xml:space="preserve">TXN500745</t>
  </si>
  <si>
    <t xml:space="preserve">2026-02-19 11:26:00</t>
  </si>
  <si>
    <t xml:space="preserve">TXN500833</t>
  </si>
  <si>
    <t xml:space="preserve">2026-02-19 12:19:00</t>
  </si>
  <si>
    <t xml:space="preserve">TXN500596</t>
  </si>
  <si>
    <t xml:space="preserve">2026-02-19 13:37:00</t>
  </si>
  <si>
    <t xml:space="preserve">TXN500895</t>
  </si>
  <si>
    <t xml:space="preserve">2026-02-19 14:38:00</t>
  </si>
  <si>
    <t xml:space="preserve">TXN500654</t>
  </si>
  <si>
    <t xml:space="preserve">2026-02-19 17:36:00</t>
  </si>
  <si>
    <t xml:space="preserve">TXN501022</t>
  </si>
  <si>
    <t xml:space="preserve">2026-02-19 20:25:00</t>
  </si>
  <si>
    <t xml:space="preserve">TXN500370</t>
  </si>
  <si>
    <t xml:space="preserve">2026-02-19 21:02:00</t>
  </si>
  <si>
    <t xml:space="preserve">TXN501019</t>
  </si>
  <si>
    <t xml:space="preserve">2026-02-19 22:00:00</t>
  </si>
  <si>
    <t xml:space="preserve">TXN500336</t>
  </si>
  <si>
    <t xml:space="preserve">2026-02-19 23:23:00</t>
  </si>
  <si>
    <t xml:space="preserve">TXN500530</t>
  </si>
  <si>
    <t xml:space="preserve">2026-02-20 03:25:00</t>
  </si>
  <si>
    <t xml:space="preserve">2026-02-20</t>
  </si>
  <si>
    <t xml:space="preserve">TXN501170</t>
  </si>
  <si>
    <t xml:space="preserve">2026-02-20 06:21:00</t>
  </si>
  <si>
    <t xml:space="preserve">TXN501373</t>
  </si>
  <si>
    <t xml:space="preserve">2026-02-20 06:31:00</t>
  </si>
  <si>
    <t xml:space="preserve">TXN501296</t>
  </si>
  <si>
    <t xml:space="preserve">2026-02-20 06:58:00</t>
  </si>
  <si>
    <t xml:space="preserve">TXN500970</t>
  </si>
  <si>
    <t xml:space="preserve">2026-02-20 07:49:00</t>
  </si>
  <si>
    <t xml:space="preserve">TXN500242</t>
  </si>
  <si>
    <t xml:space="preserve">2026-02-20 08:07:00</t>
  </si>
  <si>
    <t xml:space="preserve">TXN500760</t>
  </si>
  <si>
    <t xml:space="preserve">2026-02-20 11:57:00</t>
  </si>
  <si>
    <t xml:space="preserve">TXN500701</t>
  </si>
  <si>
    <t xml:space="preserve">2026-02-20 12:43:00</t>
  </si>
  <si>
    <t xml:space="preserve">TXN501195</t>
  </si>
  <si>
    <t xml:space="preserve">2026-02-20 15:01:00</t>
  </si>
  <si>
    <t xml:space="preserve">TXN501012</t>
  </si>
  <si>
    <t xml:space="preserve">2026-02-20 16:26:00</t>
  </si>
  <si>
    <t xml:space="preserve">TXN500288</t>
  </si>
  <si>
    <t xml:space="preserve">2026-02-20 17:02:00</t>
  </si>
  <si>
    <t xml:space="preserve">TXN500781</t>
  </si>
  <si>
    <t xml:space="preserve">2026-02-20 18:21:00</t>
  </si>
  <si>
    <t xml:space="preserve">TXN500897</t>
  </si>
  <si>
    <t xml:space="preserve">2026-02-20 22:18:00</t>
  </si>
  <si>
    <t xml:space="preserve">TXN500812</t>
  </si>
  <si>
    <t xml:space="preserve">2026-02-21 10:02:00</t>
  </si>
  <si>
    <t xml:space="preserve">2026-02-21</t>
  </si>
  <si>
    <t xml:space="preserve">TXN500261</t>
  </si>
  <si>
    <t xml:space="preserve">2026-02-21 10:06:00</t>
  </si>
  <si>
    <t xml:space="preserve">TXN500533</t>
  </si>
  <si>
    <t xml:space="preserve">2026-02-21 10:35:00</t>
  </si>
  <si>
    <t xml:space="preserve">TXN500878</t>
  </si>
  <si>
    <t xml:space="preserve">TXN500294</t>
  </si>
  <si>
    <t xml:space="preserve">2026-02-21 12:25:00</t>
  </si>
  <si>
    <t xml:space="preserve">TXN500574</t>
  </si>
  <si>
    <t xml:space="preserve">2026-02-21 12:59:00</t>
  </si>
  <si>
    <t xml:space="preserve">TXN500991</t>
  </si>
  <si>
    <t xml:space="preserve">2026-02-21 13:36:00</t>
  </si>
  <si>
    <t xml:space="preserve">TXN500589</t>
  </si>
  <si>
    <t xml:space="preserve">2026-02-21 14:11:00</t>
  </si>
  <si>
    <t xml:space="preserve">TXN500810</t>
  </si>
  <si>
    <t xml:space="preserve">2026-02-21 14:43:00</t>
  </si>
  <si>
    <t xml:space="preserve">TXN500036</t>
  </si>
  <si>
    <t xml:space="preserve">2026-02-21 15:51:00</t>
  </si>
  <si>
    <t xml:space="preserve">TXN501219</t>
  </si>
  <si>
    <t xml:space="preserve">2026-02-21 16:38:00</t>
  </si>
  <si>
    <t xml:space="preserve">TXN500875</t>
  </si>
  <si>
    <t xml:space="preserve">2026-02-21 17:05:00</t>
  </si>
  <si>
    <t xml:space="preserve">TXN500041</t>
  </si>
  <si>
    <t xml:space="preserve">2026-02-21 19:10:00</t>
  </si>
  <si>
    <t xml:space="preserve">TXN500988</t>
  </si>
  <si>
    <t xml:space="preserve">2026-02-22 01:02:00</t>
  </si>
  <si>
    <t xml:space="preserve">2026-02-22</t>
  </si>
  <si>
    <t xml:space="preserve">TXN500684</t>
  </si>
  <si>
    <t xml:space="preserve">2026-02-22 01:34:00</t>
  </si>
  <si>
    <t xml:space="preserve">TXN501362</t>
  </si>
  <si>
    <t xml:space="preserve">2026-02-22 04:06:00</t>
  </si>
  <si>
    <t xml:space="preserve">TXN500522</t>
  </si>
  <si>
    <t xml:space="preserve">2026-02-22 06:40:00</t>
  </si>
  <si>
    <t xml:space="preserve">TXN501216</t>
  </si>
  <si>
    <t xml:space="preserve">2026-02-22 07:42:00</t>
  </si>
  <si>
    <t xml:space="preserve">TXN501227</t>
  </si>
  <si>
    <t xml:space="preserve">2026-02-22 09:01:00</t>
  </si>
  <si>
    <t xml:space="preserve">TXN500940</t>
  </si>
  <si>
    <t xml:space="preserve">2026-02-22 10:40:00</t>
  </si>
  <si>
    <t xml:space="preserve">TXN501240</t>
  </si>
  <si>
    <t xml:space="preserve">2026-02-22 11:38:00</t>
  </si>
  <si>
    <t xml:space="preserve">TXN500139</t>
  </si>
  <si>
    <t xml:space="preserve">2026-02-22 11:48:00</t>
  </si>
  <si>
    <t xml:space="preserve">TXN500800</t>
  </si>
  <si>
    <t xml:space="preserve">2026-02-22 12:55:00</t>
  </si>
  <si>
    <t xml:space="preserve">TXN501349</t>
  </si>
  <si>
    <t xml:space="preserve">2026-02-22 16:15:00</t>
  </si>
  <si>
    <t xml:space="preserve">TXN500385</t>
  </si>
  <si>
    <t xml:space="preserve">2026-02-22 16:52:00</t>
  </si>
  <si>
    <t xml:space="preserve">TXN501094</t>
  </si>
  <si>
    <t xml:space="preserve">2026-02-22 18:27:00</t>
  </si>
  <si>
    <t xml:space="preserve">TXN500714</t>
  </si>
  <si>
    <t xml:space="preserve">2026-02-22 18:30:00</t>
  </si>
  <si>
    <t xml:space="preserve">TXN501265</t>
  </si>
  <si>
    <t xml:space="preserve">2026-02-22 20:03:00</t>
  </si>
  <si>
    <t xml:space="preserve">TXN500619</t>
  </si>
  <si>
    <t xml:space="preserve">2026-02-22 20:17:00</t>
  </si>
  <si>
    <t xml:space="preserve">TXN501039</t>
  </si>
  <si>
    <t xml:space="preserve">2026-02-22 21:33:00</t>
  </si>
  <si>
    <t xml:space="preserve">TXN501208</t>
  </si>
  <si>
    <t xml:space="preserve">2026-02-22 22:19:00</t>
  </si>
  <si>
    <t xml:space="preserve">TXN500502</t>
  </si>
  <si>
    <t xml:space="preserve">2026-02-22 22:35:00</t>
  </si>
  <si>
    <t xml:space="preserve">TXN500776</t>
  </si>
  <si>
    <t xml:space="preserve">2026-02-23 06:36:00</t>
  </si>
  <si>
    <t xml:space="preserve">2026-02-23</t>
  </si>
  <si>
    <t xml:space="preserve">TXN500347</t>
  </si>
  <si>
    <t xml:space="preserve">2026-02-23 06:42:00</t>
  </si>
  <si>
    <t xml:space="preserve">TXN500406</t>
  </si>
  <si>
    <t xml:space="preserve">2026-02-23 07:55:00</t>
  </si>
  <si>
    <t xml:space="preserve">TXN500118</t>
  </si>
  <si>
    <t xml:space="preserve">2026-02-23 08:05:00</t>
  </si>
  <si>
    <t xml:space="preserve">TXN500559</t>
  </si>
  <si>
    <t xml:space="preserve">2026-02-23 08:50:00</t>
  </si>
  <si>
    <t xml:space="preserve">TXN500622</t>
  </si>
  <si>
    <t xml:space="preserve">2026-02-23 10:04:00</t>
  </si>
  <si>
    <t xml:space="preserve">TXN500499</t>
  </si>
  <si>
    <t xml:space="preserve">2026-02-23 10:19:00</t>
  </si>
  <si>
    <t xml:space="preserve">TXN500108</t>
  </si>
  <si>
    <t xml:space="preserve">2026-02-23 10:49:00</t>
  </si>
  <si>
    <t xml:space="preserve">TXN500110</t>
  </si>
  <si>
    <t xml:space="preserve">2026-02-23 12:47:00</t>
  </si>
  <si>
    <t xml:space="preserve">TXN500397</t>
  </si>
  <si>
    <t xml:space="preserve">2026-02-23 13:01:00</t>
  </si>
  <si>
    <t xml:space="preserve">TXN501428</t>
  </si>
  <si>
    <t xml:space="preserve">2026-02-23 14:00:00</t>
  </si>
  <si>
    <t xml:space="preserve">TXN501429</t>
  </si>
  <si>
    <t xml:space="preserve">2026-02-23 14:05:00</t>
  </si>
  <si>
    <t xml:space="preserve">TXN501430</t>
  </si>
  <si>
    <t xml:space="preserve">2026-02-23 14:10:00</t>
  </si>
  <si>
    <t xml:space="preserve">TXN501431</t>
  </si>
  <si>
    <t xml:space="preserve">2026-02-23 14:15:00</t>
  </si>
  <si>
    <t xml:space="preserve">TXN501432</t>
  </si>
  <si>
    <t xml:space="preserve">2026-02-23 14:20:00</t>
  </si>
  <si>
    <t xml:space="preserve">TXN501433</t>
  </si>
  <si>
    <t xml:space="preserve">2026-02-23 14:25:00</t>
  </si>
  <si>
    <t xml:space="preserve">TXN501434</t>
  </si>
  <si>
    <t xml:space="preserve">2026-02-23 14:30:00</t>
  </si>
  <si>
    <t xml:space="preserve">TXN501435</t>
  </si>
  <si>
    <t xml:space="preserve">2026-02-23 14:35:00</t>
  </si>
  <si>
    <t xml:space="preserve">TXN500343</t>
  </si>
  <si>
    <t xml:space="preserve">2026-02-23 14:39:00</t>
  </si>
  <si>
    <t xml:space="preserve">TXN501436</t>
  </si>
  <si>
    <t xml:space="preserve">2026-02-23 14:40:00</t>
  </si>
  <si>
    <t xml:space="preserve">TXN501437</t>
  </si>
  <si>
    <t xml:space="preserve">2026-02-23 14:45:00</t>
  </si>
  <si>
    <t xml:space="preserve">TXN500818</t>
  </si>
  <si>
    <t xml:space="preserve">2026-02-23 16:21:00</t>
  </si>
  <si>
    <t xml:space="preserve">TXN500452</t>
  </si>
  <si>
    <t xml:space="preserve">2026-02-23 18:11:00</t>
  </si>
  <si>
    <t xml:space="preserve">TXN500094</t>
  </si>
  <si>
    <t xml:space="preserve">2026-02-23 18:36:00</t>
  </si>
  <si>
    <t xml:space="preserve">TXN500864</t>
  </si>
  <si>
    <t xml:space="preserve">2026-02-23 19:30:00</t>
  </si>
  <si>
    <t xml:space="preserve">TXN501164</t>
  </si>
  <si>
    <t xml:space="preserve">2026-02-23 20:07:00</t>
  </si>
  <si>
    <t xml:space="preserve">TXN500767</t>
  </si>
  <si>
    <t xml:space="preserve">2026-02-23 22:43:00</t>
  </si>
  <si>
    <t xml:space="preserve">TXN500346</t>
  </si>
  <si>
    <t xml:space="preserve">2026-02-24 00:22:00</t>
  </si>
  <si>
    <t xml:space="preserve">2026-02-24</t>
  </si>
  <si>
    <t xml:space="preserve">TXN500960</t>
  </si>
  <si>
    <t xml:space="preserve">2026-02-24 06:20:00</t>
  </si>
  <si>
    <t xml:space="preserve">TXN500918</t>
  </si>
  <si>
    <t xml:space="preserve">2026-02-24 08:16:00</t>
  </si>
  <si>
    <t xml:space="preserve">TXN500157</t>
  </si>
  <si>
    <t xml:space="preserve">2026-02-24 08:39:00</t>
  </si>
  <si>
    <t xml:space="preserve">TXN500647</t>
  </si>
  <si>
    <t xml:space="preserve">2026-02-24 09:08:00</t>
  </si>
  <si>
    <t xml:space="preserve">TXN501051</t>
  </si>
  <si>
    <t xml:space="preserve">2026-02-24 11:34:00</t>
  </si>
  <si>
    <t xml:space="preserve">TXN500013</t>
  </si>
  <si>
    <t xml:space="preserve">2026-02-24 13:24:00</t>
  </si>
  <si>
    <t xml:space="preserve">TXN500290</t>
  </si>
  <si>
    <t xml:space="preserve">2026-02-24 13:45:00</t>
  </si>
  <si>
    <t xml:space="preserve">TXN500255</t>
  </si>
  <si>
    <t xml:space="preserve">2026-02-24 14:31:00</t>
  </si>
  <si>
    <t xml:space="preserve">TXN500043</t>
  </si>
  <si>
    <t xml:space="preserve">2026-02-24 15:46:00</t>
  </si>
  <si>
    <t xml:space="preserve">TXN500083</t>
  </si>
  <si>
    <t xml:space="preserve">2026-02-25 03:42:00</t>
  </si>
  <si>
    <t xml:space="preserve">2026-02-25</t>
  </si>
  <si>
    <t xml:space="preserve">TXN500264</t>
  </si>
  <si>
    <t xml:space="preserve">2026-02-25 04:47:00</t>
  </si>
  <si>
    <t xml:space="preserve">TXN500578</t>
  </si>
  <si>
    <t xml:space="preserve">2026-02-25 05:06:00</t>
  </si>
  <si>
    <t xml:space="preserve">TXN500282</t>
  </si>
  <si>
    <t xml:space="preserve">2026-02-25 05:43:00</t>
  </si>
  <si>
    <t xml:space="preserve">TXN500753</t>
  </si>
  <si>
    <t xml:space="preserve">2026-02-25 06:06:00</t>
  </si>
  <si>
    <t xml:space="preserve">TXN500286</t>
  </si>
  <si>
    <t xml:space="preserve">2026-02-25 06:24:00</t>
  </si>
  <si>
    <t xml:space="preserve">TXN500207</t>
  </si>
  <si>
    <t xml:space="preserve">2026-02-25 06:33:00</t>
  </si>
  <si>
    <t xml:space="preserve">TXN500543</t>
  </si>
  <si>
    <t xml:space="preserve">2026-02-25 07:04:00</t>
  </si>
  <si>
    <t xml:space="preserve">TXN500366</t>
  </si>
  <si>
    <t xml:space="preserve">2026-02-25 08:50:00</t>
  </si>
  <si>
    <t xml:space="preserve">TXN501384</t>
  </si>
  <si>
    <t xml:space="preserve">2026-02-25 09:25:00</t>
  </si>
  <si>
    <t xml:space="preserve">TXN501385</t>
  </si>
  <si>
    <t xml:space="preserve">2026-02-25 10:35:00</t>
  </si>
  <si>
    <t xml:space="preserve">TXN501386</t>
  </si>
  <si>
    <t xml:space="preserve">2026-02-25 12:21:00</t>
  </si>
  <si>
    <t xml:space="preserve">TXN500388</t>
  </si>
  <si>
    <t xml:space="preserve">2026-02-25 12:55:00</t>
  </si>
  <si>
    <t xml:space="preserve">TXN501464</t>
  </si>
  <si>
    <t xml:space="preserve">2026-02-25 13:00:00</t>
  </si>
  <si>
    <t xml:space="preserve">TXN501387</t>
  </si>
  <si>
    <t xml:space="preserve">2026-02-25 13:59:00</t>
  </si>
  <si>
    <t xml:space="preserve">TXN500535</t>
  </si>
  <si>
    <t xml:space="preserve">2026-02-25 14:21:00</t>
  </si>
  <si>
    <t xml:space="preserve">TXN500293</t>
  </si>
  <si>
    <t xml:space="preserve">2026-02-25 17:15:00</t>
  </si>
  <si>
    <t xml:space="preserve">TXN500710</t>
  </si>
  <si>
    <t xml:space="preserve">2026-02-25 17:25:00</t>
  </si>
  <si>
    <t xml:space="preserve">TXN500222</t>
  </si>
  <si>
    <t xml:space="preserve">2026-02-26 01:23:00</t>
  </si>
  <si>
    <t xml:space="preserve">2026-02-26</t>
  </si>
  <si>
    <t xml:space="preserve">TXN500867</t>
  </si>
  <si>
    <t xml:space="preserve">2026-02-26 02:16:00</t>
  </si>
  <si>
    <t xml:space="preserve">TXN500325</t>
  </si>
  <si>
    <t xml:space="preserve">2026-02-26 02:23:00</t>
  </si>
  <si>
    <t xml:space="preserve">TXN500198</t>
  </si>
  <si>
    <t xml:space="preserve">2026-02-26 04:58:00</t>
  </si>
  <si>
    <t xml:space="preserve">TXN501110</t>
  </si>
  <si>
    <t xml:space="preserve">2026-02-26 07:02:00</t>
  </si>
  <si>
    <t xml:space="preserve">TXN500787</t>
  </si>
  <si>
    <t xml:space="preserve">2026-02-26 07:52:00</t>
  </si>
  <si>
    <t xml:space="preserve">TXN500365</t>
  </si>
  <si>
    <t xml:space="preserve">2026-02-26 09:02:00</t>
  </si>
  <si>
    <t xml:space="preserve">TXN500563</t>
  </si>
  <si>
    <t xml:space="preserve">2026-02-26 09:52:00</t>
  </si>
  <si>
    <t xml:space="preserve">TXN500607</t>
  </si>
  <si>
    <t xml:space="preserve">2026-02-26 11:05:00</t>
  </si>
  <si>
    <t xml:space="preserve">TXN500064</t>
  </si>
  <si>
    <t xml:space="preserve">2026-02-26 12:27:00</t>
  </si>
  <si>
    <t xml:space="preserve">TXN501125</t>
  </si>
  <si>
    <t xml:space="preserve">2026-02-26 12:34:00</t>
  </si>
  <si>
    <t xml:space="preserve">TXN500090</t>
  </si>
  <si>
    <t xml:space="preserve">2026-02-26 14:32:00</t>
  </si>
  <si>
    <t xml:space="preserve">TXN500442</t>
  </si>
  <si>
    <t xml:space="preserve">2026-02-26 14:47:00</t>
  </si>
  <si>
    <t xml:space="preserve">TXN500180</t>
  </si>
  <si>
    <t xml:space="preserve">2026-02-26 16:13:00</t>
  </si>
  <si>
    <t xml:space="preserve">TXN501075</t>
  </si>
  <si>
    <t xml:space="preserve">2026-02-26 16:23:00</t>
  </si>
  <si>
    <t xml:space="preserve">TXN500056</t>
  </si>
  <si>
    <t xml:space="preserve">2026-02-26 17:45:00</t>
  </si>
  <si>
    <t xml:space="preserve">TXN501469</t>
  </si>
  <si>
    <t xml:space="preserve">2026-02-26 18:00:00</t>
  </si>
  <si>
    <t xml:space="preserve">TXN500859</t>
  </si>
  <si>
    <t xml:space="preserve">2026-02-26 21:17:00</t>
  </si>
  <si>
    <t xml:space="preserve">TXN501035</t>
  </si>
  <si>
    <t xml:space="preserve">2026-02-26 22:36:00</t>
  </si>
  <si>
    <t xml:space="preserve">TXN500310</t>
  </si>
  <si>
    <t xml:space="preserve">2026-02-26 23:33:00</t>
  </si>
  <si>
    <t xml:space="preserve">TXN500748</t>
  </si>
  <si>
    <t xml:space="preserve">2026-02-27 03:54:00</t>
  </si>
  <si>
    <t xml:space="preserve">2026-02-27</t>
  </si>
  <si>
    <t xml:space="preserve">TXN500909</t>
  </si>
  <si>
    <t xml:space="preserve">2026-02-27 04:55:00</t>
  </si>
  <si>
    <t xml:space="preserve">TXN500770</t>
  </si>
  <si>
    <t xml:space="preserve">2026-02-27 06:10:00</t>
  </si>
  <si>
    <t xml:space="preserve">TXN500916</t>
  </si>
  <si>
    <t xml:space="preserve">2026-02-27 06:43:00</t>
  </si>
  <si>
    <t xml:space="preserve">TXN501346</t>
  </si>
  <si>
    <t xml:space="preserve">2026-02-27 09:11:00</t>
  </si>
  <si>
    <t xml:space="preserve">TXN500963</t>
  </si>
  <si>
    <t xml:space="preserve">2026-02-27 09:19:00</t>
  </si>
  <si>
    <t xml:space="preserve">TXN500958</t>
  </si>
  <si>
    <t xml:space="preserve">2026-02-27 09:42:00</t>
  </si>
  <si>
    <t xml:space="preserve">TXN501355</t>
  </si>
  <si>
    <t xml:space="preserve">2026-02-27 10:20:00</t>
  </si>
  <si>
    <t xml:space="preserve">TXN501183</t>
  </si>
  <si>
    <t xml:space="preserve">2026-02-27 11:21:00</t>
  </si>
  <si>
    <t xml:space="preserve">TXN500192</t>
  </si>
  <si>
    <t xml:space="preserve">2026-02-27 12:22:00</t>
  </si>
  <si>
    <t xml:space="preserve">TXN500471</t>
  </si>
  <si>
    <t xml:space="preserve">2026-02-27 12:23:00</t>
  </si>
  <si>
    <t xml:space="preserve">TXN500364</t>
  </si>
  <si>
    <t xml:space="preserve">2026-02-27 13:27:00</t>
  </si>
  <si>
    <t xml:space="preserve">TXN500604</t>
  </si>
  <si>
    <t xml:space="preserve">2026-02-27 13:55:00</t>
  </si>
  <si>
    <t xml:space="preserve">TXN501070</t>
  </si>
  <si>
    <t xml:space="preserve">2026-02-27 18:24:00</t>
  </si>
  <si>
    <t xml:space="preserve">TXN500260</t>
  </si>
  <si>
    <t xml:space="preserve">2026-02-27 18:26:00</t>
  </si>
  <si>
    <t xml:space="preserve">TXN500101</t>
  </si>
  <si>
    <t xml:space="preserve">2026-02-27 19:47:00</t>
  </si>
  <si>
    <t xml:space="preserve">TXN500371</t>
  </si>
  <si>
    <t xml:space="preserve">2026-02-27 21:23:00</t>
  </si>
  <si>
    <t xml:space="preserve">TXN500631</t>
  </si>
  <si>
    <t xml:space="preserve">2026-02-28 00:27:00</t>
  </si>
  <si>
    <t xml:space="preserve">2026-02-28</t>
  </si>
  <si>
    <t xml:space="preserve">TXN501129</t>
  </si>
  <si>
    <t xml:space="preserve">2026-02-28 00:40:00</t>
  </si>
  <si>
    <t xml:space="preserve">TXN500630</t>
  </si>
  <si>
    <t xml:space="preserve">2026-02-28 00:59:00</t>
  </si>
  <si>
    <t xml:space="preserve">TXN501294</t>
  </si>
  <si>
    <t xml:space="preserve">2026-02-28 08:41:00</t>
  </si>
  <si>
    <t xml:space="preserve">TXN501297</t>
  </si>
  <si>
    <t xml:space="preserve">2026-02-28 11:04:00</t>
  </si>
  <si>
    <t xml:space="preserve">TXN500670</t>
  </si>
  <si>
    <t xml:space="preserve">2026-02-28 12:03:00</t>
  </si>
  <si>
    <t xml:space="preserve">TXN501337</t>
  </si>
  <si>
    <t xml:space="preserve">2026-02-28 12:30:00</t>
  </si>
  <si>
    <t xml:space="preserve">TXN500609</t>
  </si>
  <si>
    <t xml:space="preserve">2026-02-28 13:49:00</t>
  </si>
  <si>
    <t xml:space="preserve">TXN500625</t>
  </si>
  <si>
    <t xml:space="preserve">2026-02-28 14:44:00</t>
  </si>
  <si>
    <t xml:space="preserve">TXN501146</t>
  </si>
  <si>
    <t xml:space="preserve">2026-02-28 15:27:00</t>
  </si>
  <si>
    <t xml:space="preserve">TXN500468</t>
  </si>
  <si>
    <t xml:space="preserve">2026-02-28 15:38:00</t>
  </si>
  <si>
    <t xml:space="preserve">TXN500292</t>
  </si>
  <si>
    <t xml:space="preserve">2026-02-28 17:58:00</t>
  </si>
  <si>
    <t xml:space="preserve">TXN501264</t>
  </si>
  <si>
    <t xml:space="preserve">2026-02-28 18:34:00</t>
  </si>
  <si>
    <t xml:space="preserve">TXN500289</t>
  </si>
  <si>
    <t xml:space="preserve">2026-02-28 20:55:00</t>
  </si>
  <si>
    <t xml:space="preserve">TXN501224</t>
  </si>
  <si>
    <t xml:space="preserve">2026-03-01 06:18:00</t>
  </si>
  <si>
    <t xml:space="preserve">2026-03-01</t>
  </si>
  <si>
    <t xml:space="preserve">TXN500804</t>
  </si>
  <si>
    <t xml:space="preserve">2026-03-01 08:33:00</t>
  </si>
  <si>
    <t xml:space="preserve">TXN500763</t>
  </si>
  <si>
    <t xml:space="preserve">2026-03-01 08:53:00</t>
  </si>
  <si>
    <t xml:space="preserve">TXN501127</t>
  </si>
  <si>
    <t xml:space="preserve">TXN500971</t>
  </si>
  <si>
    <t xml:space="preserve">2026-03-01 12:05:00</t>
  </si>
  <si>
    <t xml:space="preserve">TXN500014</t>
  </si>
  <si>
    <t xml:space="preserve">2026-03-01 12:35:00</t>
  </si>
  <si>
    <t xml:space="preserve">TXN501188</t>
  </si>
  <si>
    <t xml:space="preserve">2026-03-01 14:00:00</t>
  </si>
  <si>
    <t xml:space="preserve">TXN500954</t>
  </si>
  <si>
    <t xml:space="preserve">2026-03-01 14:04:00</t>
  </si>
  <si>
    <t xml:space="preserve">TXN500477</t>
  </si>
  <si>
    <t xml:space="preserve">2026-03-01 14:19:00</t>
  </si>
  <si>
    <t xml:space="preserve">TXN501106</t>
  </si>
  <si>
    <t xml:space="preserve">2026-03-01 15:02:00</t>
  </si>
  <si>
    <t xml:space="preserve">TXN501280</t>
  </si>
  <si>
    <t xml:space="preserve">2026-03-01 18:06:00</t>
  </si>
  <si>
    <t xml:space="preserve">TXN500227</t>
  </si>
  <si>
    <t xml:space="preserve">2026-03-01 22:09:00</t>
  </si>
  <si>
    <t xml:space="preserve">TXN500353</t>
  </si>
  <si>
    <t xml:space="preserve">2026-03-01 23:30:00</t>
  </si>
  <si>
    <t xml:space="preserve">TXN500349</t>
  </si>
  <si>
    <t xml:space="preserve">2026-03-02 02:24:00</t>
  </si>
  <si>
    <t xml:space="preserve">2026-03-02</t>
  </si>
  <si>
    <t xml:space="preserve">TXN500263</t>
  </si>
  <si>
    <t xml:space="preserve">2026-03-02 03:53:00</t>
  </si>
  <si>
    <t xml:space="preserve">TXN500447</t>
  </si>
  <si>
    <t xml:space="preserve">2026-03-02 04:49:00</t>
  </si>
  <si>
    <t xml:space="preserve">TXN500073</t>
  </si>
  <si>
    <t xml:space="preserve">2026-03-02 07:52:00</t>
  </si>
  <si>
    <t xml:space="preserve">TXN500174</t>
  </si>
  <si>
    <t xml:space="preserve">2026-03-02 09:21:00</t>
  </si>
  <si>
    <t xml:space="preserve">TXN500449</t>
  </si>
  <si>
    <t xml:space="preserve">2026-03-02 11:12:00</t>
  </si>
  <si>
    <t xml:space="preserve">TXN500720</t>
  </si>
  <si>
    <t xml:space="preserve">2026-03-02 12:49:00</t>
  </si>
  <si>
    <t xml:space="preserve">TXN500140</t>
  </si>
  <si>
    <t xml:space="preserve">2026-03-02 14:31:00</t>
  </si>
  <si>
    <t xml:space="preserve">TXN501334</t>
  </si>
  <si>
    <t xml:space="preserve">2026-03-02 14:42:00</t>
  </si>
  <si>
    <t xml:space="preserve">TXN500033</t>
  </si>
  <si>
    <t xml:space="preserve">2026-03-02 16:12:00</t>
  </si>
  <si>
    <t xml:space="preserve">TXN500200</t>
  </si>
  <si>
    <t xml:space="preserve">2026-03-02 16:16:00</t>
  </si>
  <si>
    <t xml:space="preserve">TXN500513</t>
  </si>
  <si>
    <t xml:space="preserve">2026-03-02 16:20:00</t>
  </si>
  <si>
    <t xml:space="preserve">TXN501066</t>
  </si>
  <si>
    <t xml:space="preserve">2026-03-02 17:06:00</t>
  </si>
  <si>
    <t xml:space="preserve">TXN501020</t>
  </si>
  <si>
    <t xml:space="preserve">2026-03-02 20:27:00</t>
  </si>
  <si>
    <t xml:space="preserve">TXN500977</t>
  </si>
  <si>
    <t xml:space="preserve">2026-03-02 20:56:00</t>
  </si>
  <si>
    <t xml:space="preserve">TXN500782</t>
  </si>
  <si>
    <t xml:space="preserve">2026-03-02 20:57:00</t>
  </si>
  <si>
    <t xml:space="preserve">TXN500152</t>
  </si>
  <si>
    <t xml:space="preserve">2026-03-03 05:04:00</t>
  </si>
  <si>
    <t xml:space="preserve">2026-03-03</t>
  </si>
  <si>
    <t xml:space="preserve">TXN500269</t>
  </si>
  <si>
    <t xml:space="preserve">2026-03-03 07:06:00</t>
  </si>
  <si>
    <t xml:space="preserve">TXN500435</t>
  </si>
  <si>
    <t xml:space="preserve">2026-03-03 07:15:00</t>
  </si>
  <si>
    <t xml:space="preserve">TXN500851</t>
  </si>
  <si>
    <t xml:space="preserve">2026-03-03 09:00:00</t>
  </si>
  <si>
    <t xml:space="preserve">TXN500584</t>
  </si>
  <si>
    <t xml:space="preserve">2026-03-03 09:06:00</t>
  </si>
  <si>
    <t xml:space="preserve">TXN500829</t>
  </si>
  <si>
    <t xml:space="preserve">2026-03-03 10:02:00</t>
  </si>
  <si>
    <t xml:space="preserve">TXN500151</t>
  </si>
  <si>
    <t xml:space="preserve">2026-03-03 11:11:00</t>
  </si>
  <si>
    <t xml:space="preserve">TXN501173</t>
  </si>
  <si>
    <t xml:space="preserve">2026-03-03 12:31:00</t>
  </si>
  <si>
    <t xml:space="preserve">TXN500717</t>
  </si>
  <si>
    <t xml:space="preserve">TXN501088</t>
  </si>
  <si>
    <t xml:space="preserve">2026-03-03 12:51:00</t>
  </si>
  <si>
    <t xml:space="preserve">TXN501185</t>
  </si>
  <si>
    <t xml:space="preserve">2026-03-03 13:09:00</t>
  </si>
  <si>
    <t xml:space="preserve">TXN501331</t>
  </si>
  <si>
    <t xml:space="preserve">2026-03-03 15:07:00</t>
  </si>
  <si>
    <t xml:space="preserve">TXN500747</t>
  </si>
  <si>
    <t xml:space="preserve">2026-03-03 16:36:00</t>
  </si>
  <si>
    <t xml:space="preserve">TXN500509</t>
  </si>
  <si>
    <t xml:space="preserve">2026-03-03 19:44:00</t>
  </si>
  <si>
    <t xml:space="preserve">TXN500893</t>
  </si>
  <si>
    <t xml:space="preserve">2026-03-03 20:49:00</t>
  </si>
  <si>
    <t xml:space="preserve">TXN500974</t>
  </si>
  <si>
    <t xml:space="preserve">2026-03-03 21:02:00</t>
  </si>
  <si>
    <t xml:space="preserve">TXN500226</t>
  </si>
  <si>
    <t xml:space="preserve">2026-03-03 22:18:00</t>
  </si>
  <si>
    <t xml:space="preserve">TXN500525</t>
  </si>
  <si>
    <t xml:space="preserve">2026-03-04 00:34:00</t>
  </si>
  <si>
    <t xml:space="preserve">2026-03-04</t>
  </si>
  <si>
    <t xml:space="preserve">TXN500150</t>
  </si>
  <si>
    <t xml:space="preserve">2026-03-04 04:00:00</t>
  </si>
  <si>
    <t xml:space="preserve">TXN500605</t>
  </si>
  <si>
    <t xml:space="preserve">2026-03-04 06:52:00</t>
  </si>
  <si>
    <t xml:space="preserve">TXN500376</t>
  </si>
  <si>
    <t xml:space="preserve">2026-03-04 07:08:00</t>
  </si>
  <si>
    <t xml:space="preserve">TXN500136</t>
  </si>
  <si>
    <t xml:space="preserve">2026-03-04 07:51:00</t>
  </si>
  <si>
    <t xml:space="preserve">TXN500624</t>
  </si>
  <si>
    <t xml:space="preserve">2026-03-04 09:00:00</t>
  </si>
  <si>
    <t xml:space="preserve">TXN500595</t>
  </si>
  <si>
    <t xml:space="preserve">2026-03-04 12:40:00</t>
  </si>
  <si>
    <t xml:space="preserve">TXN501137</t>
  </si>
  <si>
    <t xml:space="preserve">2026-03-04 12:44:00</t>
  </si>
  <si>
    <t xml:space="preserve">TXN500779</t>
  </si>
  <si>
    <t xml:space="preserve">2026-03-04 13:30:00</t>
  </si>
  <si>
    <t xml:space="preserve">TXN500735</t>
  </si>
  <si>
    <t xml:space="preserve">2026-03-04 14:11:00</t>
  </si>
  <si>
    <t xml:space="preserve">TXN500103</t>
  </si>
  <si>
    <t xml:space="preserve">2026-03-04 14:17:00</t>
  </si>
  <si>
    <t xml:space="preserve">TXN500602</t>
  </si>
  <si>
    <t xml:space="preserve">2026-03-04 14:44:00</t>
  </si>
  <si>
    <t xml:space="preserve">TXN501192</t>
  </si>
  <si>
    <t xml:space="preserve">2026-03-04 17:34:00</t>
  </si>
  <si>
    <t xml:space="preserve">TXN500784</t>
  </si>
  <si>
    <t xml:space="preserve">2026-03-04 17:43:00</t>
  </si>
  <si>
    <t xml:space="preserve">TXN501161</t>
  </si>
  <si>
    <t xml:space="preserve">2026-03-04 17:44:00</t>
  </si>
  <si>
    <t xml:space="preserve">TXN500518</t>
  </si>
  <si>
    <t xml:space="preserve">2026-03-04 22:41:00</t>
  </si>
  <si>
    <t xml:space="preserve">TXN500382</t>
  </si>
  <si>
    <t xml:space="preserve">2026-03-05 01:35:00</t>
  </si>
  <si>
    <t xml:space="preserve">2026-03-05</t>
  </si>
  <si>
    <t xml:space="preserve">TXN500558</t>
  </si>
  <si>
    <t xml:space="preserve">2026-03-05 06:10:00</t>
  </si>
  <si>
    <t xml:space="preserve">TXN500453</t>
  </si>
  <si>
    <t xml:space="preserve">2026-03-05 06:47:00</t>
  </si>
  <si>
    <t xml:space="preserve">TXN501239</t>
  </si>
  <si>
    <t xml:space="preserve">2026-03-05 07:37:00</t>
  </si>
  <si>
    <t xml:space="preserve">TXN500176</t>
  </si>
  <si>
    <t xml:space="preserve">2026-03-05 08:25:00</t>
  </si>
  <si>
    <t xml:space="preserve">TXN501024</t>
  </si>
  <si>
    <t xml:space="preserve">2026-03-05 11:12:00</t>
  </si>
  <si>
    <t xml:space="preserve">TXN500411</t>
  </si>
  <si>
    <t xml:space="preserve">2026-03-05 13:53:00</t>
  </si>
  <si>
    <t xml:space="preserve">TXN501309</t>
  </si>
  <si>
    <t xml:space="preserve">2026-03-05 14:03:00</t>
  </si>
  <si>
    <t xml:space="preserve">TXN501329</t>
  </si>
  <si>
    <t xml:space="preserve">2026-03-05 17:15:00</t>
  </si>
  <si>
    <t xml:space="preserve">TXN501238</t>
  </si>
  <si>
    <t xml:space="preserve">2026-03-05 17:34:00</t>
  </si>
  <si>
    <t xml:space="preserve">TXN500218</t>
  </si>
  <si>
    <t xml:space="preserve">2026-03-05 17:57:00</t>
  </si>
  <si>
    <t xml:space="preserve">TXN500746</t>
  </si>
  <si>
    <t xml:space="preserve">2026-03-05 18:22:00</t>
  </si>
  <si>
    <t xml:space="preserve">TXN500666</t>
  </si>
  <si>
    <t xml:space="preserve">2026-03-05 21:33:00</t>
  </si>
  <si>
    <t xml:space="preserve">TXN500972</t>
  </si>
  <si>
    <t xml:space="preserve">2026-03-06 00:15:00</t>
  </si>
  <si>
    <t xml:space="preserve">2026-03-06</t>
  </si>
  <si>
    <t xml:space="preserve">TXN500303</t>
  </si>
  <si>
    <t xml:space="preserve">2026-03-06 03:29:00</t>
  </si>
  <si>
    <t xml:space="preserve">TXN501343</t>
  </si>
  <si>
    <t xml:space="preserve">2026-03-06 03:50:00</t>
  </si>
  <si>
    <t xml:space="preserve">TXN501226</t>
  </si>
  <si>
    <t xml:space="preserve">2026-03-06 05:49:00</t>
  </si>
  <si>
    <t xml:space="preserve">TXN501275</t>
  </si>
  <si>
    <t xml:space="preserve">2026-03-06 06:21:00</t>
  </si>
  <si>
    <t xml:space="preserve">TXN500190</t>
  </si>
  <si>
    <t xml:space="preserve">2026-03-06 08:00:00</t>
  </si>
  <si>
    <t xml:space="preserve">TXN500718</t>
  </si>
  <si>
    <t xml:space="preserve">2026-03-06 09:17:00</t>
  </si>
  <si>
    <t xml:space="preserve">TXN500456</t>
  </si>
  <si>
    <t xml:space="preserve">2026-03-06 11:12:00</t>
  </si>
  <si>
    <t xml:space="preserve">TXN500019</t>
  </si>
  <si>
    <t xml:space="preserve">2026-03-06 13:09:00</t>
  </si>
  <si>
    <t xml:space="preserve">TXN500129</t>
  </si>
  <si>
    <t xml:space="preserve">2026-03-06 14:00:00</t>
  </si>
  <si>
    <t xml:space="preserve">TXN500677</t>
  </si>
  <si>
    <t xml:space="preserve">2026-03-06 14:03:00</t>
  </si>
  <si>
    <t xml:space="preserve">TXN500606</t>
  </si>
  <si>
    <t xml:space="preserve">2026-03-06 14:26:00</t>
  </si>
  <si>
    <t xml:space="preserve">TXN501000</t>
  </si>
  <si>
    <t xml:space="preserve">2026-03-06 16:05:00</t>
  </si>
  <si>
    <t xml:space="preserve">TXN501213</t>
  </si>
  <si>
    <t xml:space="preserve">2026-03-06 17:30:00</t>
  </si>
  <si>
    <t xml:space="preserve">TXN500527</t>
  </si>
  <si>
    <t xml:space="preserve">2026-03-06 17:43:00</t>
  </si>
  <si>
    <t xml:space="preserve">TXN500225</t>
  </si>
  <si>
    <t xml:space="preserve">2026-03-06 19:53:00</t>
  </si>
  <si>
    <t xml:space="preserve">TXN500933</t>
  </si>
  <si>
    <t xml:space="preserve">2026-03-07 03:06:00</t>
  </si>
  <si>
    <t xml:space="preserve">2026-03-07</t>
  </si>
  <si>
    <t xml:space="preserve">TXN500610</t>
  </si>
  <si>
    <t xml:space="preserve">2026-03-07 05:07:00</t>
  </si>
  <si>
    <t xml:space="preserve">TXN500460</t>
  </si>
  <si>
    <t xml:space="preserve">2026-03-07 09:25:00</t>
  </si>
  <si>
    <t xml:space="preserve">TXN501315</t>
  </si>
  <si>
    <t xml:space="preserve">2026-03-07 10:08:00</t>
  </si>
  <si>
    <t xml:space="preserve">TXN500476</t>
  </si>
  <si>
    <t xml:space="preserve">2026-03-07 10:36:00</t>
  </si>
  <si>
    <t xml:space="preserve">TXN501327</t>
  </si>
  <si>
    <t xml:space="preserve">2026-03-07 10:52:00</t>
  </si>
  <si>
    <t xml:space="preserve">TXN500077</t>
  </si>
  <si>
    <t xml:space="preserve">2026-03-07 10:53:00</t>
  </si>
  <si>
    <t xml:space="preserve">TXN500475</t>
  </si>
  <si>
    <t xml:space="preserve">2026-03-07 11:03:00</t>
  </si>
  <si>
    <t xml:space="preserve">TXN500408</t>
  </si>
  <si>
    <t xml:space="preserve">2026-03-07 11:56:00</t>
  </si>
  <si>
    <t xml:space="preserve">TXN501156</t>
  </si>
  <si>
    <t xml:space="preserve">2026-03-07 12:59:00</t>
  </si>
  <si>
    <t xml:space="preserve">TXN501232</t>
  </si>
  <si>
    <t xml:space="preserve">2026-03-07 13:10:00</t>
  </si>
  <si>
    <t xml:space="preserve">TXN500252</t>
  </si>
  <si>
    <t xml:space="preserve">2026-03-07 13:28:00</t>
  </si>
  <si>
    <t xml:space="preserve">TXN500345</t>
  </si>
  <si>
    <t xml:space="preserve">2026-03-07 13:45:00</t>
  </si>
  <si>
    <t xml:space="preserve">TXN500186</t>
  </si>
  <si>
    <t xml:space="preserve">2026-03-07 15:26:00</t>
  </si>
  <si>
    <t xml:space="preserve">TXN500579</t>
  </si>
  <si>
    <t xml:space="preserve">2026-03-07 15:35:00</t>
  </si>
  <si>
    <t xml:space="preserve">TXN500623</t>
  </si>
  <si>
    <t xml:space="preserve">2026-03-07 15:44:00</t>
  </si>
  <si>
    <t xml:space="preserve">TXN500178</t>
  </si>
  <si>
    <t xml:space="preserve">2026-03-07 17:00:00</t>
  </si>
  <si>
    <t xml:space="preserve">TXN500512</t>
  </si>
  <si>
    <t xml:space="preserve">2026-03-07 18:29:00</t>
  </si>
  <si>
    <t xml:space="preserve">TXN501333</t>
  </si>
  <si>
    <t xml:space="preserve">2026-03-08 03:56:00</t>
  </si>
  <si>
    <t xml:space="preserve">2026-03-08</t>
  </si>
  <si>
    <t xml:space="preserve">TXN501487</t>
  </si>
  <si>
    <t xml:space="preserve">2026-03-08 04:00:00</t>
  </si>
  <si>
    <t xml:space="preserve">TXN501008</t>
  </si>
  <si>
    <t xml:space="preserve">2026-03-08 05:00:00</t>
  </si>
  <si>
    <t xml:space="preserve">TXN500905</t>
  </si>
  <si>
    <t xml:space="preserve">2026-03-08 05:24:00</t>
  </si>
  <si>
    <t xml:space="preserve">TXN500389</t>
  </si>
  <si>
    <t xml:space="preserve">2026-03-08 06:10:00</t>
  </si>
  <si>
    <t xml:space="preserve">TXN500361</t>
  </si>
  <si>
    <t xml:space="preserve">2026-03-08 08:05:00</t>
  </si>
  <si>
    <t xml:space="preserve">TXN500387</t>
  </si>
  <si>
    <t xml:space="preserve">2026-03-08 09:56:00</t>
  </si>
  <si>
    <t xml:space="preserve">TXN500420</t>
  </si>
  <si>
    <t xml:space="preserve">2026-03-08 11:38:00</t>
  </si>
  <si>
    <t xml:space="preserve">TXN501063</t>
  </si>
  <si>
    <t xml:space="preserve">2026-03-08 12:20:00</t>
  </si>
  <si>
    <t xml:space="preserve">TXN500650</t>
  </si>
  <si>
    <t xml:space="preserve">2026-03-08 13:12:00</t>
  </si>
  <si>
    <t xml:space="preserve">TXN500835</t>
  </si>
  <si>
    <t xml:space="preserve">2026-03-08 13:21:00</t>
  </si>
  <si>
    <t xml:space="preserve">TXN501277</t>
  </si>
  <si>
    <t xml:space="preserve">2026-03-08 14:08:00</t>
  </si>
  <si>
    <t xml:space="preserve">TXN500172</t>
  </si>
  <si>
    <t xml:space="preserve">2026-03-08 14:58:00</t>
  </si>
  <si>
    <t xml:space="preserve">TXN500332</t>
  </si>
  <si>
    <t xml:space="preserve">2026-03-08 17:18:00</t>
  </si>
  <si>
    <t xml:space="preserve">TXN500998</t>
  </si>
  <si>
    <t xml:space="preserve">2026-03-08 17:32:00</t>
  </si>
  <si>
    <t xml:space="preserve">TXN500788</t>
  </si>
  <si>
    <t xml:space="preserve">2026-03-08 17:52:00</t>
  </si>
  <si>
    <t xml:space="preserve">TXN501225</t>
  </si>
  <si>
    <t xml:space="preserve">2026-03-08 19:29:00</t>
  </si>
  <si>
    <t xml:space="preserve">TXN500082</t>
  </si>
  <si>
    <t xml:space="preserve">2026-03-08 20:34:00</t>
  </si>
  <si>
    <t xml:space="preserve">TXN500678</t>
  </si>
  <si>
    <t xml:space="preserve">2026-03-08 23:25:00</t>
  </si>
  <si>
    <t xml:space="preserve">TXN501128</t>
  </si>
  <si>
    <t xml:space="preserve">2026-03-09 06:18:00</t>
  </si>
  <si>
    <t xml:space="preserve">2026-03-09</t>
  </si>
  <si>
    <t xml:space="preserve">TXN500046</t>
  </si>
  <si>
    <t xml:space="preserve">2026-03-09 06:32:00</t>
  </si>
  <si>
    <t xml:space="preserve">TXN500276</t>
  </si>
  <si>
    <t xml:space="preserve">2026-03-09 07:26:00</t>
  </si>
  <si>
    <t xml:space="preserve">TXN500716</t>
  </si>
  <si>
    <t xml:space="preserve">2026-03-09 07:51:00</t>
  </si>
  <si>
    <t xml:space="preserve">TXN501273</t>
  </si>
  <si>
    <t xml:space="preserve">2026-03-09 08:07:00</t>
  </si>
  <si>
    <t xml:space="preserve">TXN501276</t>
  </si>
  <si>
    <t xml:space="preserve">2026-03-09 08:20:00</t>
  </si>
  <si>
    <t xml:space="preserve">TXN500296</t>
  </si>
  <si>
    <t xml:space="preserve">2026-03-09 12:57:00</t>
  </si>
  <si>
    <t xml:space="preserve">TXN501132</t>
  </si>
  <si>
    <t xml:space="preserve">2026-03-09 14:49:00</t>
  </si>
  <si>
    <t xml:space="preserve">TXN501083</t>
  </si>
  <si>
    <t xml:space="preserve">2026-03-09 17:01:00</t>
  </si>
  <si>
    <t xml:space="preserve">TXN500732</t>
  </si>
  <si>
    <t xml:space="preserve">2026-03-09 17:04:00</t>
  </si>
  <si>
    <t xml:space="preserve">TXN500025</t>
  </si>
  <si>
    <t xml:space="preserve">2026-03-09 17:27:00</t>
  </si>
  <si>
    <t xml:space="preserve">TXN500790</t>
  </si>
  <si>
    <t xml:space="preserve">2026-03-09 18:01:00</t>
  </si>
  <si>
    <t xml:space="preserve">TXN500934</t>
  </si>
  <si>
    <t xml:space="preserve">2026-03-10 00:04:00</t>
  </si>
  <si>
    <t xml:space="preserve">2026-03-10</t>
  </si>
  <si>
    <t xml:space="preserve">TXN500114</t>
  </si>
  <si>
    <t xml:space="preserve">2026-03-10 01:25:00</t>
  </si>
  <si>
    <t xml:space="preserve">TXN500473</t>
  </si>
  <si>
    <t xml:space="preserve">2026-03-10 06:20:00</t>
  </si>
  <si>
    <t xml:space="preserve">TXN500054</t>
  </si>
  <si>
    <t xml:space="preserve">2026-03-10 07:16:00</t>
  </si>
  <si>
    <t xml:space="preserve">TXN501184</t>
  </si>
  <si>
    <t xml:space="preserve">2026-03-10 07:34:00</t>
  </si>
  <si>
    <t xml:space="preserve">TXN501353</t>
  </si>
  <si>
    <t xml:space="preserve">2026-03-10 07:43:00</t>
  </si>
  <si>
    <t xml:space="preserve">TXN500327</t>
  </si>
  <si>
    <t xml:space="preserve">2026-03-10 07:51:00</t>
  </si>
  <si>
    <t xml:space="preserve">TXN500443</t>
  </si>
  <si>
    <t xml:space="preserve">2026-03-10 08:35:00</t>
  </si>
  <si>
    <t xml:space="preserve">TXN500904</t>
  </si>
  <si>
    <t xml:space="preserve">2026-03-10 08:54:00</t>
  </si>
  <si>
    <t xml:space="preserve">TXN500661</t>
  </si>
  <si>
    <t xml:space="preserve">2026-03-10 09:37:00</t>
  </si>
  <si>
    <t xml:space="preserve">TXN500202</t>
  </si>
  <si>
    <t xml:space="preserve">2026-03-10 10:20:00</t>
  </si>
  <si>
    <t xml:space="preserve">TXN501011</t>
  </si>
  <si>
    <t xml:space="preserve">2026-03-10 10:23:00</t>
  </si>
  <si>
    <t xml:space="preserve">TXN500626</t>
  </si>
  <si>
    <t xml:space="preserve">2026-03-10 10:27:00</t>
  </si>
  <si>
    <t xml:space="preserve">TXN501301</t>
  </si>
  <si>
    <t xml:space="preserve">2026-03-10 11:37:00</t>
  </si>
  <si>
    <t xml:space="preserve">TXN500500</t>
  </si>
  <si>
    <t xml:space="preserve">2026-03-10 11:54:00</t>
  </si>
  <si>
    <t xml:space="preserve">TXN501420</t>
  </si>
  <si>
    <t xml:space="preserve">2026-03-10 14:00:00</t>
  </si>
  <si>
    <t xml:space="preserve">TXN501421</t>
  </si>
  <si>
    <t xml:space="preserve">2026-03-10 14:05:00</t>
  </si>
  <si>
    <t xml:space="preserve">TXN501422</t>
  </si>
  <si>
    <t xml:space="preserve">2026-03-10 14:10:00</t>
  </si>
  <si>
    <t xml:space="preserve">TXN501423</t>
  </si>
  <si>
    <t xml:space="preserve">2026-03-10 14:15:00</t>
  </si>
  <si>
    <t xml:space="preserve">TXN500511</t>
  </si>
  <si>
    <t xml:space="preserve">2026-03-10 14:19:00</t>
  </si>
  <si>
    <t xml:space="preserve">TXN501424</t>
  </si>
  <si>
    <t xml:space="preserve">2026-03-10 14:20:00</t>
  </si>
  <si>
    <t xml:space="preserve">TXN501425</t>
  </si>
  <si>
    <t xml:space="preserve">2026-03-10 14:25:00</t>
  </si>
  <si>
    <t xml:space="preserve">TXN501426</t>
  </si>
  <si>
    <t xml:space="preserve">2026-03-10 14:30:00</t>
  </si>
  <si>
    <t xml:space="preserve">TXN501427</t>
  </si>
  <si>
    <t xml:space="preserve">2026-03-10 14:35:00</t>
  </si>
  <si>
    <t xml:space="preserve">TXN501356</t>
  </si>
  <si>
    <t xml:space="preserve">2026-03-10 14:54:00</t>
  </si>
  <si>
    <t xml:space="preserve">TXN501121</t>
  </si>
  <si>
    <t xml:space="preserve">2026-03-10 16:08:00</t>
  </si>
  <si>
    <t xml:space="preserve">TXN500132</t>
  </si>
  <si>
    <t xml:space="preserve">2026-03-10 16:29:00</t>
  </si>
  <si>
    <t xml:space="preserve">TXN500032</t>
  </si>
  <si>
    <t xml:space="preserve">2026-03-11 06:59:00</t>
  </si>
  <si>
    <t xml:space="preserve">2026-03-11</t>
  </si>
  <si>
    <t xml:space="preserve">TXN501320</t>
  </si>
  <si>
    <t xml:space="preserve">2026-03-11 07:11:00</t>
  </si>
  <si>
    <t xml:space="preserve">TXN500398</t>
  </si>
  <si>
    <t xml:space="preserve">2026-03-11 08:19:00</t>
  </si>
  <si>
    <t xml:space="preserve">TXN500379</t>
  </si>
  <si>
    <t xml:space="preserve">TXN501285</t>
  </si>
  <si>
    <t xml:space="preserve">2026-03-11 09:20:00</t>
  </si>
  <si>
    <t xml:space="preserve">TXN500541</t>
  </si>
  <si>
    <t xml:space="preserve">2026-03-11 09:48:00</t>
  </si>
  <si>
    <t xml:space="preserve">TXN500193</t>
  </si>
  <si>
    <t xml:space="preserve">2026-03-11 10:59:00</t>
  </si>
  <si>
    <t xml:space="preserve">TXN500168</t>
  </si>
  <si>
    <t xml:space="preserve">2026-03-11 11:05:00</t>
  </si>
  <si>
    <t xml:space="preserve">TXN501108</t>
  </si>
  <si>
    <t xml:space="preserve">2026-03-11 11:12:00</t>
  </si>
  <si>
    <t xml:space="preserve">TXN500969</t>
  </si>
  <si>
    <t xml:space="preserve">2026-03-11 11:49:00</t>
  </si>
  <si>
    <t xml:space="preserve">TXN500520</t>
  </si>
  <si>
    <t xml:space="preserve">2026-03-11 11:58:00</t>
  </si>
  <si>
    <t xml:space="preserve">TXN501330</t>
  </si>
  <si>
    <t xml:space="preserve">2026-03-11 13:02:00</t>
  </si>
  <si>
    <t xml:space="preserve">TXN501167</t>
  </si>
  <si>
    <t xml:space="preserve">2026-03-11 13:20:00</t>
  </si>
  <si>
    <t xml:space="preserve">TXN500655</t>
  </si>
  <si>
    <t xml:space="preserve">2026-03-11 14:48:00</t>
  </si>
  <si>
    <t xml:space="preserve">TXN500915</t>
  </si>
  <si>
    <t xml:space="preserve">2026-03-11 15:12:00</t>
  </si>
  <si>
    <t xml:space="preserve">TXN501374</t>
  </si>
  <si>
    <t xml:space="preserve">2026-03-11 16:13:00</t>
  </si>
  <si>
    <t xml:space="preserve">TXN500683</t>
  </si>
  <si>
    <t xml:space="preserve">2026-03-11 16:15:00</t>
  </si>
  <si>
    <t xml:space="preserve">TXN500611</t>
  </si>
  <si>
    <t xml:space="preserve">2026-03-11 17:02:00</t>
  </si>
  <si>
    <t xml:space="preserve">TXN501085</t>
  </si>
  <si>
    <t xml:space="preserve">2026-03-11 20:35:00</t>
  </si>
  <si>
    <t xml:space="preserve">TXN500020</t>
  </si>
  <si>
    <t xml:space="preserve">2026-03-11 21:59:00</t>
  </si>
  <si>
    <t xml:space="preserve">TXN500569</t>
  </si>
  <si>
    <t xml:space="preserve">2026-03-12 01:46:00</t>
  </si>
  <si>
    <t xml:space="preserve">2026-03-12</t>
  </si>
  <si>
    <t xml:space="preserve">TXN501486</t>
  </si>
  <si>
    <t xml:space="preserve">2026-03-12 02:00:00</t>
  </si>
  <si>
    <t xml:space="preserve">TXN501079</t>
  </si>
  <si>
    <t xml:space="preserve">2026-03-12 02:49:00</t>
  </si>
  <si>
    <t xml:space="preserve">TXN501248</t>
  </si>
  <si>
    <t xml:space="preserve">2026-03-12 03:30:00</t>
  </si>
  <si>
    <t xml:space="preserve">TXN500039</t>
  </si>
  <si>
    <t xml:space="preserve">2026-03-12 04:41:00</t>
  </si>
  <si>
    <t xml:space="preserve">TXN501302</t>
  </si>
  <si>
    <t xml:space="preserve">2026-03-12 06:30:00</t>
  </si>
  <si>
    <t xml:space="preserve">TXN500383</t>
  </si>
  <si>
    <t xml:space="preserve">2026-03-12 06:56:00</t>
  </si>
  <si>
    <t xml:space="preserve">TXN500245</t>
  </si>
  <si>
    <t xml:space="preserve">2026-03-12 07:13:00</t>
  </si>
  <si>
    <t xml:space="preserve">TXN500029</t>
  </si>
  <si>
    <t xml:space="preserve">2026-03-12 07:14:00</t>
  </si>
  <si>
    <t xml:space="preserve">TXN500703</t>
  </si>
  <si>
    <t xml:space="preserve">2026-03-12 07:29:00</t>
  </si>
  <si>
    <t xml:space="preserve">TXN501241</t>
  </si>
  <si>
    <t xml:space="preserve">2026-03-12 08:40:00</t>
  </si>
  <si>
    <t xml:space="preserve">TXN500796</t>
  </si>
  <si>
    <t xml:space="preserve">2026-03-12 09:10:00</t>
  </si>
  <si>
    <t xml:space="preserve">TXN500143</t>
  </si>
  <si>
    <t xml:space="preserve">2026-03-12 09:44:00</t>
  </si>
  <si>
    <t xml:space="preserve">TXN500680</t>
  </si>
  <si>
    <t xml:space="preserve">2026-03-12 11:23:00</t>
  </si>
  <si>
    <t xml:space="preserve">TXN501113</t>
  </si>
  <si>
    <t xml:space="preserve">2026-03-12 12:16:00</t>
  </si>
  <si>
    <t xml:space="preserve">TXN500899</t>
  </si>
  <si>
    <t xml:space="preserve">2026-03-12 17:45:00</t>
  </si>
  <si>
    <t xml:space="preserve">TXN500950</t>
  </si>
  <si>
    <t xml:space="preserve">2026-03-12 21:19:00</t>
  </si>
  <si>
    <t xml:space="preserve">TXN500448</t>
  </si>
  <si>
    <t xml:space="preserve">2026-03-12 22:10:00</t>
  </si>
  <si>
    <t xml:space="preserve">TXN500265</t>
  </si>
  <si>
    <t xml:space="preserve">2026-03-13 02:35:00</t>
  </si>
  <si>
    <t xml:space="preserve">2026-03-13</t>
  </si>
  <si>
    <t xml:space="preserve">TXN500815</t>
  </si>
  <si>
    <t xml:space="preserve">2026-03-13 06:06:00</t>
  </si>
  <si>
    <t xml:space="preserve">TXN500880</t>
  </si>
  <si>
    <t xml:space="preserve">2026-03-13 07:42:00</t>
  </si>
  <si>
    <t xml:space="preserve">TXN500098</t>
  </si>
  <si>
    <t xml:space="preserve">2026-03-13 07:54:00</t>
  </si>
  <si>
    <t xml:space="preserve">TXN501380</t>
  </si>
  <si>
    <t xml:space="preserve">2026-03-13 09:04:00</t>
  </si>
  <si>
    <t xml:space="preserve">TXN501145</t>
  </si>
  <si>
    <t xml:space="preserve">2026-03-13 10:06:00</t>
  </si>
  <si>
    <t xml:space="preserve">TXN501381</t>
  </si>
  <si>
    <t xml:space="preserve">2026-03-13 10:30:00</t>
  </si>
  <si>
    <t xml:space="preserve">TXN500553</t>
  </si>
  <si>
    <t xml:space="preserve">2026-03-13 12:06:00</t>
  </si>
  <si>
    <t xml:space="preserve">TXN501382</t>
  </si>
  <si>
    <t xml:space="preserve">2026-03-13 12:30:00</t>
  </si>
  <si>
    <t xml:space="preserve">TXN501383</t>
  </si>
  <si>
    <t xml:space="preserve">2026-03-13 14:04:00</t>
  </si>
  <si>
    <t xml:space="preserve">TXN501317</t>
  </si>
  <si>
    <t xml:space="preserve">2026-03-13 17:22:00</t>
  </si>
  <si>
    <t xml:space="preserve">TXN500287</t>
  </si>
  <si>
    <t xml:space="preserve">2026-03-13 17:51:00</t>
  </si>
  <si>
    <t xml:space="preserve">TXN500069</t>
  </si>
  <si>
    <t xml:space="preserve">2026-03-13 18:26:00</t>
  </si>
  <si>
    <t xml:space="preserve">TXN500556</t>
  </si>
  <si>
    <t xml:space="preserve">2026-03-13 19:15:00</t>
  </si>
  <si>
    <t xml:space="preserve">TXN501030</t>
  </si>
  <si>
    <t xml:space="preserve">2026-03-13 19:22:00</t>
  </si>
  <si>
    <t xml:space="preserve">TXN500271</t>
  </si>
  <si>
    <t xml:space="preserve">2026-03-13 22:52:00</t>
  </si>
  <si>
    <t xml:space="preserve">TXN500643</t>
  </si>
  <si>
    <t xml:space="preserve">2026-03-14 00:41:00</t>
  </si>
  <si>
    <t xml:space="preserve">2026-03-14</t>
  </si>
  <si>
    <t xml:space="preserve">TXN500740</t>
  </si>
  <si>
    <t xml:space="preserve">2026-03-14 04:31:00</t>
  </si>
  <si>
    <t xml:space="preserve">TXN501126</t>
  </si>
  <si>
    <t xml:space="preserve">2026-03-14 06:22:00</t>
  </si>
  <si>
    <t xml:space="preserve">TXN500088</t>
  </si>
  <si>
    <t xml:space="preserve">2026-03-14 08:35:00</t>
  </si>
  <si>
    <t xml:space="preserve">TXN501340</t>
  </si>
  <si>
    <t xml:space="preserve">2026-03-14 08:40:00</t>
  </si>
  <si>
    <t xml:space="preserve">TXN500423</t>
  </si>
  <si>
    <t xml:space="preserve">2026-03-14 08:52:00</t>
  </si>
  <si>
    <t xml:space="preserve">TXN500617</t>
  </si>
  <si>
    <t xml:space="preserve">2026-03-14 09:17:00</t>
  </si>
  <si>
    <t xml:space="preserve">TXN501393</t>
  </si>
  <si>
    <t xml:space="preserve">2026-03-14 09:28:00</t>
  </si>
  <si>
    <t xml:space="preserve">TXN501394</t>
  </si>
  <si>
    <t xml:space="preserve">2026-03-14 10:38:00</t>
  </si>
  <si>
    <t xml:space="preserve">TXN501395</t>
  </si>
  <si>
    <t xml:space="preserve">2026-03-14 12:01:00</t>
  </si>
  <si>
    <t xml:space="preserve">TXN501261</t>
  </si>
  <si>
    <t xml:space="preserve">2026-03-14 13:01:00</t>
  </si>
  <si>
    <t xml:space="preserve">TXN501211</t>
  </si>
  <si>
    <t xml:space="preserve">2026-03-14 13:38:00</t>
  </si>
  <si>
    <t xml:space="preserve">TXN500538</t>
  </si>
  <si>
    <t xml:space="preserve">2026-03-14 14:11:00</t>
  </si>
  <si>
    <t xml:space="preserve">TXN500300</t>
  </si>
  <si>
    <t xml:space="preserve">2026-03-14 16:28:00</t>
  </si>
  <si>
    <t xml:space="preserve">TXN501304</t>
  </si>
  <si>
    <t xml:space="preserve">2026-03-14 16:34:00</t>
  </si>
  <si>
    <t xml:space="preserve">TXN500681</t>
  </si>
  <si>
    <t xml:space="preserve">2026-03-14 16:47:00</t>
  </si>
  <si>
    <t xml:space="preserve">TXN500777</t>
  </si>
  <si>
    <t xml:space="preserve">2026-03-14 16:50:00</t>
  </si>
  <si>
    <t xml:space="preserve">TXN500166</t>
  </si>
  <si>
    <t xml:space="preserve">2026-03-14 20:28:00</t>
  </si>
  <si>
    <t xml:space="preserve">TXN501032</t>
  </si>
  <si>
    <t xml:space="preserve">2026-03-15 00:11:00</t>
  </si>
  <si>
    <t xml:space="preserve">2026-03-15</t>
  </si>
  <si>
    <t xml:space="preserve">TXN501176</t>
  </si>
  <si>
    <t xml:space="preserve">2026-03-15 04:42:00</t>
  </si>
  <si>
    <t xml:space="preserve">TXN500372</t>
  </si>
  <si>
    <t xml:space="preserve">2026-03-15 06:23:00</t>
  </si>
  <si>
    <t xml:space="preserve">TXN500628</t>
  </si>
  <si>
    <t xml:space="preserve">2026-03-15 06:54:00</t>
  </si>
  <si>
    <t xml:space="preserve">TXN500081</t>
  </si>
  <si>
    <t xml:space="preserve">2026-03-15 07:02:00</t>
  </si>
  <si>
    <t xml:space="preserve">TXN501174</t>
  </si>
  <si>
    <t xml:space="preserve">2026-03-15 07:39:00</t>
  </si>
  <si>
    <t xml:space="preserve">TXN500451</t>
  </si>
  <si>
    <t xml:space="preserve">2026-03-15 07:47:00</t>
  </si>
  <si>
    <t xml:space="preserve">TXN501454</t>
  </si>
  <si>
    <t xml:space="preserve">2026-03-15 08:00:00</t>
  </si>
  <si>
    <t xml:space="preserve">TXN500494</t>
  </si>
  <si>
    <t xml:space="preserve">2026-03-15 09:38:00</t>
  </si>
  <si>
    <t xml:space="preserve">TXN501014</t>
  </si>
  <si>
    <t xml:space="preserve">2026-03-15 09:45:00</t>
  </si>
  <si>
    <t xml:space="preserve">TXN500738</t>
  </si>
  <si>
    <t xml:space="preserve">2026-03-15 10:49:00</t>
  </si>
  <si>
    <t xml:space="preserve">TXN500876</t>
  </si>
  <si>
    <t xml:space="preserve">2026-03-15 11:54:00</t>
  </si>
  <si>
    <t xml:space="preserve">TXN501455</t>
  </si>
  <si>
    <t xml:space="preserve">2026-03-15 12:00:00</t>
  </si>
  <si>
    <t xml:space="preserve">TXN500922</t>
  </si>
  <si>
    <t xml:space="preserve">2026-03-15 12:04:00</t>
  </si>
  <si>
    <t xml:space="preserve">TXN501169</t>
  </si>
  <si>
    <t xml:space="preserve">2026-03-15 12:14:00</t>
  </si>
  <si>
    <t xml:space="preserve">TXN500756</t>
  </si>
  <si>
    <t xml:space="preserve">2026-03-15 12:31:00</t>
  </si>
  <si>
    <t xml:space="preserve">TXN500307</t>
  </si>
  <si>
    <t xml:space="preserve">2026-03-15 14:20:00</t>
  </si>
  <si>
    <t xml:space="preserve">TXN501267</t>
  </si>
  <si>
    <t xml:space="preserve">2026-03-15 14:51:00</t>
  </si>
  <si>
    <t xml:space="preserve">TXN500407</t>
  </si>
  <si>
    <t xml:space="preserve">2026-03-15 15:12:00</t>
  </si>
  <si>
    <t xml:space="preserve">TXN501171</t>
  </si>
  <si>
    <t xml:space="preserve">2026-03-15 15:35:00</t>
  </si>
  <si>
    <t xml:space="preserve">TXN500827</t>
  </si>
  <si>
    <t xml:space="preserve">2026-03-15 16:31:00</t>
  </si>
  <si>
    <t xml:space="preserve">TXN501281</t>
  </si>
  <si>
    <t xml:space="preserve">2026-03-15 16:40:00</t>
  </si>
  <si>
    <t xml:space="preserve">TXN500903</t>
  </si>
  <si>
    <t xml:space="preserve">2026-03-15 21:45:00</t>
  </si>
  <si>
    <t xml:space="preserve">TXN500959</t>
  </si>
  <si>
    <t xml:space="preserve">2026-03-16 06:36:00</t>
  </si>
  <si>
    <t xml:space="preserve">2026-03-16</t>
  </si>
  <si>
    <t xml:space="preserve">TXN500894</t>
  </si>
  <si>
    <t xml:space="preserve">2026-03-16 06:52:00</t>
  </si>
  <si>
    <t xml:space="preserve">TXN500819</t>
  </si>
  <si>
    <t xml:space="preserve">2026-03-16 08:54:00</t>
  </si>
  <si>
    <t xml:space="preserve">TXN501246</t>
  </si>
  <si>
    <t xml:space="preserve">2026-03-16 09:02:00</t>
  </si>
  <si>
    <t xml:space="preserve">TXN500010</t>
  </si>
  <si>
    <t xml:space="preserve">2026-03-16 10:37:00</t>
  </si>
  <si>
    <t xml:space="preserve">TXN500173</t>
  </si>
  <si>
    <t xml:space="preserve">2026-03-16 10:52:00</t>
  </si>
  <si>
    <t xml:space="preserve">TXN500427</t>
  </si>
  <si>
    <t xml:space="preserve">2026-03-16 11:33:00</t>
  </si>
  <si>
    <t xml:space="preserve">TXN500306</t>
  </si>
  <si>
    <t xml:space="preserve">2026-03-16 12:50:00</t>
  </si>
  <si>
    <t xml:space="preserve">TXN501203</t>
  </si>
  <si>
    <t xml:space="preserve">2026-03-16 12:51:00</t>
  </si>
  <si>
    <t xml:space="preserve">TXN500050</t>
  </si>
  <si>
    <t xml:space="preserve">2026-03-16 13:20:00</t>
  </si>
  <si>
    <t xml:space="preserve">TXN501474</t>
  </si>
  <si>
    <t xml:space="preserve">2026-03-16 16:00:00</t>
  </si>
  <si>
    <t xml:space="preserve">TXN501475</t>
  </si>
  <si>
    <t xml:space="preserve">2026-03-16 16:03:00</t>
  </si>
  <si>
    <t xml:space="preserve">TXN500919</t>
  </si>
  <si>
    <t xml:space="preserve">2026-03-16 17:00:00</t>
  </si>
  <si>
    <t xml:space="preserve">TXN501186</t>
  </si>
  <si>
    <t xml:space="preserve">2026-03-16 19:33:00</t>
  </si>
  <si>
    <t xml:space="preserve">TXN500989</t>
  </si>
  <si>
    <t xml:space="preserve">2026-03-17 06:40:00</t>
  </si>
  <si>
    <t xml:space="preserve">2026-03-17</t>
  </si>
  <si>
    <t xml:space="preserve">TXN500213</t>
  </si>
  <si>
    <t xml:space="preserve">2026-03-17 08:27:00</t>
  </si>
  <si>
    <t xml:space="preserve">TXN500706</t>
  </si>
  <si>
    <t xml:space="preserve">2026-03-17 08:52:00</t>
  </si>
  <si>
    <t xml:space="preserve">TXN500133</t>
  </si>
  <si>
    <t xml:space="preserve">2026-03-17 08:54:00</t>
  </si>
  <si>
    <t xml:space="preserve">TXN500591</t>
  </si>
  <si>
    <t xml:space="preserve">2026-03-17 10:00:00</t>
  </si>
  <si>
    <t xml:space="preserve">TXN501306</t>
  </si>
  <si>
    <t xml:space="preserve">2026-03-17 13:20:00</t>
  </si>
  <si>
    <t xml:space="preserve">TXN500692</t>
  </si>
  <si>
    <t xml:space="preserve">2026-03-17 13:27:00</t>
  </si>
  <si>
    <t xml:space="preserve">TXN500615</t>
  </si>
  <si>
    <t xml:space="preserve">2026-03-17 15:55:00</t>
  </si>
  <si>
    <t xml:space="preserve">TXN501004</t>
  </si>
  <si>
    <t xml:space="preserve">2026-03-17 16:58:00</t>
  </si>
  <si>
    <t xml:space="preserve">TXN501228</t>
  </si>
  <si>
    <t xml:space="preserve">2026-03-17 19:57:00</t>
  </si>
  <si>
    <t xml:space="preserve">TXN500049</t>
  </si>
  <si>
    <t xml:space="preserve">2026-03-18 01:05:00</t>
  </si>
  <si>
    <t xml:space="preserve">2026-03-18</t>
  </si>
  <si>
    <t xml:space="preserve">TXN501023</t>
  </si>
  <si>
    <t xml:space="preserve">2026-03-18 02:49:00</t>
  </si>
  <si>
    <t xml:space="preserve">TXN500278</t>
  </si>
  <si>
    <t xml:space="preserve">2026-03-18 04:03:00</t>
  </si>
  <si>
    <t xml:space="preserve">TXN501270</t>
  </si>
  <si>
    <t xml:space="preserve">2026-03-18 05:50:00</t>
  </si>
  <si>
    <t xml:space="preserve">TXN500601</t>
  </si>
  <si>
    <t xml:space="preserve">2026-03-18 06:24:00</t>
  </si>
  <si>
    <t xml:space="preserve">TXN501118</t>
  </si>
  <si>
    <t xml:space="preserve">2026-03-18 06:49:00</t>
  </si>
  <si>
    <t xml:space="preserve">TXN500161</t>
  </si>
  <si>
    <t xml:space="preserve">2026-03-18 11:02:00</t>
  </si>
  <si>
    <t xml:space="preserve">TXN500795</t>
  </si>
  <si>
    <t xml:space="preserve">2026-03-18 11:55:00</t>
  </si>
  <si>
    <t xml:space="preserve">TXN500258</t>
  </si>
  <si>
    <t xml:space="preserve">2026-03-18 12:29:00</t>
  </si>
  <si>
    <t xml:space="preserve">TXN500188</t>
  </si>
  <si>
    <t xml:space="preserve">2026-03-18 12:56:00</t>
  </si>
  <si>
    <t xml:space="preserve">TXN501290</t>
  </si>
  <si>
    <t xml:space="preserve">2026-03-18 18:40:00</t>
  </si>
  <si>
    <t xml:space="preserve">TXN500999</t>
  </si>
  <si>
    <t xml:space="preserve">2026-03-19 04:30:00</t>
  </si>
  <si>
    <t xml:space="preserve">2026-03-19</t>
  </si>
  <si>
    <t xml:space="preserve">TXN500060</t>
  </si>
  <si>
    <t xml:space="preserve">2026-03-19 07:21:00</t>
  </si>
  <si>
    <t xml:space="preserve">TXN500739</t>
  </si>
  <si>
    <t xml:space="preserve">2026-03-19 09:51:00</t>
  </si>
  <si>
    <t xml:space="preserve">TXN500846</t>
  </si>
  <si>
    <t xml:space="preserve">2026-03-19 15:26:00</t>
  </si>
  <si>
    <t xml:space="preserve">TXN500219</t>
  </si>
  <si>
    <t xml:space="preserve">2026-03-19 16:14:00</t>
  </si>
  <si>
    <t xml:space="preserve">TXN501252</t>
  </si>
  <si>
    <t xml:space="preserve">2026-03-19 17:16:00</t>
  </si>
  <si>
    <t xml:space="preserve">TXN501326</t>
  </si>
  <si>
    <t xml:space="preserve">2026-03-19 20:39:00</t>
  </si>
  <si>
    <t xml:space="preserve">TXN500564</t>
  </si>
  <si>
    <t xml:space="preserve">2026-03-19 21:12:00</t>
  </si>
  <si>
    <t xml:space="preserve">TXN500879</t>
  </si>
  <si>
    <t xml:space="preserve">2026-03-19 22:40:00</t>
  </si>
  <si>
    <t xml:space="preserve">TXN500123</t>
  </si>
  <si>
    <t xml:space="preserve">2026-03-19 22:45:00</t>
  </si>
  <si>
    <t xml:space="preserve">TXN500362</t>
  </si>
  <si>
    <t xml:space="preserve">2026-03-19 23:11:00</t>
  </si>
  <si>
    <t xml:space="preserve">TXN500993</t>
  </si>
  <si>
    <t xml:space="preserve">2026-03-19 23:55:00</t>
  </si>
  <si>
    <t xml:space="preserve">TXN500577</t>
  </si>
  <si>
    <t xml:space="preserve">2026-03-20 02:41:00</t>
  </si>
  <si>
    <t xml:space="preserve">2026-03-20</t>
  </si>
  <si>
    <t xml:space="preserve">TXN500616</t>
  </si>
  <si>
    <t xml:space="preserve">2026-03-20 06:13:00</t>
  </si>
  <si>
    <t xml:space="preserve">TXN500561</t>
  </si>
  <si>
    <t xml:space="preserve">2026-03-20 07:06:00</t>
  </si>
  <si>
    <t xml:space="preserve">TXN500326</t>
  </si>
  <si>
    <t xml:space="preserve">2026-03-20 08:47:00</t>
  </si>
  <si>
    <t xml:space="preserve">TXN500421</t>
  </si>
  <si>
    <t xml:space="preserve">2026-03-20 09:25:00</t>
  </si>
  <si>
    <t xml:space="preserve">TXN500239</t>
  </si>
  <si>
    <t xml:space="preserve">2026-03-20 10:17:00</t>
  </si>
  <si>
    <t xml:space="preserve">TXN500865</t>
  </si>
  <si>
    <t xml:space="preserve">2026-03-20 10:22:00</t>
  </si>
  <si>
    <t xml:space="preserve">TXN500828</t>
  </si>
  <si>
    <t xml:space="preserve">2026-03-20 10:27:00</t>
  </si>
  <si>
    <t xml:space="preserve">TXN501312</t>
  </si>
  <si>
    <t xml:space="preserve">2026-03-20 13:12:00</t>
  </si>
  <si>
    <t xml:space="preserve">TXN500713</t>
  </si>
  <si>
    <t xml:space="preserve">2026-03-20 13:15:00</t>
  </si>
  <si>
    <t xml:space="preserve">TXN500664</t>
  </si>
  <si>
    <t xml:space="preserve">2026-03-20 13:19:00</t>
  </si>
  <si>
    <t xml:space="preserve">TXN501253</t>
  </si>
  <si>
    <t xml:space="preserve">2026-03-20 13:33:00</t>
  </si>
  <si>
    <t xml:space="preserve">TXN500645</t>
  </si>
  <si>
    <t xml:space="preserve">2026-03-20 14:55:00</t>
  </si>
  <si>
    <t xml:space="preserve">TXN501018</t>
  </si>
  <si>
    <t xml:space="preserve">2026-03-20 15:45:00</t>
  </si>
  <si>
    <t xml:space="preserve">TXN501465</t>
  </si>
  <si>
    <t xml:space="preserve">2026-03-20 16:00:00</t>
  </si>
  <si>
    <t xml:space="preserve">TXN501097</t>
  </si>
  <si>
    <t xml:space="preserve">2026-03-20 16:43:00</t>
  </si>
  <si>
    <t xml:space="preserve">TXN500209</t>
  </si>
  <si>
    <t xml:space="preserve">2026-03-20 17:39:00</t>
  </si>
  <si>
    <t xml:space="preserve">TXN500100</t>
  </si>
  <si>
    <t xml:space="preserve">2026-03-20 17:57:00</t>
  </si>
  <si>
    <t xml:space="preserve">TXN501287</t>
  </si>
  <si>
    <t xml:space="preserve">2026-03-20 18:34:00</t>
  </si>
  <si>
    <t xml:space="preserve">TXN500928</t>
  </si>
  <si>
    <t xml:space="preserve">2026-03-20 20:15:00</t>
  </si>
  <si>
    <t xml:space="preserve">TXN500544</t>
  </si>
  <si>
    <t xml:space="preserve">2026-03-20 21:25:00</t>
  </si>
  <si>
    <t xml:space="preserve">TXN501342</t>
  </si>
  <si>
    <t xml:space="preserve">2026-03-21 01:31:00</t>
  </si>
  <si>
    <t xml:space="preserve">2026-03-21</t>
  </si>
  <si>
    <t xml:space="preserve">TXN500841</t>
  </si>
  <si>
    <t xml:space="preserve">2026-03-21 02:03:00</t>
  </si>
  <si>
    <t xml:space="preserve">TXN500279</t>
  </si>
  <si>
    <t xml:space="preserve">2026-03-21 02:05:00</t>
  </si>
  <si>
    <t xml:space="preserve">TXN500957</t>
  </si>
  <si>
    <t xml:space="preserve">2026-03-21 03:12:00</t>
  </si>
  <si>
    <t xml:space="preserve">TXN500847</t>
  </si>
  <si>
    <t xml:space="preserve">2026-03-21 05:07:00</t>
  </si>
  <si>
    <t xml:space="preserve">TXN500257</t>
  </si>
  <si>
    <t xml:space="preserve">2026-03-21 14:35:00</t>
  </si>
  <si>
    <t xml:space="preserve">TXN500232</t>
  </si>
  <si>
    <t xml:space="preserve">2026-03-21 18:35:00</t>
  </si>
  <si>
    <t xml:space="preserve">TXN500967</t>
  </si>
  <si>
    <t xml:space="preserve">2026-03-22 01:37:00</t>
  </si>
  <si>
    <t xml:space="preserve">2026-03-22</t>
  </si>
  <si>
    <t xml:space="preserve">TXN500030</t>
  </si>
  <si>
    <t xml:space="preserve">2026-03-22 02:04:00</t>
  </si>
  <si>
    <t xml:space="preserve">TXN500966</t>
  </si>
  <si>
    <t xml:space="preserve">2026-03-22 03:04:00</t>
  </si>
  <si>
    <t xml:space="preserve">TXN500772</t>
  </si>
  <si>
    <t xml:space="preserve">2026-03-22 06:38:00</t>
  </si>
  <si>
    <t xml:space="preserve">TXN501236</t>
  </si>
  <si>
    <t xml:space="preserve">2026-03-22 06:57:00</t>
  </si>
  <si>
    <t xml:space="preserve">TXN500302</t>
  </si>
  <si>
    <t xml:space="preserve">2026-03-22 08:17:00</t>
  </si>
  <si>
    <t xml:space="preserve">TXN500392</t>
  </si>
  <si>
    <t xml:space="preserve">2026-03-22 08:34:00</t>
  </si>
  <si>
    <t xml:space="preserve">TXN500635</t>
  </si>
  <si>
    <t xml:space="preserve">2026-03-22 08:44:00</t>
  </si>
  <si>
    <t xml:space="preserve">TXN501166</t>
  </si>
  <si>
    <t xml:space="preserve">2026-03-22 10:19:00</t>
  </si>
  <si>
    <t xml:space="preserve">TXN501269</t>
  </si>
  <si>
    <t xml:space="preserve">2026-03-22 12:10:00</t>
  </si>
  <si>
    <t xml:space="preserve">TXN500163</t>
  </si>
  <si>
    <t xml:space="preserve">2026-03-22 13:51:00</t>
  </si>
  <si>
    <t xml:space="preserve">TXN500935</t>
  </si>
  <si>
    <t xml:space="preserve">2026-03-22 16:55:00</t>
  </si>
  <si>
    <t xml:space="preserve">TXN501071</t>
  </si>
  <si>
    <t xml:space="preserve">2026-03-22 21:55:00</t>
  </si>
  <si>
    <t xml:space="preserve">TXN500534</t>
  </si>
  <si>
    <t xml:space="preserve">2026-03-23 00:10:00</t>
  </si>
  <si>
    <t xml:space="preserve">2026-03-23</t>
  </si>
  <si>
    <t xml:space="preserve">TXN501485</t>
  </si>
  <si>
    <t xml:space="preserve">2026-03-23 02:00:00</t>
  </si>
  <si>
    <t xml:space="preserve">TXN501140</t>
  </si>
  <si>
    <t xml:space="preserve">2026-03-23 02:35:00</t>
  </si>
  <si>
    <t xml:space="preserve">TXN501365</t>
  </si>
  <si>
    <t xml:space="preserve">2026-03-23 05:07:00</t>
  </si>
  <si>
    <t xml:space="preserve">TXN501350</t>
  </si>
  <si>
    <t xml:space="preserve">2026-03-23 06:36:00</t>
  </si>
  <si>
    <t xml:space="preserve">TXN501258</t>
  </si>
  <si>
    <t xml:space="preserve">2026-03-23 07:18:00</t>
  </si>
  <si>
    <t xml:space="preserve">TXN500545</t>
  </si>
  <si>
    <t xml:space="preserve">2026-03-23 08:28:00</t>
  </si>
  <si>
    <t xml:space="preserve">TXN501150</t>
  </si>
  <si>
    <t xml:space="preserve">2026-03-23 10:46:00</t>
  </si>
  <si>
    <t xml:space="preserve">TXN501335</t>
  </si>
  <si>
    <t xml:space="preserve">2026-03-23 12:37:00</t>
  </si>
  <si>
    <t xml:space="preserve">TXN500914</t>
  </si>
  <si>
    <t xml:space="preserve">2026-03-23 15:41:00</t>
  </si>
  <si>
    <t xml:space="preserve">TXN501038</t>
  </si>
  <si>
    <t xml:space="preserve">2026-03-23 16:14:00</t>
  </si>
  <si>
    <t xml:space="preserve">TXN500061</t>
  </si>
  <si>
    <t xml:space="preserve">2026-03-23 17:32:00</t>
  </si>
  <si>
    <t xml:space="preserve">TXN501087</t>
  </si>
  <si>
    <t xml:space="preserve">2026-03-23 18:27:00</t>
  </si>
  <si>
    <t xml:space="preserve">TXN501209</t>
  </si>
  <si>
    <t xml:space="preserve">2026-03-23 20:17:00</t>
  </si>
  <si>
    <t xml:space="preserve">TXN500651</t>
  </si>
  <si>
    <t xml:space="preserve">2026-03-24 02:57:00</t>
  </si>
  <si>
    <t xml:space="preserve">2026-03-24</t>
  </si>
  <si>
    <t xml:space="preserve">TXN500648</t>
  </si>
  <si>
    <t xml:space="preserve">2026-03-24 04:35:00</t>
  </si>
  <si>
    <t xml:space="preserve">TXN500393</t>
  </si>
  <si>
    <t xml:space="preserve">2026-03-24 06:37:00</t>
  </si>
  <si>
    <t xml:space="preserve">TXN500799</t>
  </si>
  <si>
    <t xml:space="preserve">2026-03-24 07:13:00</t>
  </si>
  <si>
    <t xml:space="preserve">TXN500854</t>
  </si>
  <si>
    <t xml:space="preserve">2026-03-24 07:18:00</t>
  </si>
  <si>
    <t xml:space="preserve">TXN500984</t>
  </si>
  <si>
    <t xml:space="preserve">2026-03-24 08:09:00</t>
  </si>
  <si>
    <t xml:space="preserve">TXN501162</t>
  </si>
  <si>
    <t xml:space="preserve">2026-03-24 08:46:00</t>
  </si>
  <si>
    <t xml:space="preserve">TXN501351</t>
  </si>
  <si>
    <t xml:space="preserve">2026-03-24 08:52:00</t>
  </si>
  <si>
    <t xml:space="preserve">TXN500948</t>
  </si>
  <si>
    <t xml:space="preserve">2026-03-24 09:00:00</t>
  </si>
  <si>
    <t xml:space="preserve">TXN500961</t>
  </si>
  <si>
    <t xml:space="preserve">2026-03-24 10:53:00</t>
  </si>
  <si>
    <t xml:space="preserve">TXN500115</t>
  </si>
  <si>
    <t xml:space="preserve">2026-03-24 10:55:00</t>
  </si>
  <si>
    <t xml:space="preserve">TXN500331</t>
  </si>
  <si>
    <t xml:space="preserve">2026-03-24 11:23:00</t>
  </si>
  <si>
    <t xml:space="preserve">TXN500761</t>
  </si>
  <si>
    <t xml:space="preserve">2026-03-24 12:11:00</t>
  </si>
  <si>
    <t xml:space="preserve">TXN500910</t>
  </si>
  <si>
    <t xml:space="preserve">2026-03-24 12:15:00</t>
  </si>
  <si>
    <t xml:space="preserve">TXN500806</t>
  </si>
  <si>
    <t xml:space="preserve">2026-03-24 13:18:00</t>
  </si>
  <si>
    <t xml:space="preserve">TXN501463</t>
  </si>
  <si>
    <t xml:space="preserve">2026-03-24 14:00:00</t>
  </si>
  <si>
    <t xml:space="preserve">TXN500498</t>
  </si>
  <si>
    <t xml:space="preserve">2026-03-24 14:50:00</t>
  </si>
  <si>
    <t xml:space="preserve">TXN500942</t>
  </si>
  <si>
    <t xml:space="preserve">2026-03-24 15:04:00</t>
  </si>
  <si>
    <t xml:space="preserve">TXN500396</t>
  </si>
  <si>
    <t xml:space="preserve">2026-03-24 16:16:00</t>
  </si>
  <si>
    <t xml:space="preserve">TXN501325</t>
  </si>
  <si>
    <t xml:space="preserve">2026-03-24 16:55:00</t>
  </si>
  <si>
    <t xml:space="preserve">TXN500297</t>
  </si>
  <si>
    <t xml:space="preserve">2026-03-24 17:15:00</t>
  </si>
  <si>
    <t xml:space="preserve">TXN500872</t>
  </si>
  <si>
    <t xml:space="preserve">2026-03-24 20:32:00</t>
  </si>
  <si>
    <t xml:space="preserve">TXN500254</t>
  </si>
  <si>
    <t xml:space="preserve">2026-03-24 22:03:00</t>
  </si>
  <si>
    <t xml:space="preserve">TXN500482</t>
  </si>
  <si>
    <t xml:space="preserve">2026-03-24 22:23:00</t>
  </si>
  <si>
    <t xml:space="preserve">TXN500642</t>
  </si>
  <si>
    <t xml:space="preserve">2026-03-24 23:09:00</t>
  </si>
  <si>
    <t xml:space="preserve">TXN500636</t>
  </si>
  <si>
    <t xml:space="preserve">2026-03-25 04:06:00</t>
  </si>
  <si>
    <t xml:space="preserve">2026-03-25</t>
  </si>
  <si>
    <t xml:space="preserve">TXN500373</t>
  </si>
  <si>
    <t xml:space="preserve">2026-03-25 08:07:00</t>
  </si>
  <si>
    <t xml:space="preserve">TXN501074</t>
  </si>
  <si>
    <t xml:space="preserve">2026-03-25 08:17:00</t>
  </si>
  <si>
    <t xml:space="preserve">TXN500978</t>
  </si>
  <si>
    <t xml:space="preserve">2026-03-25 09:45:00</t>
  </si>
  <si>
    <t xml:space="preserve">TXN500027</t>
  </si>
  <si>
    <t xml:space="preserve">2026-03-25 09:57:00</t>
  </si>
  <si>
    <t xml:space="preserve">TXN500675</t>
  </si>
  <si>
    <t xml:space="preserve">2026-03-25 10:20:00</t>
  </si>
  <si>
    <t xml:space="preserve">TXN501002</t>
  </si>
  <si>
    <t xml:space="preserve">2026-03-25 10:26:00</t>
  </si>
  <si>
    <t xml:space="preserve">TXN500980</t>
  </si>
  <si>
    <t xml:space="preserve">2026-03-25 10:37:00</t>
  </si>
  <si>
    <t xml:space="preserve">TXN500008</t>
  </si>
  <si>
    <t xml:space="preserve">2026-03-25 11:56:00</t>
  </si>
  <si>
    <t xml:space="preserve">TXN500057</t>
  </si>
  <si>
    <t xml:space="preserve">2026-03-25 12:42:00</t>
  </si>
  <si>
    <t xml:space="preserve">TXN500316</t>
  </si>
  <si>
    <t xml:space="preserve">2026-03-25 15:25:00</t>
  </si>
  <si>
    <t xml:space="preserve">TXN501098</t>
  </si>
  <si>
    <t xml:space="preserve">2026-03-25 15:51:00</t>
  </si>
  <si>
    <t xml:space="preserve">TXN500096</t>
  </si>
  <si>
    <t xml:space="preserve">2026-03-25 15:57:00</t>
  </si>
  <si>
    <t xml:space="preserve">TXN500840</t>
  </si>
  <si>
    <t xml:space="preserve">2026-03-25 16:24:00</t>
  </si>
  <si>
    <t xml:space="preserve">TXN500426</t>
  </si>
  <si>
    <t xml:space="preserve">2026-03-25 16:49:00</t>
  </si>
  <si>
    <t xml:space="preserve">TXN501357</t>
  </si>
  <si>
    <t xml:space="preserve">2026-03-25 17:21:00</t>
  </si>
  <si>
    <t xml:space="preserve">TXN501165</t>
  </si>
  <si>
    <t xml:space="preserve">2026-03-25 17:59:00</t>
  </si>
  <si>
    <t xml:space="preserve">TXN500862</t>
  </si>
  <si>
    <t xml:space="preserve">2026-03-25 18:10:00</t>
  </si>
  <si>
    <t xml:space="preserve">TXN501081</t>
  </si>
  <si>
    <t xml:space="preserve">2026-03-25 20:24:00</t>
  </si>
  <si>
    <t xml:space="preserve">TXN500159</t>
  </si>
  <si>
    <t xml:space="preserve">2026-03-26 03:15:00</t>
  </si>
  <si>
    <t xml:space="preserve">2026-03-26</t>
  </si>
  <si>
    <t xml:space="preserve">TXN500845</t>
  </si>
  <si>
    <t xml:space="preserve">2026-03-26 04:33:00</t>
  </si>
  <si>
    <t xml:space="preserve">TXN501311</t>
  </si>
  <si>
    <t xml:space="preserve">2026-03-26 06:34:00</t>
  </si>
  <si>
    <t xml:space="preserve">TXN500884</t>
  </si>
  <si>
    <t xml:space="preserve">2026-03-26 07:21:00</t>
  </si>
  <si>
    <t xml:space="preserve">TXN500243</t>
  </si>
  <si>
    <t xml:space="preserve">2026-03-26 07:40:00</t>
  </si>
  <si>
    <t xml:space="preserve">TXN501189</t>
  </si>
  <si>
    <t xml:space="preserve">2026-03-26 08:54:00</t>
  </si>
  <si>
    <t xml:space="preserve">TXN500883</t>
  </si>
  <si>
    <t xml:space="preserve">2026-03-26 09:28:00</t>
  </si>
  <si>
    <t xml:space="preserve">TXN500733</t>
  </si>
  <si>
    <t xml:space="preserve">2026-03-26 10:06:00</t>
  </si>
  <si>
    <t xml:space="preserve">TXN501324</t>
  </si>
  <si>
    <t xml:space="preserve">2026-03-26 10:08:00</t>
  </si>
  <si>
    <t xml:space="preserve">TXN500034</t>
  </si>
  <si>
    <t xml:space="preserve">2026-03-26 10:27:00</t>
  </si>
  <si>
    <t xml:space="preserve">TXN500280</t>
  </si>
  <si>
    <t xml:space="preserve">2026-03-26 10:38:00</t>
  </si>
  <si>
    <t xml:space="preserve">TXN500489</t>
  </si>
  <si>
    <t xml:space="preserve">2026-03-26 10:49:00</t>
  </si>
  <si>
    <t xml:space="preserve">TXN500024</t>
  </si>
  <si>
    <t xml:space="preserve">2026-03-26 11:35:00</t>
  </si>
  <si>
    <t xml:space="preserve">TXN501459</t>
  </si>
  <si>
    <t xml:space="preserve">2026-03-26 12:00:00</t>
  </si>
  <si>
    <t xml:space="preserve">TXN500142</t>
  </si>
  <si>
    <t xml:space="preserve">2026-03-26 13:30:00</t>
  </si>
  <si>
    <t xml:space="preserve">TXN500891</t>
  </si>
  <si>
    <t xml:space="preserve">2026-03-26 13:32:00</t>
  </si>
  <si>
    <t xml:space="preserve">TXN500394</t>
  </si>
  <si>
    <t xml:space="preserve">2026-03-26 13:57:00</t>
  </si>
  <si>
    <t xml:space="preserve">TXN501305</t>
  </si>
  <si>
    <t xml:space="preserve">2026-03-26 14:47:00</t>
  </si>
  <si>
    <t xml:space="preserve">TXN500351</t>
  </si>
  <si>
    <t xml:space="preserve">2026-03-26 14:49:00</t>
  </si>
  <si>
    <t xml:space="preserve">TXN500870</t>
  </si>
  <si>
    <t xml:space="preserve">2026-03-26 15:30:00</t>
  </si>
  <si>
    <t xml:space="preserve">TXN500196</t>
  </si>
  <si>
    <t xml:space="preserve">2026-03-26 16:41:00</t>
  </si>
  <si>
    <t xml:space="preserve">TXN500992</t>
  </si>
  <si>
    <t xml:space="preserve">2026-03-26 17:05:00</t>
  </si>
  <si>
    <t xml:space="preserve">TXN501234</t>
  </si>
  <si>
    <t xml:space="preserve">2026-03-26 17:10:00</t>
  </si>
  <si>
    <t xml:space="preserve">TXN500272</t>
  </si>
  <si>
    <t xml:space="preserve">2026-03-26 17:17:00</t>
  </si>
  <si>
    <t xml:space="preserve">TXN500314</t>
  </si>
  <si>
    <t xml:space="preserve">2026-03-26 22:38:00</t>
  </si>
  <si>
    <t xml:space="preserve">TXN500211</t>
  </si>
  <si>
    <t xml:space="preserve">2026-03-27 00:51:00</t>
  </si>
  <si>
    <t xml:space="preserve">2026-03-27</t>
  </si>
  <si>
    <t xml:space="preserve">TXN500906</t>
  </si>
  <si>
    <t xml:space="preserve">2026-03-27 02:17:00</t>
  </si>
  <si>
    <t xml:space="preserve">TXN500911</t>
  </si>
  <si>
    <t xml:space="preserve">2026-03-27 02:24:00</t>
  </si>
  <si>
    <t xml:space="preserve">TXN501283</t>
  </si>
  <si>
    <t xml:space="preserve">2026-03-27 05:09:00</t>
  </si>
  <si>
    <t xml:space="preserve">TXN500976</t>
  </si>
  <si>
    <t xml:space="preserve">2026-03-27 07:58:00</t>
  </si>
  <si>
    <t xml:space="preserve">TXN500283</t>
  </si>
  <si>
    <t xml:space="preserve">2026-03-27 08:14:00</t>
  </si>
  <si>
    <t xml:space="preserve">TXN500765</t>
  </si>
  <si>
    <t xml:space="preserve">2026-03-27 09:34:00</t>
  </si>
  <si>
    <t xml:space="preserve">TXN500319</t>
  </si>
  <si>
    <t xml:space="preserve">2026-03-27 10:23:00</t>
  </si>
  <si>
    <t xml:space="preserve">TXN500736</t>
  </si>
  <si>
    <t xml:space="preserve">2026-03-27 13:11:00</t>
  </si>
  <si>
    <t xml:space="preserve">TXN500367</t>
  </si>
  <si>
    <t xml:space="preserve">2026-03-27 14:23:00</t>
  </si>
  <si>
    <t xml:space="preserve">TXN500051</t>
  </si>
  <si>
    <t xml:space="preserve">2026-03-27 15:15:00</t>
  </si>
  <si>
    <t xml:space="preserve">TXN500318</t>
  </si>
  <si>
    <t xml:space="preserve">2026-03-27 15:47:00</t>
  </si>
  <si>
    <t xml:space="preserve">TXN501292</t>
  </si>
  <si>
    <t xml:space="preserve">2026-03-27 16:05:00</t>
  </si>
  <si>
    <t xml:space="preserve">TXN500634</t>
  </si>
  <si>
    <t xml:space="preserve">2026-03-27 19:10:00</t>
  </si>
  <si>
    <t xml:space="preserve">TXN501245</t>
  </si>
  <si>
    <t xml:space="preserve">2026-03-28 08:42:00</t>
  </si>
  <si>
    <t xml:space="preserve">2026-03-28</t>
  </si>
  <si>
    <t xml:space="preserve">TXN501266</t>
  </si>
  <si>
    <t xml:space="preserve">2026-03-28 09:34:00</t>
  </si>
  <si>
    <t xml:space="preserve">TXN500621</t>
  </si>
  <si>
    <t xml:space="preserve">2026-03-28 10:09:00</t>
  </si>
  <si>
    <t xml:space="preserve">TXN500497</t>
  </si>
  <si>
    <t xml:space="preserve">2026-03-28 10:31:00</t>
  </si>
  <si>
    <t xml:space="preserve">TXN500987</t>
  </si>
  <si>
    <t xml:space="preserve">2026-03-28 11:13:00</t>
  </si>
  <si>
    <t xml:space="preserve">TXN500571</t>
  </si>
  <si>
    <t xml:space="preserve">2026-03-28 11:40:00</t>
  </si>
  <si>
    <t xml:space="preserve">TXN500212</t>
  </si>
  <si>
    <t xml:space="preserve">2026-03-28 12:04:00</t>
  </si>
  <si>
    <t xml:space="preserve">TXN500868</t>
  </si>
  <si>
    <t xml:space="preserve">2026-03-28 12:47:00</t>
  </si>
  <si>
    <t xml:space="preserve">TXN500890</t>
  </si>
  <si>
    <t xml:space="preserve">2026-03-28 13:49:00</t>
  </si>
  <si>
    <t xml:space="preserve">TXN500312</t>
  </si>
  <si>
    <t xml:space="preserve">2026-03-28 13:50:00</t>
  </si>
  <si>
    <t xml:space="preserve">TXN501471</t>
  </si>
  <si>
    <t xml:space="preserve">2026-03-28 14:00:00</t>
  </si>
  <si>
    <t xml:space="preserve">TXN500871</t>
  </si>
  <si>
    <t xml:space="preserve">2026-03-28 14:09:00</t>
  </si>
  <si>
    <t xml:space="preserve">TXN500491</t>
  </si>
  <si>
    <t xml:space="preserve">2026-03-28 15:03:00</t>
  </si>
  <si>
    <t xml:space="preserve">TXN500672</t>
  </si>
  <si>
    <t xml:space="preserve">2026-03-28 15:14:00</t>
  </si>
  <si>
    <t xml:space="preserve">TXN500230</t>
  </si>
  <si>
    <t xml:space="preserve">2026-03-28 15:16:00</t>
  </si>
  <si>
    <t xml:space="preserve">TXN501359</t>
  </si>
  <si>
    <t xml:space="preserve">2026-03-28 15:46:00</t>
  </si>
  <si>
    <t xml:space="preserve">TXN500962</t>
  </si>
  <si>
    <t xml:space="preserve">2026-03-28 15:56:00</t>
  </si>
  <si>
    <t xml:space="preserve">TXN500459</t>
  </si>
  <si>
    <t xml:space="preserve">2026-03-28 16:11:00</t>
  </si>
  <si>
    <t xml:space="preserve">TXN500170</t>
  </si>
  <si>
    <t xml:space="preserve">2026-03-28 17:36:00</t>
  </si>
  <si>
    <t xml:space="preserve">TXN500125</t>
  </si>
  <si>
    <t xml:space="preserve">2026-03-28 19:24:00</t>
  </si>
  <si>
    <t xml:space="preserve">TXN500228</t>
  </si>
  <si>
    <t xml:space="preserve">2026-03-28 23:54:00</t>
  </si>
  <si>
    <t xml:space="preserve">TXN501212</t>
  </si>
  <si>
    <t xml:space="preserve">2026-03-29 01:05:00</t>
  </si>
  <si>
    <t xml:space="preserve">2026-03-29</t>
  </si>
  <si>
    <t xml:space="preserve">TXN500428</t>
  </si>
  <si>
    <t xml:space="preserve">2026-03-29 07:36:00</t>
  </si>
  <si>
    <t xml:space="preserve">TXN500474</t>
  </si>
  <si>
    <t xml:space="preserve">2026-03-29 07:37:00</t>
  </si>
  <si>
    <t xml:space="preserve">TXN500944</t>
  </si>
  <si>
    <t xml:space="preserve">2026-03-29 08:05:00</t>
  </si>
  <si>
    <t xml:space="preserve">TXN500907</t>
  </si>
  <si>
    <t xml:space="preserve">2026-03-29 08:53:00</t>
  </si>
  <si>
    <t xml:space="preserve">TXN500996</t>
  </si>
  <si>
    <t xml:space="preserve">2026-03-29 09:29:00</t>
  </si>
  <si>
    <t xml:space="preserve">TXN500912</t>
  </si>
  <si>
    <t xml:space="preserve">2026-03-29 09:35:00</t>
  </si>
  <si>
    <t xml:space="preserve">TXN501180</t>
  </si>
  <si>
    <t xml:space="preserve">2026-03-29 09:48:00</t>
  </si>
  <si>
    <t xml:space="preserve">TXN500399</t>
  </si>
  <si>
    <t xml:space="preserve">2026-03-29 10:29:00</t>
  </si>
  <si>
    <t xml:space="preserve">TXN500547</t>
  </si>
  <si>
    <t xml:space="preserve">2026-03-29 13:24:00</t>
  </si>
  <si>
    <t xml:space="preserve">TXN500003</t>
  </si>
  <si>
    <t xml:space="preserve">2026-03-29 14:38:00</t>
  </si>
  <si>
    <t xml:space="preserve">TXN500629</t>
  </si>
  <si>
    <t xml:space="preserve">2026-03-29 16:02:00</t>
  </si>
  <si>
    <t xml:space="preserve">TXN500208</t>
  </si>
  <si>
    <t xml:space="preserve">2026-03-29 16:10:00</t>
  </si>
  <si>
    <t xml:space="preserve">TXN500470</t>
  </si>
  <si>
    <t xml:space="preserve">2026-03-29 16:55:00</t>
  </si>
  <si>
    <t xml:space="preserve">TXN501043</t>
  </si>
  <si>
    <t xml:space="preserve">2026-03-29 20:12:00</t>
  </si>
  <si>
    <t xml:space="preserve">TXN501112</t>
  </si>
  <si>
    <t xml:space="preserve">2026-03-29 22:59:00</t>
  </si>
  <si>
    <t xml:space="preserve">TXN500797</t>
  </si>
  <si>
    <t xml:space="preserve">2026-03-30 04:01:00</t>
  </si>
  <si>
    <t xml:space="preserve">2026-03-30</t>
  </si>
  <si>
    <t xml:space="preserve">TXN500639</t>
  </si>
  <si>
    <t xml:space="preserve">2026-03-30 06:04:00</t>
  </si>
  <si>
    <t xml:space="preserve">TXN500026</t>
  </si>
  <si>
    <t xml:space="preserve">2026-03-30 07:19:00</t>
  </si>
  <si>
    <t xml:space="preserve">TXN500430</t>
  </si>
  <si>
    <t xml:space="preserve">2026-03-30 07:32:00</t>
  </si>
  <si>
    <t xml:space="preserve">TXN500464</t>
  </si>
  <si>
    <t xml:space="preserve">2026-03-30 07:42:00</t>
  </si>
  <si>
    <t xml:space="preserve">TXN500737</t>
  </si>
  <si>
    <t xml:space="preserve">2026-03-30 08:11:00</t>
  </si>
  <si>
    <t xml:space="preserve">TXN500167</t>
  </si>
  <si>
    <t xml:space="preserve">2026-03-30 08:25:00</t>
  </si>
  <si>
    <t xml:space="preserve">TXN500201</t>
  </si>
  <si>
    <t xml:space="preserve">2026-03-30 10:05:00</t>
  </si>
  <si>
    <t xml:space="preserve">TXN500005</t>
  </si>
  <si>
    <t xml:space="preserve">2026-03-30 12:43:00</t>
  </si>
  <si>
    <t xml:space="preserve">TXN501251</t>
  </si>
  <si>
    <t xml:space="preserve">2026-03-30 13:50:00</t>
  </si>
  <si>
    <t xml:space="preserve">TXN500844</t>
  </si>
  <si>
    <t xml:space="preserve">2026-03-30 14:00:00</t>
  </si>
  <si>
    <t xml:space="preserve">TXN500566</t>
  </si>
  <si>
    <t xml:space="preserve">2026-03-30 14:36:00</t>
  </si>
  <si>
    <t xml:space="preserve">TXN500425</t>
  </si>
  <si>
    <t xml:space="preserve">2026-03-30 14:38:00</t>
  </si>
  <si>
    <t xml:space="preserve">TXN500832</t>
  </si>
  <si>
    <t xml:space="preserve">2026-03-30 18:19:00</t>
  </si>
  <si>
    <t xml:space="preserve">TXN500685</t>
  </si>
  <si>
    <t xml:space="preserve">2026-03-30 18:21:00</t>
  </si>
  <si>
    <t xml:space="preserve">TXN501369</t>
  </si>
  <si>
    <t xml:space="preserve">2026-03-30 19:49:00</t>
  </si>
  <si>
    <t xml:space="preserve">TXN500259</t>
  </si>
  <si>
    <t xml:space="preserve">2026-03-31 05:41:00</t>
  </si>
  <si>
    <t xml:space="preserve">2026-03-31</t>
  </si>
  <si>
    <t xml:space="preserve">TXN501367</t>
  </si>
  <si>
    <t xml:space="preserve">2026-03-31 06:18:00</t>
  </si>
  <si>
    <t xml:space="preserve">TXN500194</t>
  </si>
  <si>
    <t xml:space="preserve">2026-03-31 07:24:00</t>
  </si>
  <si>
    <t xml:space="preserve">TXN500122</t>
  </si>
  <si>
    <t xml:space="preserve">2026-03-31 08:23:00</t>
  </si>
  <si>
    <t xml:space="preserve">TXN500725</t>
  </si>
  <si>
    <t xml:space="preserve">2026-03-31 09:36:00</t>
  </si>
  <si>
    <t xml:space="preserve">TXN500724</t>
  </si>
  <si>
    <t xml:space="preserve">2026-03-31 09:37:00</t>
  </si>
  <si>
    <t xml:space="preserve">TXN500095</t>
  </si>
  <si>
    <t xml:space="preserve">2026-03-31 10:25:00</t>
  </si>
  <si>
    <t xml:space="preserve">TXN500659</t>
  </si>
  <si>
    <t xml:space="preserve">2026-03-31 10:40:00</t>
  </si>
  <si>
    <t xml:space="preserve">TXN500662</t>
  </si>
  <si>
    <t xml:space="preserve">2026-03-31 10:54:00</t>
  </si>
  <si>
    <t xml:space="preserve">TXN500585</t>
  </si>
  <si>
    <t xml:space="preserve">2026-03-31 11:04:00</t>
  </si>
  <si>
    <t xml:space="preserve">TXN501003</t>
  </si>
  <si>
    <t xml:space="preserve">2026-03-31 12:14:00</t>
  </si>
  <si>
    <t xml:space="preserve">TXN500469</t>
  </si>
  <si>
    <t xml:space="preserve">2026-03-31 12:30:00</t>
  </si>
  <si>
    <t xml:space="preserve">TXN501086</t>
  </si>
  <si>
    <t xml:space="preserve">2026-03-31 12:37:00</t>
  </si>
  <si>
    <t xml:space="preserve">TXN501101</t>
  </si>
  <si>
    <t xml:space="preserve">2026-03-31 13:12:00</t>
  </si>
  <si>
    <t xml:space="preserve">TXN500775</t>
  </si>
  <si>
    <t xml:space="preserve">2026-03-31 13:33:00</t>
  </si>
  <si>
    <t xml:space="preserve">TXN500380</t>
  </si>
  <si>
    <t xml:space="preserve">2026-03-31 14:50:00</t>
  </si>
  <si>
    <t xml:space="preserve">TXN500863</t>
  </si>
  <si>
    <t xml:space="preserve">2026-03-31 15:54:00</t>
  </si>
  <si>
    <t xml:space="preserve">TXN500127</t>
  </si>
  <si>
    <t xml:space="preserve">2026-03-31 16:54:00</t>
  </si>
  <si>
    <t xml:space="preserve">TXN500273</t>
  </si>
  <si>
    <t xml:space="preserve">2026-03-31 16:58:00</t>
  </si>
  <si>
    <t xml:space="preserve">TXN500162</t>
  </si>
  <si>
    <t xml:space="preserve">2026-03-31 17:04:00</t>
  </si>
  <si>
    <t xml:space="preserve">Accounts flagged by the SQL detection engine (multi-row join rules not practical as single-row Excel formulas)</t>
  </si>
  <si>
    <t xml:space="preserve">Structuring Flag (Rule 1)</t>
  </si>
  <si>
    <t xml:space="preserve">Geo-Impossibility Flag (Rule 3)</t>
  </si>
  <si>
    <t xml:space="preserve">Duplicate Txn Flag (Rule 5)</t>
  </si>
  <si>
    <t xml:space="preserve">Yes</t>
  </si>
  <si>
    <t xml:space="preserve">No</t>
  </si>
  <si>
    <t xml:space="preserve">VelocityFlag</t>
  </si>
  <si>
    <t xml:space="preserve">RoundAmountFlag</t>
  </si>
  <si>
    <t xml:space="preserve">OffHoursFlag</t>
  </si>
  <si>
    <t xml:space="preserve">SQLFlag</t>
  </si>
  <si>
    <t xml:space="preserve">RiskScore</t>
  </si>
  <si>
    <t xml:space="preserve">RiskLevel</t>
  </si>
  <si>
    <t xml:space="preserve">TotalTransactions</t>
  </si>
  <si>
    <t xml:space="preserve">FlaggedTransactions</t>
  </si>
  <si>
    <t xml:space="preserve">HighRiskTransactions</t>
  </si>
  <si>
    <t xml:space="preserve">FlaggedAmount</t>
  </si>
  <si>
    <t xml:space="preserve">FlagRate</t>
  </si>
  <si>
    <t xml:space="preserve">FRAUD RISK MONITORING DASHBOARD</t>
  </si>
  <si>
    <t xml:space="preserve">Ananth Pillai · Advanced Excel Project · Synthetic transaction data, 90-day window</t>
  </si>
  <si>
    <t xml:space="preserve">Risk Level Distribution</t>
  </si>
  <si>
    <t xml:space="preserve">TransactionCount</t>
  </si>
  <si>
    <t xml:space="preserve">FlaggedCount</t>
  </si>
  <si>
    <t xml:space="preserve">High</t>
  </si>
  <si>
    <t xml:space="preserve">Medium</t>
  </si>
  <si>
    <t xml:space="preserve">Low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</si>
</sst>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i val="true"/>
      <sz val="10"/>
      <color rgb="FF1B3A5C"/>
      <name val="Arial"/>
      <family val="0"/>
      <charset val="1"/>
    </font>
    <font>
      <b val="true"/>
      <sz val="16"/>
      <color rgb="FF1B3A5C"/>
      <name val="Arial"/>
      <family val="0"/>
      <charset val="1"/>
    </font>
    <font>
      <i val="true"/>
      <sz val="9"/>
      <color rgb="FF5B6B7A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7C3"/>
        </patternFill>
      </fill>
    </dxf>
    <dxf>
      <fill>
        <patternFill>
          <bgColor rgb="FFFCE8B2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8B2"/>
      <rgbColor rgb="FF99CCFF"/>
      <rgbColor rgb="FFFF99CC"/>
      <rgbColor rgb="FFCC99FF"/>
      <rgbColor rgb="FFF4C7C3"/>
      <rgbColor rgb="FF4A7EBB"/>
      <rgbColor rgb="FF33CCCC"/>
      <rgbColor rgb="FF99CC00"/>
      <rgbColor rgb="FFFFCC00"/>
      <rgbColor rgb="FFFF9900"/>
      <rgbColor rgb="FFFF6600"/>
      <rgbColor rgb="FF5B6B7A"/>
      <rgbColor rgb="FF969696"/>
      <rgbColor rgb="FF1B3A5C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Transactions by Risk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Dashboard!B5</c:f>
              <c:strCache>
                <c:ptCount val="1"/>
                <c:pt idx="0">
                  <c:v>TransactionCount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Dashboard!$A$6:$A$8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Dashboard!$B$6:$B$8</c:f>
              <c:numCache>
                <c:formatCode>General</c:formatCode>
                <c:ptCount val="3"/>
                <c:pt idx="0">
                  <c:v>13</c:v>
                </c:pt>
                <c:pt idx="1">
                  <c:v>429</c:v>
                </c:pt>
                <c:pt idx="2">
                  <c:v>1046</c:v>
                </c:pt>
              </c:numCache>
            </c:numRef>
          </c:val>
        </c:ser>
        <c:gapWidth val="150"/>
        <c:overlap val="0"/>
        <c:axId val="59906757"/>
        <c:axId val="10219423"/>
      </c:barChart>
      <c:catAx>
        <c:axId val="599067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19423"/>
        <c:crosses val="autoZero"/>
        <c:auto val="1"/>
        <c:lblAlgn val="ctr"/>
        <c:lblOffset val="100"/>
        <c:noMultiLvlLbl val="0"/>
      </c:catAx>
      <c:valAx>
        <c:axId val="10219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067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Flagged Transactions by Merchant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Dashboard!E5</c:f>
              <c:strCache>
                <c:ptCount val="1"/>
                <c:pt idx="0">
                  <c:v>FlaggedCount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Dashboard!$D$6:$D$13</c:f>
              <c:strCache>
                <c:ptCount val="8"/>
                <c:pt idx="0">
                  <c:v>Cash Withdrawal</c:v>
                </c:pt>
                <c:pt idx="1">
                  <c:v>Dining</c:v>
                </c:pt>
                <c:pt idx="2">
                  <c:v>Electronics</c:v>
                </c:pt>
                <c:pt idx="3">
                  <c:v>Online Marketplace</c:v>
                </c:pt>
                <c:pt idx="4">
                  <c:v>Retail</c:v>
                </c:pt>
                <c:pt idx="5">
                  <c:v>Travel</c:v>
                </c:pt>
                <c:pt idx="6">
                  <c:v>Utilities</c:v>
                </c:pt>
                <c:pt idx="7">
                  <c:v>Wire Transfer</c:v>
                </c:pt>
              </c:strCache>
            </c:strRef>
          </c:cat>
          <c:val>
            <c:numRef>
              <c:f>Dashboard!$E$6:$E$13</c:f>
              <c:numCache>
                <c:formatCode>General</c:formatCode>
                <c:ptCount val="8"/>
                <c:pt idx="0">
                  <c:v>50</c:v>
                </c:pt>
                <c:pt idx="1">
                  <c:v>40</c:v>
                </c:pt>
                <c:pt idx="2">
                  <c:v>40</c:v>
                </c:pt>
                <c:pt idx="3">
                  <c:v>96</c:v>
                </c:pt>
                <c:pt idx="4">
                  <c:v>48</c:v>
                </c:pt>
                <c:pt idx="5">
                  <c:v>45</c:v>
                </c:pt>
                <c:pt idx="6">
                  <c:v>47</c:v>
                </c:pt>
                <c:pt idx="7">
                  <c:v>76</c:v>
                </c:pt>
              </c:numCache>
            </c:numRef>
          </c:val>
        </c:ser>
        <c:gapWidth val="150"/>
        <c:overlap val="0"/>
        <c:axId val="73762417"/>
        <c:axId val="86404289"/>
      </c:barChart>
      <c:catAx>
        <c:axId val="737624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04289"/>
        <c:crosses val="autoZero"/>
        <c:auto val="1"/>
        <c:lblAlgn val="ctr"/>
        <c:lblOffset val="100"/>
        <c:noMultiLvlLbl val="0"/>
      </c:catAx>
      <c:valAx>
        <c:axId val="864042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Flagged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624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Flagged Transaction Trend (90 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Dashboard!H5</c:f>
              <c:strCache>
                <c:ptCount val="1"/>
                <c:pt idx="0">
                  <c:v>FlaggedCount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Dashboard!$G$6:$G$95</c:f>
              <c:strCache>
                <c:ptCount val="90"/>
                <c:pt idx="0">
                  <c:v>2026-01-01</c:v>
                </c:pt>
                <c:pt idx="1">
                  <c:v>2026-01-02</c:v>
                </c:pt>
                <c:pt idx="2">
                  <c:v>2026-01-03</c:v>
                </c:pt>
                <c:pt idx="3">
                  <c:v>2026-01-04</c:v>
                </c:pt>
                <c:pt idx="4">
                  <c:v>2026-01-05</c:v>
                </c:pt>
                <c:pt idx="5">
                  <c:v>2026-01-06</c:v>
                </c:pt>
                <c:pt idx="6">
                  <c:v>2026-01-07</c:v>
                </c:pt>
                <c:pt idx="7">
                  <c:v>2026-01-08</c:v>
                </c:pt>
                <c:pt idx="8">
                  <c:v>2026-01-09</c:v>
                </c:pt>
                <c:pt idx="9">
                  <c:v>2026-01-10</c:v>
                </c:pt>
                <c:pt idx="10">
                  <c:v>2026-01-11</c:v>
                </c:pt>
                <c:pt idx="11">
                  <c:v>2026-01-12</c:v>
                </c:pt>
                <c:pt idx="12">
                  <c:v>2026-01-13</c:v>
                </c:pt>
                <c:pt idx="13">
                  <c:v>2026-01-14</c:v>
                </c:pt>
                <c:pt idx="14">
                  <c:v>2026-01-15</c:v>
                </c:pt>
                <c:pt idx="15">
                  <c:v>2026-01-16</c:v>
                </c:pt>
                <c:pt idx="16">
                  <c:v>2026-01-17</c:v>
                </c:pt>
                <c:pt idx="17">
                  <c:v>2026-01-18</c:v>
                </c:pt>
                <c:pt idx="18">
                  <c:v>2026-01-19</c:v>
                </c:pt>
                <c:pt idx="19">
                  <c:v>2026-01-20</c:v>
                </c:pt>
                <c:pt idx="20">
                  <c:v>2026-01-21</c:v>
                </c:pt>
                <c:pt idx="21">
                  <c:v>2026-01-22</c:v>
                </c:pt>
                <c:pt idx="22">
                  <c:v>2026-01-23</c:v>
                </c:pt>
                <c:pt idx="23">
                  <c:v>2026-01-24</c:v>
                </c:pt>
                <c:pt idx="24">
                  <c:v>2026-01-25</c:v>
                </c:pt>
                <c:pt idx="25">
                  <c:v>2026-01-26</c:v>
                </c:pt>
                <c:pt idx="26">
                  <c:v>2026-01-27</c:v>
                </c:pt>
                <c:pt idx="27">
                  <c:v>2026-01-28</c:v>
                </c:pt>
                <c:pt idx="28">
                  <c:v>2026-01-29</c:v>
                </c:pt>
                <c:pt idx="29">
                  <c:v>2026-01-30</c:v>
                </c:pt>
                <c:pt idx="30">
                  <c:v>2026-01-31</c:v>
                </c:pt>
                <c:pt idx="31">
                  <c:v>2026-02-01</c:v>
                </c:pt>
                <c:pt idx="32">
                  <c:v>2026-02-02</c:v>
                </c:pt>
                <c:pt idx="33">
                  <c:v>2026-02-03</c:v>
                </c:pt>
                <c:pt idx="34">
                  <c:v>2026-02-04</c:v>
                </c:pt>
                <c:pt idx="35">
                  <c:v>2026-02-05</c:v>
                </c:pt>
                <c:pt idx="36">
                  <c:v>2026-02-06</c:v>
                </c:pt>
                <c:pt idx="37">
                  <c:v>2026-02-07</c:v>
                </c:pt>
                <c:pt idx="38">
                  <c:v>2026-02-08</c:v>
                </c:pt>
                <c:pt idx="39">
                  <c:v>2026-02-09</c:v>
                </c:pt>
                <c:pt idx="40">
                  <c:v>2026-02-10</c:v>
                </c:pt>
                <c:pt idx="41">
                  <c:v>2026-02-11</c:v>
                </c:pt>
                <c:pt idx="42">
                  <c:v>2026-02-12</c:v>
                </c:pt>
                <c:pt idx="43">
                  <c:v>2026-02-13</c:v>
                </c:pt>
                <c:pt idx="44">
                  <c:v>2026-02-14</c:v>
                </c:pt>
                <c:pt idx="45">
                  <c:v>2026-02-15</c:v>
                </c:pt>
                <c:pt idx="46">
                  <c:v>2026-02-16</c:v>
                </c:pt>
                <c:pt idx="47">
                  <c:v>2026-02-17</c:v>
                </c:pt>
                <c:pt idx="48">
                  <c:v>2026-02-18</c:v>
                </c:pt>
                <c:pt idx="49">
                  <c:v>2026-02-19</c:v>
                </c:pt>
                <c:pt idx="50">
                  <c:v>2026-02-20</c:v>
                </c:pt>
                <c:pt idx="51">
                  <c:v>2026-02-21</c:v>
                </c:pt>
                <c:pt idx="52">
                  <c:v>2026-02-22</c:v>
                </c:pt>
                <c:pt idx="53">
                  <c:v>2026-02-23</c:v>
                </c:pt>
                <c:pt idx="54">
                  <c:v>2026-02-24</c:v>
                </c:pt>
                <c:pt idx="55">
                  <c:v>2026-02-25</c:v>
                </c:pt>
                <c:pt idx="56">
                  <c:v>2026-02-26</c:v>
                </c:pt>
                <c:pt idx="57">
                  <c:v>2026-02-27</c:v>
                </c:pt>
                <c:pt idx="58">
                  <c:v>2026-02-28</c:v>
                </c:pt>
                <c:pt idx="59">
                  <c:v>2026-03-01</c:v>
                </c:pt>
                <c:pt idx="60">
                  <c:v>2026-03-02</c:v>
                </c:pt>
                <c:pt idx="61">
                  <c:v>2026-03-03</c:v>
                </c:pt>
                <c:pt idx="62">
                  <c:v>2026-03-04</c:v>
                </c:pt>
                <c:pt idx="63">
                  <c:v>2026-03-05</c:v>
                </c:pt>
                <c:pt idx="64">
                  <c:v>2026-03-06</c:v>
                </c:pt>
                <c:pt idx="65">
                  <c:v>2026-03-07</c:v>
                </c:pt>
                <c:pt idx="66">
                  <c:v>2026-03-08</c:v>
                </c:pt>
                <c:pt idx="67">
                  <c:v>2026-03-09</c:v>
                </c:pt>
                <c:pt idx="68">
                  <c:v>2026-03-10</c:v>
                </c:pt>
                <c:pt idx="69">
                  <c:v>2026-03-11</c:v>
                </c:pt>
                <c:pt idx="70">
                  <c:v>2026-03-12</c:v>
                </c:pt>
                <c:pt idx="71">
                  <c:v>2026-03-13</c:v>
                </c:pt>
                <c:pt idx="72">
                  <c:v>2026-03-14</c:v>
                </c:pt>
                <c:pt idx="73">
                  <c:v>2026-03-15</c:v>
                </c:pt>
                <c:pt idx="74">
                  <c:v>2026-03-16</c:v>
                </c:pt>
                <c:pt idx="75">
                  <c:v>2026-03-17</c:v>
                </c:pt>
                <c:pt idx="76">
                  <c:v>2026-03-18</c:v>
                </c:pt>
                <c:pt idx="77">
                  <c:v>2026-03-19</c:v>
                </c:pt>
                <c:pt idx="78">
                  <c:v>2026-03-20</c:v>
                </c:pt>
                <c:pt idx="79">
                  <c:v>2026-03-21</c:v>
                </c:pt>
                <c:pt idx="80">
                  <c:v>2026-03-22</c:v>
                </c:pt>
                <c:pt idx="81">
                  <c:v>2026-03-23</c:v>
                </c:pt>
                <c:pt idx="82">
                  <c:v>2026-03-24</c:v>
                </c:pt>
                <c:pt idx="83">
                  <c:v>2026-03-25</c:v>
                </c:pt>
                <c:pt idx="84">
                  <c:v>2026-03-26</c:v>
                </c:pt>
                <c:pt idx="85">
                  <c:v>2026-03-27</c:v>
                </c:pt>
                <c:pt idx="86">
                  <c:v>2026-03-28</c:v>
                </c:pt>
                <c:pt idx="87">
                  <c:v>2026-03-29</c:v>
                </c:pt>
                <c:pt idx="88">
                  <c:v>2026-03-30</c:v>
                </c:pt>
                <c:pt idx="89">
                  <c:v>2026-03-31</c:v>
                </c:pt>
              </c:strCache>
            </c:strRef>
          </c:cat>
          <c:val>
            <c:numRef>
              <c:f>Dashboard!$H$6:$H$95</c:f>
              <c:numCache>
                <c:formatCode>General</c:formatCode>
                <c:ptCount val="90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2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13</c:v>
                </c:pt>
                <c:pt idx="16">
                  <c:v>5</c:v>
                </c:pt>
                <c:pt idx="17">
                  <c:v>9</c:v>
                </c:pt>
                <c:pt idx="18">
                  <c:v>0</c:v>
                </c:pt>
                <c:pt idx="19">
                  <c:v>5</c:v>
                </c:pt>
                <c:pt idx="20">
                  <c:v>5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6</c:v>
                </c:pt>
                <c:pt idx="26">
                  <c:v>4</c:v>
                </c:pt>
                <c:pt idx="27">
                  <c:v>4</c:v>
                </c:pt>
                <c:pt idx="28">
                  <c:v>24</c:v>
                </c:pt>
                <c:pt idx="29">
                  <c:v>3</c:v>
                </c:pt>
                <c:pt idx="30">
                  <c:v>5</c:v>
                </c:pt>
                <c:pt idx="31">
                  <c:v>2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5</c:v>
                </c:pt>
                <c:pt idx="37">
                  <c:v>6</c:v>
                </c:pt>
                <c:pt idx="38">
                  <c:v>1</c:v>
                </c:pt>
                <c:pt idx="39">
                  <c:v>5</c:v>
                </c:pt>
                <c:pt idx="40">
                  <c:v>11</c:v>
                </c:pt>
                <c:pt idx="41">
                  <c:v>7</c:v>
                </c:pt>
                <c:pt idx="42">
                  <c:v>6</c:v>
                </c:pt>
                <c:pt idx="43">
                  <c:v>7</c:v>
                </c:pt>
                <c:pt idx="44">
                  <c:v>5</c:v>
                </c:pt>
                <c:pt idx="45">
                  <c:v>3</c:v>
                </c:pt>
                <c:pt idx="46">
                  <c:v>3</c:v>
                </c:pt>
                <c:pt idx="47">
                  <c:v>10</c:v>
                </c:pt>
                <c:pt idx="48">
                  <c:v>5</c:v>
                </c:pt>
                <c:pt idx="49">
                  <c:v>3</c:v>
                </c:pt>
                <c:pt idx="50">
                  <c:v>2</c:v>
                </c:pt>
                <c:pt idx="51">
                  <c:v>2</c:v>
                </c:pt>
                <c:pt idx="52">
                  <c:v>3</c:v>
                </c:pt>
                <c:pt idx="53">
                  <c:v>18</c:v>
                </c:pt>
                <c:pt idx="54">
                  <c:v>4</c:v>
                </c:pt>
                <c:pt idx="55">
                  <c:v>7</c:v>
                </c:pt>
                <c:pt idx="56">
                  <c:v>9</c:v>
                </c:pt>
                <c:pt idx="57">
                  <c:v>3</c:v>
                </c:pt>
                <c:pt idx="58">
                  <c:v>1</c:v>
                </c:pt>
                <c:pt idx="59">
                  <c:v>5</c:v>
                </c:pt>
                <c:pt idx="60">
                  <c:v>3</c:v>
                </c:pt>
                <c:pt idx="61">
                  <c:v>2</c:v>
                </c:pt>
                <c:pt idx="62">
                  <c:v>1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12</c:v>
                </c:pt>
                <c:pt idx="69">
                  <c:v>5</c:v>
                </c:pt>
                <c:pt idx="70">
                  <c:v>6</c:v>
                </c:pt>
                <c:pt idx="71">
                  <c:v>9</c:v>
                </c:pt>
                <c:pt idx="72">
                  <c:v>5</c:v>
                </c:pt>
                <c:pt idx="73">
                  <c:v>3</c:v>
                </c:pt>
                <c:pt idx="74">
                  <c:v>5</c:v>
                </c:pt>
                <c:pt idx="75">
                  <c:v>3</c:v>
                </c:pt>
                <c:pt idx="76">
                  <c:v>2</c:v>
                </c:pt>
                <c:pt idx="77">
                  <c:v>3</c:v>
                </c:pt>
                <c:pt idx="78">
                  <c:v>10</c:v>
                </c:pt>
                <c:pt idx="79">
                  <c:v>1</c:v>
                </c:pt>
                <c:pt idx="80">
                  <c:v>5</c:v>
                </c:pt>
                <c:pt idx="81">
                  <c:v>4</c:v>
                </c:pt>
                <c:pt idx="82">
                  <c:v>7</c:v>
                </c:pt>
                <c:pt idx="83">
                  <c:v>8</c:v>
                </c:pt>
                <c:pt idx="84">
                  <c:v>8</c:v>
                </c:pt>
                <c:pt idx="85">
                  <c:v>5</c:v>
                </c:pt>
                <c:pt idx="86">
                  <c:v>7</c:v>
                </c:pt>
                <c:pt idx="87">
                  <c:v>3</c:v>
                </c:pt>
                <c:pt idx="88">
                  <c:v>3</c:v>
                </c:pt>
                <c:pt idx="89">
                  <c:v>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715256"/>
        <c:axId val="44904222"/>
      </c:lineChart>
      <c:catAx>
        <c:axId val="50715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04222"/>
        <c:crosses val="autoZero"/>
        <c:auto val="1"/>
        <c:lblAlgn val="ctr"/>
        <c:lblOffset val="100"/>
        <c:noMultiLvlLbl val="0"/>
      </c:catAx>
      <c:valAx>
        <c:axId val="449042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Flagged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152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130680</xdr:rowOff>
    </xdr:from>
    <xdr:to>
      <xdr:col>4</xdr:col>
      <xdr:colOff>505440</xdr:colOff>
      <xdr:row>27</xdr:row>
      <xdr:rowOff>152640</xdr:rowOff>
    </xdr:to>
    <xdr:graphicFrame>
      <xdr:nvGraphicFramePr>
        <xdr:cNvPr id="0" name="Chart 1"/>
        <xdr:cNvGraphicFramePr/>
      </xdr:nvGraphicFramePr>
      <xdr:xfrm>
        <a:off x="0" y="2473920"/>
        <a:ext cx="39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130680</xdr:rowOff>
    </xdr:from>
    <xdr:to>
      <xdr:col>13</xdr:col>
      <xdr:colOff>579600</xdr:colOff>
      <xdr:row>27</xdr:row>
      <xdr:rowOff>152640</xdr:rowOff>
    </xdr:to>
    <xdr:graphicFrame>
      <xdr:nvGraphicFramePr>
        <xdr:cNvPr id="1" name="Chart 2"/>
        <xdr:cNvGraphicFramePr/>
      </xdr:nvGraphicFramePr>
      <xdr:xfrm>
        <a:off x="4651920" y="2473920"/>
        <a:ext cx="53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30</xdr:row>
      <xdr:rowOff>130680</xdr:rowOff>
    </xdr:from>
    <xdr:to>
      <xdr:col>12</xdr:col>
      <xdr:colOff>498960</xdr:colOff>
      <xdr:row>47</xdr:row>
      <xdr:rowOff>131400</xdr:rowOff>
    </xdr:to>
    <xdr:graphicFrame>
      <xdr:nvGraphicFramePr>
        <xdr:cNvPr id="2" name="Chart 3"/>
        <xdr:cNvGraphicFramePr/>
      </xdr:nvGraphicFramePr>
      <xdr:xfrm>
        <a:off x="0" y="5902920"/>
        <a:ext cx="93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19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17"/>
    <col collapsed="false" customWidth="true" hidden="false" outlineLevel="0" max="9" min="8" style="1" width="11"/>
    <col collapsed="false" customWidth="true" hidden="false" outlineLevel="0" max="10" min="10" style="1" width="7"/>
    <col collapsed="false" customWidth="true" hidden="false" outlineLevel="0" max="11" min="11" style="1" width="1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1" t="s">
        <v>11</v>
      </c>
      <c r="B2" s="1" t="s">
        <v>12</v>
      </c>
      <c r="C2" s="1" t="s">
        <v>13</v>
      </c>
      <c r="D2" s="1" t="n">
        <v>201.32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n">
        <v>5</v>
      </c>
      <c r="K2" s="1" t="s">
        <v>19</v>
      </c>
    </row>
    <row r="3" customFormat="false" ht="15" hidden="false" customHeight="true" outlineLevel="0" collapsed="false">
      <c r="A3" s="1" t="s">
        <v>20</v>
      </c>
      <c r="B3" s="1" t="s">
        <v>21</v>
      </c>
      <c r="C3" s="1" t="s">
        <v>22</v>
      </c>
      <c r="D3" s="1" t="n">
        <v>67.3</v>
      </c>
      <c r="E3" s="1" t="s">
        <v>14</v>
      </c>
      <c r="F3" s="1" t="s">
        <v>15</v>
      </c>
      <c r="G3" s="1" t="s">
        <v>23</v>
      </c>
      <c r="H3" s="1" t="s">
        <v>24</v>
      </c>
      <c r="I3" s="1" t="s">
        <v>18</v>
      </c>
      <c r="J3" s="1" t="n">
        <v>6</v>
      </c>
      <c r="K3" s="1" t="s">
        <v>19</v>
      </c>
    </row>
    <row r="4" customFormat="false" ht="15" hidden="false" customHeight="true" outlineLevel="0" collapsed="false">
      <c r="A4" s="1" t="s">
        <v>25</v>
      </c>
      <c r="B4" s="1" t="s">
        <v>26</v>
      </c>
      <c r="C4" s="1" t="s">
        <v>27</v>
      </c>
      <c r="D4" s="1" t="n">
        <v>24.64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18</v>
      </c>
      <c r="J4" s="1" t="n">
        <v>9</v>
      </c>
      <c r="K4" s="1" t="s">
        <v>19</v>
      </c>
    </row>
    <row r="5" customFormat="false" ht="15" hidden="false" customHeight="true" outlineLevel="0" collapsed="false">
      <c r="A5" s="1" t="s">
        <v>30</v>
      </c>
      <c r="B5" s="1" t="s">
        <v>31</v>
      </c>
      <c r="C5" s="1" t="s">
        <v>32</v>
      </c>
      <c r="D5" s="1" t="n">
        <v>105.27</v>
      </c>
      <c r="E5" s="1" t="s">
        <v>14</v>
      </c>
      <c r="F5" s="1" t="s">
        <v>15</v>
      </c>
      <c r="G5" s="1" t="s">
        <v>23</v>
      </c>
      <c r="H5" s="1" t="s">
        <v>17</v>
      </c>
      <c r="I5" s="1" t="s">
        <v>18</v>
      </c>
      <c r="J5" s="1" t="n">
        <v>12</v>
      </c>
      <c r="K5" s="1" t="s">
        <v>19</v>
      </c>
    </row>
    <row r="6" customFormat="false" ht="15" hidden="false" customHeight="true" outlineLevel="0" collapsed="false">
      <c r="A6" s="1" t="s">
        <v>33</v>
      </c>
      <c r="B6" s="1" t="s">
        <v>34</v>
      </c>
      <c r="C6" s="1" t="s">
        <v>35</v>
      </c>
      <c r="D6" s="1" t="n">
        <v>55.88</v>
      </c>
      <c r="E6" s="1" t="s">
        <v>14</v>
      </c>
      <c r="F6" s="1" t="s">
        <v>15</v>
      </c>
      <c r="G6" s="1" t="s">
        <v>36</v>
      </c>
      <c r="H6" s="1" t="s">
        <v>37</v>
      </c>
      <c r="I6" s="1" t="s">
        <v>18</v>
      </c>
      <c r="J6" s="1" t="n">
        <v>12</v>
      </c>
      <c r="K6" s="1" t="s">
        <v>19</v>
      </c>
    </row>
    <row r="7" customFormat="false" ht="15" hidden="false" customHeight="true" outlineLevel="0" collapsed="false">
      <c r="A7" s="1" t="s">
        <v>38</v>
      </c>
      <c r="B7" s="1" t="s">
        <v>39</v>
      </c>
      <c r="C7" s="1" t="s">
        <v>40</v>
      </c>
      <c r="D7" s="1" t="n">
        <v>301.85</v>
      </c>
      <c r="E7" s="1" t="s">
        <v>14</v>
      </c>
      <c r="F7" s="1" t="s">
        <v>41</v>
      </c>
      <c r="G7" s="1" t="s">
        <v>42</v>
      </c>
      <c r="H7" s="1" t="s">
        <v>37</v>
      </c>
      <c r="I7" s="1" t="s">
        <v>18</v>
      </c>
      <c r="J7" s="1" t="n">
        <v>13</v>
      </c>
      <c r="K7" s="1" t="s">
        <v>19</v>
      </c>
    </row>
    <row r="8" customFormat="false" ht="15" hidden="false" customHeight="true" outlineLevel="0" collapsed="false">
      <c r="A8" s="1" t="s">
        <v>43</v>
      </c>
      <c r="B8" s="1" t="s">
        <v>44</v>
      </c>
      <c r="C8" s="1" t="s">
        <v>45</v>
      </c>
      <c r="D8" s="1" t="n">
        <v>37.52</v>
      </c>
      <c r="E8" s="1" t="s">
        <v>14</v>
      </c>
      <c r="F8" s="1" t="s">
        <v>28</v>
      </c>
      <c r="G8" s="1" t="s">
        <v>42</v>
      </c>
      <c r="H8" s="1" t="s">
        <v>17</v>
      </c>
      <c r="I8" s="1" t="s">
        <v>18</v>
      </c>
      <c r="J8" s="1" t="n">
        <v>15</v>
      </c>
      <c r="K8" s="1" t="s">
        <v>19</v>
      </c>
    </row>
    <row r="9" customFormat="false" ht="15" hidden="false" customHeight="true" outlineLevel="0" collapsed="false">
      <c r="A9" s="1" t="s">
        <v>46</v>
      </c>
      <c r="B9" s="1" t="s">
        <v>47</v>
      </c>
      <c r="C9" s="1" t="s">
        <v>48</v>
      </c>
      <c r="D9" s="1" t="n">
        <v>119.95</v>
      </c>
      <c r="E9" s="1" t="s">
        <v>14</v>
      </c>
      <c r="F9" s="1" t="s">
        <v>49</v>
      </c>
      <c r="G9" s="1" t="s">
        <v>42</v>
      </c>
      <c r="H9" s="1" t="s">
        <v>37</v>
      </c>
      <c r="I9" s="1" t="s">
        <v>18</v>
      </c>
      <c r="J9" s="1" t="n">
        <v>16</v>
      </c>
      <c r="K9" s="1" t="s">
        <v>19</v>
      </c>
    </row>
    <row r="10" customFormat="false" ht="15" hidden="false" customHeight="true" outlineLevel="0" collapsed="false">
      <c r="A10" s="1" t="s">
        <v>50</v>
      </c>
      <c r="B10" s="1" t="s">
        <v>51</v>
      </c>
      <c r="C10" s="1" t="s">
        <v>52</v>
      </c>
      <c r="D10" s="1" t="n">
        <v>40.15</v>
      </c>
      <c r="E10" s="1" t="s">
        <v>14</v>
      </c>
      <c r="F10" s="1" t="s">
        <v>41</v>
      </c>
      <c r="G10" s="1" t="s">
        <v>29</v>
      </c>
      <c r="H10" s="1" t="s">
        <v>24</v>
      </c>
      <c r="I10" s="1" t="s">
        <v>18</v>
      </c>
      <c r="J10" s="1" t="n">
        <v>19</v>
      </c>
      <c r="K10" s="1" t="s">
        <v>19</v>
      </c>
    </row>
    <row r="11" customFormat="false" ht="15" hidden="false" customHeight="true" outlineLevel="0" collapsed="false">
      <c r="A11" s="1" t="s">
        <v>53</v>
      </c>
      <c r="B11" s="1" t="s">
        <v>54</v>
      </c>
      <c r="C11" s="1" t="s">
        <v>55</v>
      </c>
      <c r="D11" s="1" t="n">
        <v>431.76</v>
      </c>
      <c r="E11" s="1" t="s">
        <v>14</v>
      </c>
      <c r="F11" s="1" t="s">
        <v>56</v>
      </c>
      <c r="G11" s="1" t="s">
        <v>23</v>
      </c>
      <c r="H11" s="1" t="s">
        <v>37</v>
      </c>
      <c r="I11" s="1" t="s">
        <v>18</v>
      </c>
      <c r="J11" s="1" t="n">
        <v>21</v>
      </c>
      <c r="K11" s="1" t="s">
        <v>19</v>
      </c>
    </row>
    <row r="12" customFormat="false" ht="15" hidden="false" customHeight="true" outlineLevel="0" collapsed="false">
      <c r="A12" s="1" t="s">
        <v>57</v>
      </c>
      <c r="B12" s="1" t="s">
        <v>58</v>
      </c>
      <c r="C12" s="1" t="s">
        <v>59</v>
      </c>
      <c r="D12" s="1" t="n">
        <v>26.8</v>
      </c>
      <c r="E12" s="1" t="s">
        <v>14</v>
      </c>
      <c r="F12" s="1" t="s">
        <v>15</v>
      </c>
      <c r="G12" s="1" t="s">
        <v>29</v>
      </c>
      <c r="H12" s="1" t="s">
        <v>17</v>
      </c>
      <c r="I12" s="1" t="s">
        <v>18</v>
      </c>
      <c r="J12" s="1" t="n">
        <v>21</v>
      </c>
      <c r="K12" s="1" t="s">
        <v>19</v>
      </c>
    </row>
    <row r="13" customFormat="false" ht="15" hidden="false" customHeight="true" outlineLevel="0" collapsed="false">
      <c r="A13" s="1" t="s">
        <v>60</v>
      </c>
      <c r="B13" s="1" t="s">
        <v>61</v>
      </c>
      <c r="C13" s="1" t="s">
        <v>62</v>
      </c>
      <c r="D13" s="1" t="n">
        <v>69.01</v>
      </c>
      <c r="E13" s="1" t="s">
        <v>14</v>
      </c>
      <c r="F13" s="1" t="s">
        <v>56</v>
      </c>
      <c r="G13" s="1" t="s">
        <v>29</v>
      </c>
      <c r="H13" s="1" t="s">
        <v>37</v>
      </c>
      <c r="I13" s="1" t="s">
        <v>18</v>
      </c>
      <c r="J13" s="1" t="n">
        <v>22</v>
      </c>
      <c r="K13" s="1" t="s">
        <v>19</v>
      </c>
    </row>
    <row r="14" customFormat="false" ht="15" hidden="false" customHeight="true" outlineLevel="0" collapsed="false">
      <c r="A14" s="1" t="s">
        <v>63</v>
      </c>
      <c r="B14" s="1" t="s">
        <v>64</v>
      </c>
      <c r="C14" s="1" t="s">
        <v>65</v>
      </c>
      <c r="D14" s="1" t="n">
        <v>62.59</v>
      </c>
      <c r="E14" s="1" t="s">
        <v>14</v>
      </c>
      <c r="F14" s="1" t="s">
        <v>41</v>
      </c>
      <c r="G14" s="1" t="s">
        <v>36</v>
      </c>
      <c r="H14" s="1" t="s">
        <v>17</v>
      </c>
      <c r="I14" s="1" t="s">
        <v>66</v>
      </c>
      <c r="J14" s="1" t="n">
        <v>3</v>
      </c>
      <c r="K14" s="1" t="s">
        <v>67</v>
      </c>
    </row>
    <row r="15" customFormat="false" ht="15" hidden="false" customHeight="true" outlineLevel="0" collapsed="false">
      <c r="A15" s="1" t="s">
        <v>68</v>
      </c>
      <c r="B15" s="1" t="s">
        <v>34</v>
      </c>
      <c r="C15" s="1" t="s">
        <v>69</v>
      </c>
      <c r="D15" s="1" t="n">
        <v>38.04</v>
      </c>
      <c r="E15" s="1" t="s">
        <v>14</v>
      </c>
      <c r="F15" s="1" t="s">
        <v>15</v>
      </c>
      <c r="G15" s="1" t="s">
        <v>70</v>
      </c>
      <c r="H15" s="1" t="s">
        <v>37</v>
      </c>
      <c r="I15" s="1" t="s">
        <v>66</v>
      </c>
      <c r="J15" s="1" t="n">
        <v>5</v>
      </c>
      <c r="K15" s="1" t="s">
        <v>67</v>
      </c>
    </row>
    <row r="16" customFormat="false" ht="15" hidden="false" customHeight="true" outlineLevel="0" collapsed="false">
      <c r="A16" s="1" t="s">
        <v>71</v>
      </c>
      <c r="B16" s="1" t="s">
        <v>72</v>
      </c>
      <c r="C16" s="1" t="s">
        <v>73</v>
      </c>
      <c r="D16" s="1" t="n">
        <v>92.62</v>
      </c>
      <c r="E16" s="1" t="s">
        <v>14</v>
      </c>
      <c r="F16" s="1" t="s">
        <v>49</v>
      </c>
      <c r="G16" s="1" t="s">
        <v>16</v>
      </c>
      <c r="H16" s="1" t="s">
        <v>37</v>
      </c>
      <c r="I16" s="1" t="s">
        <v>66</v>
      </c>
      <c r="J16" s="1" t="n">
        <v>6</v>
      </c>
      <c r="K16" s="1" t="s">
        <v>67</v>
      </c>
    </row>
    <row r="17" customFormat="false" ht="15" hidden="false" customHeight="true" outlineLevel="0" collapsed="false">
      <c r="A17" s="1" t="s">
        <v>74</v>
      </c>
      <c r="B17" s="1" t="s">
        <v>75</v>
      </c>
      <c r="C17" s="1" t="s">
        <v>76</v>
      </c>
      <c r="D17" s="1" t="n">
        <v>5.14</v>
      </c>
      <c r="E17" s="1" t="s">
        <v>14</v>
      </c>
      <c r="F17" s="1" t="s">
        <v>15</v>
      </c>
      <c r="G17" s="1" t="s">
        <v>36</v>
      </c>
      <c r="H17" s="1" t="s">
        <v>17</v>
      </c>
      <c r="I17" s="1" t="s">
        <v>66</v>
      </c>
      <c r="J17" s="1" t="n">
        <v>6</v>
      </c>
      <c r="K17" s="1" t="s">
        <v>67</v>
      </c>
    </row>
    <row r="18" customFormat="false" ht="15" hidden="false" customHeight="true" outlineLevel="0" collapsed="false">
      <c r="A18" s="1" t="s">
        <v>77</v>
      </c>
      <c r="B18" s="1" t="s">
        <v>34</v>
      </c>
      <c r="C18" s="1" t="s">
        <v>78</v>
      </c>
      <c r="D18" s="1" t="n">
        <v>58.81</v>
      </c>
      <c r="E18" s="1" t="s">
        <v>14</v>
      </c>
      <c r="F18" s="1" t="s">
        <v>15</v>
      </c>
      <c r="G18" s="1" t="s">
        <v>42</v>
      </c>
      <c r="H18" s="1" t="s">
        <v>37</v>
      </c>
      <c r="I18" s="1" t="s">
        <v>66</v>
      </c>
      <c r="J18" s="1" t="n">
        <v>7</v>
      </c>
      <c r="K18" s="1" t="s">
        <v>67</v>
      </c>
    </row>
    <row r="19" customFormat="false" ht="15" hidden="false" customHeight="true" outlineLevel="0" collapsed="false">
      <c r="A19" s="1" t="s">
        <v>79</v>
      </c>
      <c r="B19" s="1" t="s">
        <v>80</v>
      </c>
      <c r="C19" s="1" t="s">
        <v>81</v>
      </c>
      <c r="D19" s="1" t="n">
        <v>48.99</v>
      </c>
      <c r="E19" s="1" t="s">
        <v>14</v>
      </c>
      <c r="F19" s="1" t="s">
        <v>56</v>
      </c>
      <c r="G19" s="1" t="s">
        <v>82</v>
      </c>
      <c r="H19" s="1" t="s">
        <v>37</v>
      </c>
      <c r="I19" s="1" t="s">
        <v>66</v>
      </c>
      <c r="J19" s="1" t="n">
        <v>7</v>
      </c>
      <c r="K19" s="1" t="s">
        <v>67</v>
      </c>
    </row>
    <row r="20" customFormat="false" ht="15" hidden="false" customHeight="true" outlineLevel="0" collapsed="false">
      <c r="A20" s="1" t="s">
        <v>83</v>
      </c>
      <c r="B20" s="1" t="s">
        <v>84</v>
      </c>
      <c r="C20" s="1" t="s">
        <v>85</v>
      </c>
      <c r="D20" s="1" t="n">
        <v>35.03</v>
      </c>
      <c r="E20" s="1" t="s">
        <v>14</v>
      </c>
      <c r="F20" s="1" t="s">
        <v>56</v>
      </c>
      <c r="G20" s="1" t="s">
        <v>86</v>
      </c>
      <c r="H20" s="1" t="s">
        <v>37</v>
      </c>
      <c r="I20" s="1" t="s">
        <v>66</v>
      </c>
      <c r="J20" s="1" t="n">
        <v>8</v>
      </c>
      <c r="K20" s="1" t="s">
        <v>67</v>
      </c>
    </row>
    <row r="21" customFormat="false" ht="15" hidden="false" customHeight="true" outlineLevel="0" collapsed="false">
      <c r="A21" s="1" t="s">
        <v>87</v>
      </c>
      <c r="B21" s="1" t="s">
        <v>54</v>
      </c>
      <c r="C21" s="1" t="s">
        <v>88</v>
      </c>
      <c r="D21" s="1" t="n">
        <v>90.36</v>
      </c>
      <c r="E21" s="1" t="s">
        <v>14</v>
      </c>
      <c r="F21" s="1" t="s">
        <v>56</v>
      </c>
      <c r="G21" s="1" t="s">
        <v>16</v>
      </c>
      <c r="H21" s="1" t="s">
        <v>17</v>
      </c>
      <c r="I21" s="1" t="s">
        <v>66</v>
      </c>
      <c r="J21" s="1" t="n">
        <v>8</v>
      </c>
      <c r="K21" s="1" t="s">
        <v>67</v>
      </c>
    </row>
    <row r="22" customFormat="false" ht="15" hidden="false" customHeight="true" outlineLevel="0" collapsed="false">
      <c r="A22" s="1" t="s">
        <v>89</v>
      </c>
      <c r="B22" s="1" t="s">
        <v>90</v>
      </c>
      <c r="C22" s="1" t="s">
        <v>91</v>
      </c>
      <c r="D22" s="1" t="n">
        <v>104.97</v>
      </c>
      <c r="E22" s="1" t="s">
        <v>14</v>
      </c>
      <c r="F22" s="1" t="s">
        <v>41</v>
      </c>
      <c r="G22" s="1" t="s">
        <v>16</v>
      </c>
      <c r="H22" s="1" t="s">
        <v>37</v>
      </c>
      <c r="I22" s="1" t="s">
        <v>66</v>
      </c>
      <c r="J22" s="1" t="n">
        <v>8</v>
      </c>
      <c r="K22" s="1" t="s">
        <v>67</v>
      </c>
    </row>
    <row r="23" customFormat="false" ht="15" hidden="false" customHeight="true" outlineLevel="0" collapsed="false">
      <c r="A23" s="1" t="s">
        <v>92</v>
      </c>
      <c r="B23" s="1" t="s">
        <v>93</v>
      </c>
      <c r="C23" s="1" t="s">
        <v>94</v>
      </c>
      <c r="D23" s="1" t="n">
        <v>233.41</v>
      </c>
      <c r="E23" s="1" t="s">
        <v>14</v>
      </c>
      <c r="F23" s="1" t="s">
        <v>28</v>
      </c>
      <c r="G23" s="1" t="s">
        <v>16</v>
      </c>
      <c r="H23" s="1" t="s">
        <v>37</v>
      </c>
      <c r="I23" s="1" t="s">
        <v>66</v>
      </c>
      <c r="J23" s="1" t="n">
        <v>9</v>
      </c>
      <c r="K23" s="1" t="s">
        <v>67</v>
      </c>
    </row>
    <row r="24" customFormat="false" ht="15" hidden="false" customHeight="true" outlineLevel="0" collapsed="false">
      <c r="A24" s="1" t="s">
        <v>95</v>
      </c>
      <c r="B24" s="1" t="s">
        <v>26</v>
      </c>
      <c r="C24" s="1" t="s">
        <v>96</v>
      </c>
      <c r="D24" s="1" t="n">
        <v>36.26</v>
      </c>
      <c r="E24" s="1" t="s">
        <v>14</v>
      </c>
      <c r="F24" s="1" t="s">
        <v>28</v>
      </c>
      <c r="G24" s="1" t="s">
        <v>16</v>
      </c>
      <c r="H24" s="1" t="s">
        <v>24</v>
      </c>
      <c r="I24" s="1" t="s">
        <v>66</v>
      </c>
      <c r="J24" s="1" t="n">
        <v>11</v>
      </c>
      <c r="K24" s="1" t="s">
        <v>67</v>
      </c>
    </row>
    <row r="25" customFormat="false" ht="15" hidden="false" customHeight="true" outlineLevel="0" collapsed="false">
      <c r="A25" s="1" t="s">
        <v>97</v>
      </c>
      <c r="B25" s="1" t="s">
        <v>98</v>
      </c>
      <c r="C25" s="1" t="s">
        <v>99</v>
      </c>
      <c r="D25" s="1" t="n">
        <v>49.91</v>
      </c>
      <c r="E25" s="1" t="s">
        <v>14</v>
      </c>
      <c r="F25" s="1" t="s">
        <v>15</v>
      </c>
      <c r="G25" s="1" t="s">
        <v>16</v>
      </c>
      <c r="H25" s="1" t="s">
        <v>24</v>
      </c>
      <c r="I25" s="1" t="s">
        <v>66</v>
      </c>
      <c r="J25" s="1" t="n">
        <v>12</v>
      </c>
      <c r="K25" s="1" t="s">
        <v>67</v>
      </c>
    </row>
    <row r="26" customFormat="false" ht="15" hidden="false" customHeight="true" outlineLevel="0" collapsed="false">
      <c r="A26" s="1" t="s">
        <v>100</v>
      </c>
      <c r="B26" s="1" t="s">
        <v>101</v>
      </c>
      <c r="C26" s="1" t="s">
        <v>102</v>
      </c>
      <c r="D26" s="1" t="n">
        <v>33.26</v>
      </c>
      <c r="E26" s="1" t="s">
        <v>14</v>
      </c>
      <c r="F26" s="1" t="s">
        <v>49</v>
      </c>
      <c r="G26" s="1" t="s">
        <v>42</v>
      </c>
      <c r="H26" s="1" t="s">
        <v>17</v>
      </c>
      <c r="I26" s="1" t="s">
        <v>66</v>
      </c>
      <c r="J26" s="1" t="n">
        <v>13</v>
      </c>
      <c r="K26" s="1" t="s">
        <v>67</v>
      </c>
    </row>
    <row r="27" customFormat="false" ht="15" hidden="false" customHeight="true" outlineLevel="0" collapsed="false">
      <c r="A27" s="1" t="s">
        <v>103</v>
      </c>
      <c r="B27" s="1" t="s">
        <v>75</v>
      </c>
      <c r="C27" s="1" t="s">
        <v>104</v>
      </c>
      <c r="D27" s="1" t="n">
        <v>84.32</v>
      </c>
      <c r="E27" s="1" t="s">
        <v>14</v>
      </c>
      <c r="F27" s="1" t="s">
        <v>15</v>
      </c>
      <c r="G27" s="1" t="s">
        <v>16</v>
      </c>
      <c r="H27" s="1" t="s">
        <v>37</v>
      </c>
      <c r="I27" s="1" t="s">
        <v>66</v>
      </c>
      <c r="J27" s="1" t="n">
        <v>14</v>
      </c>
      <c r="K27" s="1" t="s">
        <v>67</v>
      </c>
    </row>
    <row r="28" customFormat="false" ht="15" hidden="false" customHeight="true" outlineLevel="0" collapsed="false">
      <c r="A28" s="1" t="s">
        <v>105</v>
      </c>
      <c r="B28" s="1" t="s">
        <v>106</v>
      </c>
      <c r="C28" s="1" t="s">
        <v>107</v>
      </c>
      <c r="D28" s="1" t="n">
        <v>65.77</v>
      </c>
      <c r="E28" s="1" t="s">
        <v>14</v>
      </c>
      <c r="F28" s="1" t="s">
        <v>15</v>
      </c>
      <c r="G28" s="1" t="s">
        <v>16</v>
      </c>
      <c r="H28" s="1" t="s">
        <v>24</v>
      </c>
      <c r="I28" s="1" t="s">
        <v>66</v>
      </c>
      <c r="J28" s="1" t="n">
        <v>14</v>
      </c>
      <c r="K28" s="1" t="s">
        <v>67</v>
      </c>
    </row>
    <row r="29" customFormat="false" ht="15" hidden="false" customHeight="true" outlineLevel="0" collapsed="false">
      <c r="A29" s="1" t="s">
        <v>108</v>
      </c>
      <c r="B29" s="1" t="s">
        <v>61</v>
      </c>
      <c r="C29" s="1" t="s">
        <v>109</v>
      </c>
      <c r="D29" s="1" t="n">
        <v>115.83</v>
      </c>
      <c r="E29" s="1" t="s">
        <v>14</v>
      </c>
      <c r="F29" s="1" t="s">
        <v>56</v>
      </c>
      <c r="G29" s="1" t="s">
        <v>16</v>
      </c>
      <c r="H29" s="1" t="s">
        <v>17</v>
      </c>
      <c r="I29" s="1" t="s">
        <v>66</v>
      </c>
      <c r="J29" s="1" t="n">
        <v>15</v>
      </c>
      <c r="K29" s="1" t="s">
        <v>67</v>
      </c>
    </row>
    <row r="30" customFormat="false" ht="15" hidden="false" customHeight="true" outlineLevel="0" collapsed="false">
      <c r="A30" s="1" t="s">
        <v>110</v>
      </c>
      <c r="B30" s="1" t="s">
        <v>98</v>
      </c>
      <c r="C30" s="1" t="s">
        <v>111</v>
      </c>
      <c r="D30" s="1" t="n">
        <v>20.32</v>
      </c>
      <c r="E30" s="1" t="s">
        <v>14</v>
      </c>
      <c r="F30" s="1" t="s">
        <v>15</v>
      </c>
      <c r="G30" s="1" t="s">
        <v>29</v>
      </c>
      <c r="H30" s="1" t="s">
        <v>24</v>
      </c>
      <c r="I30" s="1" t="s">
        <v>66</v>
      </c>
      <c r="J30" s="1" t="n">
        <v>15</v>
      </c>
      <c r="K30" s="1" t="s">
        <v>67</v>
      </c>
    </row>
    <row r="31" customFormat="false" ht="15" hidden="false" customHeight="true" outlineLevel="0" collapsed="false">
      <c r="A31" s="1" t="s">
        <v>112</v>
      </c>
      <c r="B31" s="1" t="s">
        <v>113</v>
      </c>
      <c r="C31" s="1" t="s">
        <v>114</v>
      </c>
      <c r="D31" s="1" t="n">
        <v>35.11</v>
      </c>
      <c r="E31" s="1" t="s">
        <v>14</v>
      </c>
      <c r="F31" s="1" t="s">
        <v>41</v>
      </c>
      <c r="G31" s="1" t="s">
        <v>42</v>
      </c>
      <c r="H31" s="1" t="s">
        <v>24</v>
      </c>
      <c r="I31" s="1" t="s">
        <v>66</v>
      </c>
      <c r="J31" s="1" t="n">
        <v>15</v>
      </c>
      <c r="K31" s="1" t="s">
        <v>67</v>
      </c>
    </row>
    <row r="32" customFormat="false" ht="15" hidden="false" customHeight="true" outlineLevel="0" collapsed="false">
      <c r="A32" s="1" t="s">
        <v>115</v>
      </c>
      <c r="B32" s="1" t="s">
        <v>113</v>
      </c>
      <c r="C32" s="1" t="s">
        <v>116</v>
      </c>
      <c r="D32" s="1" t="n">
        <v>71.24</v>
      </c>
      <c r="E32" s="1" t="s">
        <v>14</v>
      </c>
      <c r="F32" s="1" t="s">
        <v>41</v>
      </c>
      <c r="G32" s="1" t="s">
        <v>16</v>
      </c>
      <c r="H32" s="1" t="s">
        <v>37</v>
      </c>
      <c r="I32" s="1" t="s">
        <v>66</v>
      </c>
      <c r="J32" s="1" t="n">
        <v>15</v>
      </c>
      <c r="K32" s="1" t="s">
        <v>67</v>
      </c>
    </row>
    <row r="33" customFormat="false" ht="15" hidden="false" customHeight="true" outlineLevel="0" collapsed="false">
      <c r="A33" s="1" t="s">
        <v>117</v>
      </c>
      <c r="B33" s="1" t="s">
        <v>113</v>
      </c>
      <c r="C33" s="1" t="s">
        <v>118</v>
      </c>
      <c r="D33" s="1" t="n">
        <v>52.35</v>
      </c>
      <c r="E33" s="1" t="s">
        <v>14</v>
      </c>
      <c r="F33" s="1" t="s">
        <v>41</v>
      </c>
      <c r="G33" s="1" t="s">
        <v>82</v>
      </c>
      <c r="H33" s="1" t="s">
        <v>24</v>
      </c>
      <c r="I33" s="1" t="s">
        <v>66</v>
      </c>
      <c r="J33" s="1" t="n">
        <v>23</v>
      </c>
      <c r="K33" s="1" t="s">
        <v>67</v>
      </c>
    </row>
    <row r="34" customFormat="false" ht="15" hidden="false" customHeight="true" outlineLevel="0" collapsed="false">
      <c r="A34" s="1" t="s">
        <v>119</v>
      </c>
      <c r="B34" s="1" t="s">
        <v>120</v>
      </c>
      <c r="C34" s="1" t="s">
        <v>121</v>
      </c>
      <c r="D34" s="1" t="n">
        <v>74.31</v>
      </c>
      <c r="E34" s="1" t="s">
        <v>14</v>
      </c>
      <c r="F34" s="1" t="s">
        <v>49</v>
      </c>
      <c r="G34" s="1" t="s">
        <v>86</v>
      </c>
      <c r="H34" s="1" t="s">
        <v>24</v>
      </c>
      <c r="I34" s="1" t="s">
        <v>122</v>
      </c>
      <c r="J34" s="1" t="n">
        <v>4</v>
      </c>
      <c r="K34" s="1" t="s">
        <v>123</v>
      </c>
    </row>
    <row r="35" customFormat="false" ht="15" hidden="false" customHeight="true" outlineLevel="0" collapsed="false">
      <c r="A35" s="1" t="s">
        <v>124</v>
      </c>
      <c r="B35" s="1" t="s">
        <v>125</v>
      </c>
      <c r="C35" s="1" t="s">
        <v>126</v>
      </c>
      <c r="D35" s="1" t="n">
        <v>79.54</v>
      </c>
      <c r="E35" s="1" t="s">
        <v>14</v>
      </c>
      <c r="F35" s="1" t="s">
        <v>28</v>
      </c>
      <c r="G35" s="1" t="s">
        <v>36</v>
      </c>
      <c r="H35" s="1" t="s">
        <v>24</v>
      </c>
      <c r="I35" s="1" t="s">
        <v>122</v>
      </c>
      <c r="J35" s="1" t="n">
        <v>6</v>
      </c>
      <c r="K35" s="1" t="s">
        <v>123</v>
      </c>
    </row>
    <row r="36" customFormat="false" ht="15" hidden="false" customHeight="true" outlineLevel="0" collapsed="false">
      <c r="A36" s="1" t="s">
        <v>127</v>
      </c>
      <c r="B36" s="1" t="s">
        <v>93</v>
      </c>
      <c r="C36" s="1" t="s">
        <v>128</v>
      </c>
      <c r="D36" s="1" t="n">
        <v>27.9</v>
      </c>
      <c r="E36" s="1" t="s">
        <v>14</v>
      </c>
      <c r="F36" s="1" t="s">
        <v>28</v>
      </c>
      <c r="G36" s="1" t="s">
        <v>23</v>
      </c>
      <c r="H36" s="1" t="s">
        <v>24</v>
      </c>
      <c r="I36" s="1" t="s">
        <v>122</v>
      </c>
      <c r="J36" s="1" t="n">
        <v>8</v>
      </c>
      <c r="K36" s="1" t="s">
        <v>123</v>
      </c>
    </row>
    <row r="37" customFormat="false" ht="15" hidden="false" customHeight="true" outlineLevel="0" collapsed="false">
      <c r="A37" s="1" t="s">
        <v>129</v>
      </c>
      <c r="B37" s="1" t="s">
        <v>51</v>
      </c>
      <c r="C37" s="1" t="s">
        <v>130</v>
      </c>
      <c r="D37" s="1" t="n">
        <v>55.03</v>
      </c>
      <c r="E37" s="1" t="s">
        <v>14</v>
      </c>
      <c r="F37" s="1" t="s">
        <v>41</v>
      </c>
      <c r="G37" s="1" t="s">
        <v>82</v>
      </c>
      <c r="H37" s="1" t="s">
        <v>24</v>
      </c>
      <c r="I37" s="1" t="s">
        <v>122</v>
      </c>
      <c r="J37" s="1" t="n">
        <v>9</v>
      </c>
      <c r="K37" s="1" t="s">
        <v>123</v>
      </c>
    </row>
    <row r="38" customFormat="false" ht="15" hidden="false" customHeight="true" outlineLevel="0" collapsed="false">
      <c r="A38" s="1" t="s">
        <v>131</v>
      </c>
      <c r="B38" s="1" t="s">
        <v>132</v>
      </c>
      <c r="C38" s="1" t="s">
        <v>133</v>
      </c>
      <c r="D38" s="1" t="n">
        <v>38.46</v>
      </c>
      <c r="E38" s="1" t="s">
        <v>14</v>
      </c>
      <c r="F38" s="1" t="s">
        <v>41</v>
      </c>
      <c r="G38" s="1" t="s">
        <v>16</v>
      </c>
      <c r="H38" s="1" t="s">
        <v>37</v>
      </c>
      <c r="I38" s="1" t="s">
        <v>122</v>
      </c>
      <c r="J38" s="1" t="n">
        <v>9</v>
      </c>
      <c r="K38" s="1" t="s">
        <v>123</v>
      </c>
    </row>
    <row r="39" customFormat="false" ht="15" hidden="false" customHeight="true" outlineLevel="0" collapsed="false">
      <c r="A39" s="1" t="s">
        <v>134</v>
      </c>
      <c r="B39" s="1" t="s">
        <v>75</v>
      </c>
      <c r="C39" s="1" t="s">
        <v>135</v>
      </c>
      <c r="D39" s="1" t="n">
        <v>189.57</v>
      </c>
      <c r="E39" s="1" t="s">
        <v>14</v>
      </c>
      <c r="F39" s="1" t="s">
        <v>15</v>
      </c>
      <c r="G39" s="1" t="s">
        <v>70</v>
      </c>
      <c r="H39" s="1" t="s">
        <v>17</v>
      </c>
      <c r="I39" s="1" t="s">
        <v>122</v>
      </c>
      <c r="J39" s="1" t="n">
        <v>10</v>
      </c>
      <c r="K39" s="1" t="s">
        <v>123</v>
      </c>
    </row>
    <row r="40" customFormat="false" ht="15" hidden="false" customHeight="true" outlineLevel="0" collapsed="false">
      <c r="A40" s="1" t="s">
        <v>136</v>
      </c>
      <c r="B40" s="1" t="s">
        <v>137</v>
      </c>
      <c r="C40" s="1" t="s">
        <v>138</v>
      </c>
      <c r="D40" s="1" t="n">
        <v>172.88</v>
      </c>
      <c r="E40" s="1" t="s">
        <v>14</v>
      </c>
      <c r="F40" s="1" t="s">
        <v>49</v>
      </c>
      <c r="G40" s="1" t="s">
        <v>36</v>
      </c>
      <c r="H40" s="1" t="s">
        <v>37</v>
      </c>
      <c r="I40" s="1" t="s">
        <v>122</v>
      </c>
      <c r="J40" s="1" t="n">
        <v>11</v>
      </c>
      <c r="K40" s="1" t="s">
        <v>123</v>
      </c>
    </row>
    <row r="41" customFormat="false" ht="15" hidden="false" customHeight="true" outlineLevel="0" collapsed="false">
      <c r="A41" s="1" t="s">
        <v>139</v>
      </c>
      <c r="B41" s="1" t="s">
        <v>140</v>
      </c>
      <c r="C41" s="1" t="s">
        <v>141</v>
      </c>
      <c r="D41" s="1" t="n">
        <v>13.14</v>
      </c>
      <c r="E41" s="1" t="s">
        <v>14</v>
      </c>
      <c r="F41" s="1" t="s">
        <v>41</v>
      </c>
      <c r="G41" s="1" t="s">
        <v>29</v>
      </c>
      <c r="H41" s="1" t="s">
        <v>24</v>
      </c>
      <c r="I41" s="1" t="s">
        <v>122</v>
      </c>
      <c r="J41" s="1" t="n">
        <v>12</v>
      </c>
      <c r="K41" s="1" t="s">
        <v>123</v>
      </c>
    </row>
    <row r="42" customFormat="false" ht="15" hidden="false" customHeight="true" outlineLevel="0" collapsed="false">
      <c r="A42" s="1" t="s">
        <v>142</v>
      </c>
      <c r="B42" s="1" t="s">
        <v>113</v>
      </c>
      <c r="C42" s="1" t="s">
        <v>143</v>
      </c>
      <c r="D42" s="1" t="n">
        <v>70.34</v>
      </c>
      <c r="E42" s="1" t="s">
        <v>14</v>
      </c>
      <c r="F42" s="1" t="s">
        <v>41</v>
      </c>
      <c r="G42" s="1" t="s">
        <v>29</v>
      </c>
      <c r="H42" s="1" t="s">
        <v>24</v>
      </c>
      <c r="I42" s="1" t="s">
        <v>122</v>
      </c>
      <c r="J42" s="1" t="n">
        <v>13</v>
      </c>
      <c r="K42" s="1" t="s">
        <v>123</v>
      </c>
    </row>
    <row r="43" customFormat="false" ht="15" hidden="false" customHeight="true" outlineLevel="0" collapsed="false">
      <c r="A43" s="1" t="s">
        <v>144</v>
      </c>
      <c r="B43" s="1" t="s">
        <v>145</v>
      </c>
      <c r="C43" s="1" t="s">
        <v>146</v>
      </c>
      <c r="D43" s="1" t="n">
        <v>161.72</v>
      </c>
      <c r="E43" s="1" t="s">
        <v>14</v>
      </c>
      <c r="F43" s="1" t="s">
        <v>15</v>
      </c>
      <c r="G43" s="1" t="s">
        <v>16</v>
      </c>
      <c r="H43" s="1" t="s">
        <v>37</v>
      </c>
      <c r="I43" s="1" t="s">
        <v>122</v>
      </c>
      <c r="J43" s="1" t="n">
        <v>13</v>
      </c>
      <c r="K43" s="1" t="s">
        <v>123</v>
      </c>
    </row>
    <row r="44" customFormat="false" ht="15" hidden="false" customHeight="true" outlineLevel="0" collapsed="false">
      <c r="A44" s="1" t="s">
        <v>147</v>
      </c>
      <c r="B44" s="1" t="s">
        <v>148</v>
      </c>
      <c r="C44" s="1" t="s">
        <v>149</v>
      </c>
      <c r="D44" s="1" t="n">
        <v>35.45</v>
      </c>
      <c r="E44" s="1" t="s">
        <v>14</v>
      </c>
      <c r="F44" s="1" t="s">
        <v>41</v>
      </c>
      <c r="G44" s="1" t="s">
        <v>16</v>
      </c>
      <c r="H44" s="1" t="s">
        <v>37</v>
      </c>
      <c r="I44" s="1" t="s">
        <v>150</v>
      </c>
      <c r="J44" s="1" t="n">
        <v>2</v>
      </c>
      <c r="K44" s="1" t="s">
        <v>151</v>
      </c>
    </row>
    <row r="45" customFormat="false" ht="15" hidden="false" customHeight="true" outlineLevel="0" collapsed="false">
      <c r="A45" s="1" t="s">
        <v>152</v>
      </c>
      <c r="B45" s="1" t="s">
        <v>64</v>
      </c>
      <c r="C45" s="1" t="s">
        <v>153</v>
      </c>
      <c r="D45" s="1" t="n">
        <v>50.67</v>
      </c>
      <c r="E45" s="1" t="s">
        <v>14</v>
      </c>
      <c r="F45" s="1" t="s">
        <v>41</v>
      </c>
      <c r="G45" s="1" t="s">
        <v>23</v>
      </c>
      <c r="H45" s="1" t="s">
        <v>17</v>
      </c>
      <c r="I45" s="1" t="s">
        <v>150</v>
      </c>
      <c r="J45" s="1" t="n">
        <v>7</v>
      </c>
      <c r="K45" s="1" t="s">
        <v>151</v>
      </c>
    </row>
    <row r="46" customFormat="false" ht="15" hidden="false" customHeight="true" outlineLevel="0" collapsed="false">
      <c r="A46" s="1" t="s">
        <v>154</v>
      </c>
      <c r="B46" s="1" t="s">
        <v>155</v>
      </c>
      <c r="C46" s="1" t="s">
        <v>156</v>
      </c>
      <c r="D46" s="1" t="n">
        <v>160.39</v>
      </c>
      <c r="E46" s="1" t="s">
        <v>14</v>
      </c>
      <c r="F46" s="1" t="s">
        <v>41</v>
      </c>
      <c r="G46" s="1" t="s">
        <v>82</v>
      </c>
      <c r="H46" s="1" t="s">
        <v>24</v>
      </c>
      <c r="I46" s="1" t="s">
        <v>150</v>
      </c>
      <c r="J46" s="1" t="n">
        <v>10</v>
      </c>
      <c r="K46" s="1" t="s">
        <v>151</v>
      </c>
    </row>
    <row r="47" customFormat="false" ht="15" hidden="false" customHeight="true" outlineLevel="0" collapsed="false">
      <c r="A47" s="1" t="s">
        <v>157</v>
      </c>
      <c r="B47" s="1" t="s">
        <v>132</v>
      </c>
      <c r="C47" s="1" t="s">
        <v>158</v>
      </c>
      <c r="D47" s="1" t="n">
        <v>19.76</v>
      </c>
      <c r="E47" s="1" t="s">
        <v>14</v>
      </c>
      <c r="F47" s="1" t="s">
        <v>41</v>
      </c>
      <c r="G47" s="1" t="s">
        <v>36</v>
      </c>
      <c r="H47" s="1" t="s">
        <v>17</v>
      </c>
      <c r="I47" s="1" t="s">
        <v>150</v>
      </c>
      <c r="J47" s="1" t="n">
        <v>10</v>
      </c>
      <c r="K47" s="1" t="s">
        <v>151</v>
      </c>
    </row>
    <row r="48" customFormat="false" ht="15" hidden="false" customHeight="true" outlineLevel="0" collapsed="false">
      <c r="A48" s="1" t="s">
        <v>159</v>
      </c>
      <c r="B48" s="1" t="s">
        <v>47</v>
      </c>
      <c r="C48" s="1" t="s">
        <v>160</v>
      </c>
      <c r="D48" s="1" t="n">
        <v>22.13</v>
      </c>
      <c r="E48" s="1" t="s">
        <v>14</v>
      </c>
      <c r="F48" s="1" t="s">
        <v>49</v>
      </c>
      <c r="G48" s="1" t="s">
        <v>16</v>
      </c>
      <c r="H48" s="1" t="s">
        <v>37</v>
      </c>
      <c r="I48" s="1" t="s">
        <v>150</v>
      </c>
      <c r="J48" s="1" t="n">
        <v>11</v>
      </c>
      <c r="K48" s="1" t="s">
        <v>151</v>
      </c>
    </row>
    <row r="49" customFormat="false" ht="15" hidden="false" customHeight="true" outlineLevel="0" collapsed="false">
      <c r="A49" s="1" t="s">
        <v>161</v>
      </c>
      <c r="B49" s="1" t="s">
        <v>162</v>
      </c>
      <c r="C49" s="1" t="s">
        <v>163</v>
      </c>
      <c r="D49" s="1" t="n">
        <v>90.44</v>
      </c>
      <c r="E49" s="1" t="s">
        <v>14</v>
      </c>
      <c r="F49" s="1" t="s">
        <v>49</v>
      </c>
      <c r="G49" s="1" t="s">
        <v>23</v>
      </c>
      <c r="H49" s="1" t="s">
        <v>24</v>
      </c>
      <c r="I49" s="1" t="s">
        <v>150</v>
      </c>
      <c r="J49" s="1" t="n">
        <v>11</v>
      </c>
      <c r="K49" s="1" t="s">
        <v>151</v>
      </c>
    </row>
    <row r="50" customFormat="false" ht="15" hidden="false" customHeight="true" outlineLevel="0" collapsed="false">
      <c r="A50" s="1" t="s">
        <v>164</v>
      </c>
      <c r="B50" s="1" t="s">
        <v>106</v>
      </c>
      <c r="C50" s="1" t="s">
        <v>165</v>
      </c>
      <c r="D50" s="1" t="n">
        <v>27.78</v>
      </c>
      <c r="E50" s="1" t="s">
        <v>14</v>
      </c>
      <c r="F50" s="1" t="s">
        <v>15</v>
      </c>
      <c r="G50" s="1" t="s">
        <v>70</v>
      </c>
      <c r="H50" s="1" t="s">
        <v>17</v>
      </c>
      <c r="I50" s="1" t="s">
        <v>150</v>
      </c>
      <c r="J50" s="1" t="n">
        <v>13</v>
      </c>
      <c r="K50" s="1" t="s">
        <v>151</v>
      </c>
    </row>
    <row r="51" customFormat="false" ht="15" hidden="false" customHeight="true" outlineLevel="0" collapsed="false">
      <c r="A51" s="1" t="s">
        <v>166</v>
      </c>
      <c r="B51" s="1" t="s">
        <v>167</v>
      </c>
      <c r="C51" s="1" t="s">
        <v>168</v>
      </c>
      <c r="D51" s="1" t="n">
        <v>56.36</v>
      </c>
      <c r="E51" s="1" t="s">
        <v>14</v>
      </c>
      <c r="F51" s="1" t="s">
        <v>28</v>
      </c>
      <c r="G51" s="1" t="s">
        <v>29</v>
      </c>
      <c r="H51" s="1" t="s">
        <v>37</v>
      </c>
      <c r="I51" s="1" t="s">
        <v>150</v>
      </c>
      <c r="J51" s="1" t="n">
        <v>14</v>
      </c>
      <c r="K51" s="1" t="s">
        <v>151</v>
      </c>
    </row>
    <row r="52" customFormat="false" ht="15" hidden="false" customHeight="true" outlineLevel="0" collapsed="false">
      <c r="A52" s="1" t="s">
        <v>169</v>
      </c>
      <c r="B52" s="1" t="s">
        <v>170</v>
      </c>
      <c r="C52" s="1" t="s">
        <v>171</v>
      </c>
      <c r="D52" s="1" t="n">
        <v>6.31</v>
      </c>
      <c r="E52" s="1" t="s">
        <v>14</v>
      </c>
      <c r="F52" s="1" t="s">
        <v>41</v>
      </c>
      <c r="G52" s="1" t="s">
        <v>82</v>
      </c>
      <c r="H52" s="1" t="s">
        <v>37</v>
      </c>
      <c r="I52" s="1" t="s">
        <v>150</v>
      </c>
      <c r="J52" s="1" t="n">
        <v>14</v>
      </c>
      <c r="K52" s="1" t="s">
        <v>151</v>
      </c>
    </row>
    <row r="53" customFormat="false" ht="15" hidden="false" customHeight="true" outlineLevel="0" collapsed="false">
      <c r="A53" s="1" t="s">
        <v>172</v>
      </c>
      <c r="B53" s="1" t="s">
        <v>173</v>
      </c>
      <c r="C53" s="1" t="s">
        <v>174</v>
      </c>
      <c r="D53" s="1" t="n">
        <v>30.86</v>
      </c>
      <c r="E53" s="1" t="s">
        <v>14</v>
      </c>
      <c r="F53" s="1" t="s">
        <v>28</v>
      </c>
      <c r="G53" s="1" t="s">
        <v>70</v>
      </c>
      <c r="H53" s="1" t="s">
        <v>37</v>
      </c>
      <c r="I53" s="1" t="s">
        <v>150</v>
      </c>
      <c r="J53" s="1" t="n">
        <v>15</v>
      </c>
      <c r="K53" s="1" t="s">
        <v>151</v>
      </c>
    </row>
    <row r="54" customFormat="false" ht="15" hidden="false" customHeight="true" outlineLevel="0" collapsed="false">
      <c r="A54" s="1" t="s">
        <v>175</v>
      </c>
      <c r="B54" s="1" t="s">
        <v>113</v>
      </c>
      <c r="C54" s="1" t="s">
        <v>176</v>
      </c>
      <c r="D54" s="1" t="n">
        <v>54.17</v>
      </c>
      <c r="E54" s="1" t="s">
        <v>14</v>
      </c>
      <c r="F54" s="1" t="s">
        <v>41</v>
      </c>
      <c r="G54" s="1" t="s">
        <v>29</v>
      </c>
      <c r="H54" s="1" t="s">
        <v>24</v>
      </c>
      <c r="I54" s="1" t="s">
        <v>150</v>
      </c>
      <c r="J54" s="1" t="n">
        <v>17</v>
      </c>
      <c r="K54" s="1" t="s">
        <v>151</v>
      </c>
    </row>
    <row r="55" customFormat="false" ht="15" hidden="false" customHeight="true" outlineLevel="0" collapsed="false">
      <c r="A55" s="1" t="s">
        <v>177</v>
      </c>
      <c r="B55" s="1" t="s">
        <v>93</v>
      </c>
      <c r="C55" s="1" t="s">
        <v>178</v>
      </c>
      <c r="D55" s="1" t="n">
        <v>109.64</v>
      </c>
      <c r="E55" s="1" t="s">
        <v>14</v>
      </c>
      <c r="F55" s="1" t="s">
        <v>28</v>
      </c>
      <c r="G55" s="1" t="s">
        <v>70</v>
      </c>
      <c r="H55" s="1" t="s">
        <v>24</v>
      </c>
      <c r="I55" s="1" t="s">
        <v>150</v>
      </c>
      <c r="J55" s="1" t="n">
        <v>21</v>
      </c>
      <c r="K55" s="1" t="s">
        <v>151</v>
      </c>
    </row>
    <row r="56" customFormat="false" ht="15" hidden="false" customHeight="true" outlineLevel="0" collapsed="false">
      <c r="A56" s="1" t="s">
        <v>179</v>
      </c>
      <c r="B56" s="1" t="s">
        <v>180</v>
      </c>
      <c r="C56" s="1" t="s">
        <v>181</v>
      </c>
      <c r="D56" s="1" t="n">
        <v>30.83</v>
      </c>
      <c r="E56" s="1" t="s">
        <v>14</v>
      </c>
      <c r="F56" s="1" t="s">
        <v>49</v>
      </c>
      <c r="G56" s="1" t="s">
        <v>70</v>
      </c>
      <c r="H56" s="1" t="s">
        <v>17</v>
      </c>
      <c r="I56" s="1" t="s">
        <v>150</v>
      </c>
      <c r="J56" s="1" t="n">
        <v>22</v>
      </c>
      <c r="K56" s="1" t="s">
        <v>151</v>
      </c>
    </row>
    <row r="57" customFormat="false" ht="15" hidden="false" customHeight="true" outlineLevel="0" collapsed="false">
      <c r="A57" s="1" t="s">
        <v>182</v>
      </c>
      <c r="B57" s="1" t="s">
        <v>183</v>
      </c>
      <c r="C57" s="1" t="s">
        <v>184</v>
      </c>
      <c r="D57" s="1" t="n">
        <v>30.1</v>
      </c>
      <c r="E57" s="1" t="s">
        <v>14</v>
      </c>
      <c r="F57" s="1" t="s">
        <v>15</v>
      </c>
      <c r="G57" s="1" t="s">
        <v>82</v>
      </c>
      <c r="H57" s="1" t="s">
        <v>24</v>
      </c>
      <c r="I57" s="1" t="s">
        <v>185</v>
      </c>
      <c r="J57" s="1" t="n">
        <v>6</v>
      </c>
      <c r="K57" s="1" t="s">
        <v>186</v>
      </c>
    </row>
    <row r="58" customFormat="false" ht="15" hidden="false" customHeight="true" outlineLevel="0" collapsed="false">
      <c r="A58" s="1" t="s">
        <v>187</v>
      </c>
      <c r="B58" s="1" t="s">
        <v>84</v>
      </c>
      <c r="C58" s="1" t="s">
        <v>188</v>
      </c>
      <c r="D58" s="1" t="n">
        <v>459.23</v>
      </c>
      <c r="E58" s="1" t="s">
        <v>14</v>
      </c>
      <c r="F58" s="1" t="s">
        <v>56</v>
      </c>
      <c r="G58" s="1" t="s">
        <v>16</v>
      </c>
      <c r="H58" s="1" t="s">
        <v>24</v>
      </c>
      <c r="I58" s="1" t="s">
        <v>185</v>
      </c>
      <c r="J58" s="1" t="n">
        <v>8</v>
      </c>
      <c r="K58" s="1" t="s">
        <v>186</v>
      </c>
    </row>
    <row r="59" customFormat="false" ht="15" hidden="false" customHeight="true" outlineLevel="0" collapsed="false">
      <c r="A59" s="1" t="s">
        <v>189</v>
      </c>
      <c r="B59" s="1" t="s">
        <v>190</v>
      </c>
      <c r="C59" s="1" t="s">
        <v>191</v>
      </c>
      <c r="D59" s="1" t="n">
        <v>35.9</v>
      </c>
      <c r="E59" s="1" t="s">
        <v>14</v>
      </c>
      <c r="F59" s="1" t="s">
        <v>49</v>
      </c>
      <c r="G59" s="1" t="s">
        <v>36</v>
      </c>
      <c r="H59" s="1" t="s">
        <v>37</v>
      </c>
      <c r="I59" s="1" t="s">
        <v>185</v>
      </c>
      <c r="J59" s="1" t="n">
        <v>11</v>
      </c>
      <c r="K59" s="1" t="s">
        <v>186</v>
      </c>
    </row>
    <row r="60" customFormat="false" ht="15" hidden="false" customHeight="true" outlineLevel="0" collapsed="false">
      <c r="A60" s="1" t="s">
        <v>192</v>
      </c>
      <c r="B60" s="1" t="s">
        <v>193</v>
      </c>
      <c r="C60" s="1" t="s">
        <v>194</v>
      </c>
      <c r="D60" s="1" t="n">
        <v>85.8</v>
      </c>
      <c r="E60" s="1" t="s">
        <v>14</v>
      </c>
      <c r="F60" s="1" t="s">
        <v>15</v>
      </c>
      <c r="G60" s="1" t="s">
        <v>16</v>
      </c>
      <c r="H60" s="1" t="s">
        <v>37</v>
      </c>
      <c r="I60" s="1" t="s">
        <v>185</v>
      </c>
      <c r="J60" s="1" t="n">
        <v>11</v>
      </c>
      <c r="K60" s="1" t="s">
        <v>186</v>
      </c>
    </row>
    <row r="61" customFormat="false" ht="15" hidden="false" customHeight="true" outlineLevel="0" collapsed="false">
      <c r="A61" s="1" t="s">
        <v>195</v>
      </c>
      <c r="B61" s="1" t="s">
        <v>196</v>
      </c>
      <c r="C61" s="1" t="s">
        <v>197</v>
      </c>
      <c r="D61" s="1" t="n">
        <v>95.01</v>
      </c>
      <c r="E61" s="1" t="s">
        <v>14</v>
      </c>
      <c r="F61" s="1" t="s">
        <v>15</v>
      </c>
      <c r="G61" s="1" t="s">
        <v>16</v>
      </c>
      <c r="H61" s="1" t="s">
        <v>24</v>
      </c>
      <c r="I61" s="1" t="s">
        <v>185</v>
      </c>
      <c r="J61" s="1" t="n">
        <v>11</v>
      </c>
      <c r="K61" s="1" t="s">
        <v>186</v>
      </c>
    </row>
    <row r="62" customFormat="false" ht="15" hidden="false" customHeight="true" outlineLevel="0" collapsed="false">
      <c r="A62" s="1" t="s">
        <v>198</v>
      </c>
      <c r="B62" s="1" t="s">
        <v>199</v>
      </c>
      <c r="C62" s="1" t="s">
        <v>200</v>
      </c>
      <c r="D62" s="1" t="n">
        <v>37.93</v>
      </c>
      <c r="E62" s="1" t="s">
        <v>14</v>
      </c>
      <c r="F62" s="1" t="s">
        <v>41</v>
      </c>
      <c r="G62" s="1" t="s">
        <v>36</v>
      </c>
      <c r="H62" s="1" t="s">
        <v>24</v>
      </c>
      <c r="I62" s="1" t="s">
        <v>185</v>
      </c>
      <c r="J62" s="1" t="n">
        <v>12</v>
      </c>
      <c r="K62" s="1" t="s">
        <v>186</v>
      </c>
    </row>
    <row r="63" customFormat="false" ht="15" hidden="false" customHeight="true" outlineLevel="0" collapsed="false">
      <c r="A63" s="1" t="s">
        <v>201</v>
      </c>
      <c r="B63" s="1" t="s">
        <v>183</v>
      </c>
      <c r="C63" s="1" t="s">
        <v>202</v>
      </c>
      <c r="D63" s="1" t="n">
        <v>176.75</v>
      </c>
      <c r="E63" s="1" t="s">
        <v>14</v>
      </c>
      <c r="F63" s="1" t="s">
        <v>15</v>
      </c>
      <c r="G63" s="1" t="s">
        <v>29</v>
      </c>
      <c r="H63" s="1" t="s">
        <v>24</v>
      </c>
      <c r="I63" s="1" t="s">
        <v>185</v>
      </c>
      <c r="J63" s="1" t="n">
        <v>13</v>
      </c>
      <c r="K63" s="1" t="s">
        <v>186</v>
      </c>
    </row>
    <row r="64" customFormat="false" ht="15" hidden="false" customHeight="true" outlineLevel="0" collapsed="false">
      <c r="A64" s="1" t="s">
        <v>203</v>
      </c>
      <c r="B64" s="1" t="s">
        <v>12</v>
      </c>
      <c r="C64" s="1" t="s">
        <v>204</v>
      </c>
      <c r="D64" s="1" t="n">
        <v>108.3</v>
      </c>
      <c r="E64" s="1" t="s">
        <v>14</v>
      </c>
      <c r="F64" s="1" t="s">
        <v>15</v>
      </c>
      <c r="G64" s="1" t="s">
        <v>36</v>
      </c>
      <c r="H64" s="1" t="s">
        <v>17</v>
      </c>
      <c r="I64" s="1" t="s">
        <v>185</v>
      </c>
      <c r="J64" s="1" t="n">
        <v>14</v>
      </c>
      <c r="K64" s="1" t="s">
        <v>186</v>
      </c>
    </row>
    <row r="65" customFormat="false" ht="15" hidden="false" customHeight="true" outlineLevel="0" collapsed="false">
      <c r="A65" s="1" t="s">
        <v>205</v>
      </c>
      <c r="B65" s="1" t="s">
        <v>51</v>
      </c>
      <c r="C65" s="1" t="s">
        <v>206</v>
      </c>
      <c r="D65" s="1" t="n">
        <v>65.58</v>
      </c>
      <c r="E65" s="1" t="s">
        <v>14</v>
      </c>
      <c r="F65" s="1" t="s">
        <v>41</v>
      </c>
      <c r="G65" s="1" t="s">
        <v>29</v>
      </c>
      <c r="H65" s="1" t="s">
        <v>37</v>
      </c>
      <c r="I65" s="1" t="s">
        <v>185</v>
      </c>
      <c r="J65" s="1" t="n">
        <v>16</v>
      </c>
      <c r="K65" s="1" t="s">
        <v>186</v>
      </c>
    </row>
    <row r="66" customFormat="false" ht="15" hidden="false" customHeight="true" outlineLevel="0" collapsed="false">
      <c r="A66" s="1" t="s">
        <v>207</v>
      </c>
      <c r="B66" s="1" t="s">
        <v>162</v>
      </c>
      <c r="C66" s="1" t="s">
        <v>208</v>
      </c>
      <c r="D66" s="1" t="n">
        <v>140.68</v>
      </c>
      <c r="E66" s="1" t="s">
        <v>14</v>
      </c>
      <c r="F66" s="1" t="s">
        <v>49</v>
      </c>
      <c r="G66" s="1" t="s">
        <v>16</v>
      </c>
      <c r="H66" s="1" t="s">
        <v>24</v>
      </c>
      <c r="I66" s="1" t="s">
        <v>185</v>
      </c>
      <c r="J66" s="1" t="n">
        <v>16</v>
      </c>
      <c r="K66" s="1" t="s">
        <v>186</v>
      </c>
    </row>
    <row r="67" customFormat="false" ht="15" hidden="false" customHeight="true" outlineLevel="0" collapsed="false">
      <c r="A67" s="1" t="s">
        <v>209</v>
      </c>
      <c r="B67" s="1" t="s">
        <v>61</v>
      </c>
      <c r="C67" s="1" t="s">
        <v>210</v>
      </c>
      <c r="D67" s="1" t="n">
        <v>315.7</v>
      </c>
      <c r="E67" s="1" t="s">
        <v>14</v>
      </c>
      <c r="F67" s="1" t="s">
        <v>56</v>
      </c>
      <c r="G67" s="1" t="s">
        <v>70</v>
      </c>
      <c r="H67" s="1" t="s">
        <v>17</v>
      </c>
      <c r="I67" s="1" t="s">
        <v>185</v>
      </c>
      <c r="J67" s="1" t="n">
        <v>16</v>
      </c>
      <c r="K67" s="1" t="s">
        <v>186</v>
      </c>
    </row>
    <row r="68" customFormat="false" ht="15" hidden="false" customHeight="true" outlineLevel="0" collapsed="false">
      <c r="A68" s="1" t="s">
        <v>211</v>
      </c>
      <c r="B68" s="1" t="s">
        <v>140</v>
      </c>
      <c r="C68" s="1" t="s">
        <v>212</v>
      </c>
      <c r="D68" s="1" t="n">
        <v>14.84</v>
      </c>
      <c r="E68" s="1" t="s">
        <v>14</v>
      </c>
      <c r="F68" s="1" t="s">
        <v>41</v>
      </c>
      <c r="G68" s="1" t="s">
        <v>42</v>
      </c>
      <c r="H68" s="1" t="s">
        <v>24</v>
      </c>
      <c r="I68" s="1" t="s">
        <v>185</v>
      </c>
      <c r="J68" s="1" t="n">
        <v>17</v>
      </c>
      <c r="K68" s="1" t="s">
        <v>186</v>
      </c>
    </row>
    <row r="69" customFormat="false" ht="15" hidden="false" customHeight="true" outlineLevel="0" collapsed="false">
      <c r="A69" s="1" t="s">
        <v>213</v>
      </c>
      <c r="B69" s="1" t="s">
        <v>26</v>
      </c>
      <c r="C69" s="1" t="s">
        <v>214</v>
      </c>
      <c r="D69" s="1" t="n">
        <v>226.02</v>
      </c>
      <c r="E69" s="1" t="s">
        <v>14</v>
      </c>
      <c r="F69" s="1" t="s">
        <v>28</v>
      </c>
      <c r="G69" s="1" t="s">
        <v>36</v>
      </c>
      <c r="H69" s="1" t="s">
        <v>37</v>
      </c>
      <c r="I69" s="1" t="s">
        <v>185</v>
      </c>
      <c r="J69" s="1" t="n">
        <v>17</v>
      </c>
      <c r="K69" s="1" t="s">
        <v>186</v>
      </c>
    </row>
    <row r="70" customFormat="false" ht="15" hidden="false" customHeight="true" outlineLevel="0" collapsed="false">
      <c r="A70" s="1" t="s">
        <v>215</v>
      </c>
      <c r="B70" s="1" t="s">
        <v>216</v>
      </c>
      <c r="C70" s="1" t="s">
        <v>217</v>
      </c>
      <c r="D70" s="1" t="n">
        <v>64.01</v>
      </c>
      <c r="E70" s="1" t="s">
        <v>14</v>
      </c>
      <c r="F70" s="1" t="s">
        <v>49</v>
      </c>
      <c r="G70" s="1" t="s">
        <v>23</v>
      </c>
      <c r="H70" s="1" t="s">
        <v>17</v>
      </c>
      <c r="I70" s="1" t="s">
        <v>218</v>
      </c>
      <c r="J70" s="1" t="n">
        <v>0</v>
      </c>
      <c r="K70" s="1" t="s">
        <v>219</v>
      </c>
    </row>
    <row r="71" customFormat="false" ht="15" hidden="false" customHeight="true" outlineLevel="0" collapsed="false">
      <c r="A71" s="1" t="s">
        <v>220</v>
      </c>
      <c r="B71" s="1" t="s">
        <v>221</v>
      </c>
      <c r="C71" s="1" t="s">
        <v>222</v>
      </c>
      <c r="D71" s="1" t="n">
        <v>192.74</v>
      </c>
      <c r="E71" s="1" t="s">
        <v>14</v>
      </c>
      <c r="F71" s="1" t="s">
        <v>15</v>
      </c>
      <c r="G71" s="1" t="s">
        <v>82</v>
      </c>
      <c r="H71" s="1" t="s">
        <v>37</v>
      </c>
      <c r="I71" s="1" t="s">
        <v>218</v>
      </c>
      <c r="J71" s="1" t="n">
        <v>2</v>
      </c>
      <c r="K71" s="1" t="s">
        <v>219</v>
      </c>
    </row>
    <row r="72" customFormat="false" ht="15" hidden="false" customHeight="true" outlineLevel="0" collapsed="false">
      <c r="A72" s="1" t="s">
        <v>223</v>
      </c>
      <c r="B72" s="1" t="s">
        <v>140</v>
      </c>
      <c r="C72" s="1" t="s">
        <v>224</v>
      </c>
      <c r="D72" s="1" t="n">
        <v>69.59</v>
      </c>
      <c r="E72" s="1" t="s">
        <v>14</v>
      </c>
      <c r="F72" s="1" t="s">
        <v>41</v>
      </c>
      <c r="G72" s="1" t="s">
        <v>86</v>
      </c>
      <c r="H72" s="1" t="s">
        <v>37</v>
      </c>
      <c r="I72" s="1" t="s">
        <v>218</v>
      </c>
      <c r="J72" s="1" t="n">
        <v>7</v>
      </c>
      <c r="K72" s="1" t="s">
        <v>219</v>
      </c>
    </row>
    <row r="73" customFormat="false" ht="15" hidden="false" customHeight="true" outlineLevel="0" collapsed="false">
      <c r="A73" s="1" t="s">
        <v>225</v>
      </c>
      <c r="B73" s="1" t="s">
        <v>145</v>
      </c>
      <c r="C73" s="1" t="s">
        <v>226</v>
      </c>
      <c r="D73" s="1" t="n">
        <v>33.41</v>
      </c>
      <c r="E73" s="1" t="s">
        <v>14</v>
      </c>
      <c r="F73" s="1" t="s">
        <v>15</v>
      </c>
      <c r="G73" s="1" t="s">
        <v>86</v>
      </c>
      <c r="H73" s="1" t="s">
        <v>17</v>
      </c>
      <c r="I73" s="1" t="s">
        <v>218</v>
      </c>
      <c r="J73" s="1" t="n">
        <v>8</v>
      </c>
      <c r="K73" s="1" t="s">
        <v>219</v>
      </c>
    </row>
    <row r="74" customFormat="false" ht="15" hidden="false" customHeight="true" outlineLevel="0" collapsed="false">
      <c r="A74" s="1" t="s">
        <v>227</v>
      </c>
      <c r="B74" s="1" t="s">
        <v>228</v>
      </c>
      <c r="C74" s="1" t="s">
        <v>229</v>
      </c>
      <c r="D74" s="1" t="n">
        <v>362.51</v>
      </c>
      <c r="E74" s="1" t="s">
        <v>14</v>
      </c>
      <c r="F74" s="1" t="s">
        <v>28</v>
      </c>
      <c r="G74" s="1" t="s">
        <v>70</v>
      </c>
      <c r="H74" s="1" t="s">
        <v>37</v>
      </c>
      <c r="I74" s="1" t="s">
        <v>218</v>
      </c>
      <c r="J74" s="1" t="n">
        <v>8</v>
      </c>
      <c r="K74" s="1" t="s">
        <v>219</v>
      </c>
    </row>
    <row r="75" customFormat="false" ht="15" hidden="false" customHeight="true" outlineLevel="0" collapsed="false">
      <c r="A75" s="1" t="s">
        <v>230</v>
      </c>
      <c r="B75" s="1" t="s">
        <v>137</v>
      </c>
      <c r="C75" s="1" t="s">
        <v>231</v>
      </c>
      <c r="D75" s="1" t="n">
        <v>94.22</v>
      </c>
      <c r="E75" s="1" t="s">
        <v>14</v>
      </c>
      <c r="F75" s="1" t="s">
        <v>49</v>
      </c>
      <c r="G75" s="1" t="s">
        <v>16</v>
      </c>
      <c r="H75" s="1" t="s">
        <v>37</v>
      </c>
      <c r="I75" s="1" t="s">
        <v>218</v>
      </c>
      <c r="J75" s="1" t="n">
        <v>8</v>
      </c>
      <c r="K75" s="1" t="s">
        <v>219</v>
      </c>
    </row>
    <row r="76" customFormat="false" ht="15" hidden="false" customHeight="true" outlineLevel="0" collapsed="false">
      <c r="A76" s="1" t="s">
        <v>232</v>
      </c>
      <c r="B76" s="1" t="s">
        <v>51</v>
      </c>
      <c r="C76" s="1" t="s">
        <v>233</v>
      </c>
      <c r="D76" s="1" t="n">
        <v>251.59</v>
      </c>
      <c r="E76" s="1" t="s">
        <v>14</v>
      </c>
      <c r="F76" s="1" t="s">
        <v>41</v>
      </c>
      <c r="G76" s="1" t="s">
        <v>36</v>
      </c>
      <c r="H76" s="1" t="s">
        <v>17</v>
      </c>
      <c r="I76" s="1" t="s">
        <v>218</v>
      </c>
      <c r="J76" s="1" t="n">
        <v>9</v>
      </c>
      <c r="K76" s="1" t="s">
        <v>219</v>
      </c>
    </row>
    <row r="77" customFormat="false" ht="15" hidden="false" customHeight="true" outlineLevel="0" collapsed="false">
      <c r="A77" s="1" t="s">
        <v>234</v>
      </c>
      <c r="B77" s="1" t="s">
        <v>235</v>
      </c>
      <c r="C77" s="1" t="s">
        <v>236</v>
      </c>
      <c r="D77" s="1" t="n">
        <v>40.06</v>
      </c>
      <c r="E77" s="1" t="s">
        <v>14</v>
      </c>
      <c r="F77" s="1" t="s">
        <v>41</v>
      </c>
      <c r="G77" s="1" t="s">
        <v>82</v>
      </c>
      <c r="H77" s="1" t="s">
        <v>24</v>
      </c>
      <c r="I77" s="1" t="s">
        <v>218</v>
      </c>
      <c r="J77" s="1" t="n">
        <v>9</v>
      </c>
      <c r="K77" s="1" t="s">
        <v>219</v>
      </c>
    </row>
    <row r="78" customFormat="false" ht="15" hidden="false" customHeight="true" outlineLevel="0" collapsed="false">
      <c r="A78" s="1" t="s">
        <v>237</v>
      </c>
      <c r="B78" s="1" t="s">
        <v>183</v>
      </c>
      <c r="C78" s="1" t="s">
        <v>238</v>
      </c>
      <c r="D78" s="1" t="n">
        <v>77.93</v>
      </c>
      <c r="E78" s="1" t="s">
        <v>14</v>
      </c>
      <c r="F78" s="1" t="s">
        <v>15</v>
      </c>
      <c r="G78" s="1" t="s">
        <v>23</v>
      </c>
      <c r="H78" s="1" t="s">
        <v>37</v>
      </c>
      <c r="I78" s="1" t="s">
        <v>218</v>
      </c>
      <c r="J78" s="1" t="n">
        <v>9</v>
      </c>
      <c r="K78" s="1" t="s">
        <v>219</v>
      </c>
    </row>
    <row r="79" customFormat="false" ht="15" hidden="false" customHeight="true" outlineLevel="0" collapsed="false">
      <c r="A79" s="1" t="s">
        <v>239</v>
      </c>
      <c r="B79" s="1" t="s">
        <v>240</v>
      </c>
      <c r="C79" s="1" t="s">
        <v>241</v>
      </c>
      <c r="D79" s="1" t="n">
        <v>252.64</v>
      </c>
      <c r="E79" s="1" t="s">
        <v>14</v>
      </c>
      <c r="F79" s="1" t="s">
        <v>56</v>
      </c>
      <c r="G79" s="1" t="s">
        <v>70</v>
      </c>
      <c r="H79" s="1" t="s">
        <v>24</v>
      </c>
      <c r="I79" s="1" t="s">
        <v>218</v>
      </c>
      <c r="J79" s="1" t="n">
        <v>10</v>
      </c>
      <c r="K79" s="1" t="s">
        <v>219</v>
      </c>
    </row>
    <row r="80" customFormat="false" ht="15" hidden="false" customHeight="true" outlineLevel="0" collapsed="false">
      <c r="A80" s="1" t="s">
        <v>242</v>
      </c>
      <c r="B80" s="1" t="s">
        <v>39</v>
      </c>
      <c r="C80" s="1" t="s">
        <v>243</v>
      </c>
      <c r="D80" s="1" t="n">
        <v>88.13</v>
      </c>
      <c r="E80" s="1" t="s">
        <v>14</v>
      </c>
      <c r="F80" s="1" t="s">
        <v>41</v>
      </c>
      <c r="G80" s="1" t="s">
        <v>42</v>
      </c>
      <c r="H80" s="1" t="s">
        <v>24</v>
      </c>
      <c r="I80" s="1" t="s">
        <v>218</v>
      </c>
      <c r="J80" s="1" t="n">
        <v>12</v>
      </c>
      <c r="K80" s="1" t="s">
        <v>219</v>
      </c>
    </row>
    <row r="81" customFormat="false" ht="15" hidden="false" customHeight="true" outlineLevel="0" collapsed="false">
      <c r="A81" s="1" t="s">
        <v>244</v>
      </c>
      <c r="B81" s="1" t="s">
        <v>245</v>
      </c>
      <c r="C81" s="1" t="s">
        <v>246</v>
      </c>
      <c r="D81" s="1" t="n">
        <v>41.35</v>
      </c>
      <c r="E81" s="1" t="s">
        <v>14</v>
      </c>
      <c r="F81" s="1" t="s">
        <v>15</v>
      </c>
      <c r="G81" s="1" t="s">
        <v>70</v>
      </c>
      <c r="H81" s="1" t="s">
        <v>17</v>
      </c>
      <c r="I81" s="1" t="s">
        <v>218</v>
      </c>
      <c r="J81" s="1" t="n">
        <v>12</v>
      </c>
      <c r="K81" s="1" t="s">
        <v>219</v>
      </c>
    </row>
    <row r="82" customFormat="false" ht="15" hidden="false" customHeight="true" outlineLevel="0" collapsed="false">
      <c r="A82" s="1" t="s">
        <v>247</v>
      </c>
      <c r="B82" s="1" t="s">
        <v>84</v>
      </c>
      <c r="C82" s="1" t="s">
        <v>248</v>
      </c>
      <c r="D82" s="1" t="n">
        <v>450.31</v>
      </c>
      <c r="E82" s="1" t="s">
        <v>14</v>
      </c>
      <c r="F82" s="1" t="s">
        <v>56</v>
      </c>
      <c r="G82" s="1" t="s">
        <v>29</v>
      </c>
      <c r="H82" s="1" t="s">
        <v>37</v>
      </c>
      <c r="I82" s="1" t="s">
        <v>218</v>
      </c>
      <c r="J82" s="1" t="n">
        <v>15</v>
      </c>
      <c r="K82" s="1" t="s">
        <v>219</v>
      </c>
    </row>
    <row r="83" customFormat="false" ht="15" hidden="false" customHeight="true" outlineLevel="0" collapsed="false">
      <c r="A83" s="1" t="s">
        <v>249</v>
      </c>
      <c r="B83" s="1" t="s">
        <v>120</v>
      </c>
      <c r="C83" s="1" t="s">
        <v>250</v>
      </c>
      <c r="D83" s="1" t="n">
        <v>192.77</v>
      </c>
      <c r="E83" s="1" t="s">
        <v>14</v>
      </c>
      <c r="F83" s="1" t="s">
        <v>49</v>
      </c>
      <c r="G83" s="1" t="s">
        <v>16</v>
      </c>
      <c r="H83" s="1" t="s">
        <v>24</v>
      </c>
      <c r="I83" s="1" t="s">
        <v>218</v>
      </c>
      <c r="J83" s="1" t="n">
        <v>17</v>
      </c>
      <c r="K83" s="1" t="s">
        <v>219</v>
      </c>
    </row>
    <row r="84" customFormat="false" ht="15" hidden="false" customHeight="true" outlineLevel="0" collapsed="false">
      <c r="A84" s="1" t="s">
        <v>251</v>
      </c>
      <c r="B84" s="1" t="s">
        <v>140</v>
      </c>
      <c r="C84" s="1" t="s">
        <v>252</v>
      </c>
      <c r="D84" s="1" t="n">
        <v>30.74</v>
      </c>
      <c r="E84" s="1" t="s">
        <v>14</v>
      </c>
      <c r="F84" s="1" t="s">
        <v>41</v>
      </c>
      <c r="G84" s="1" t="s">
        <v>29</v>
      </c>
      <c r="H84" s="1" t="s">
        <v>17</v>
      </c>
      <c r="I84" s="1" t="s">
        <v>218</v>
      </c>
      <c r="J84" s="1" t="n">
        <v>20</v>
      </c>
      <c r="K84" s="1" t="s">
        <v>219</v>
      </c>
    </row>
    <row r="85" customFormat="false" ht="15" hidden="false" customHeight="true" outlineLevel="0" collapsed="false">
      <c r="A85" s="1" t="s">
        <v>253</v>
      </c>
      <c r="B85" s="1" t="s">
        <v>113</v>
      </c>
      <c r="C85" s="1" t="s">
        <v>254</v>
      </c>
      <c r="D85" s="1" t="n">
        <v>67.53</v>
      </c>
      <c r="E85" s="1" t="s">
        <v>14</v>
      </c>
      <c r="F85" s="1" t="s">
        <v>41</v>
      </c>
      <c r="G85" s="1" t="s">
        <v>23</v>
      </c>
      <c r="H85" s="1" t="s">
        <v>17</v>
      </c>
      <c r="I85" s="1" t="s">
        <v>218</v>
      </c>
      <c r="J85" s="1" t="n">
        <v>20</v>
      </c>
      <c r="K85" s="1" t="s">
        <v>219</v>
      </c>
    </row>
    <row r="86" customFormat="false" ht="15" hidden="false" customHeight="true" outlineLevel="0" collapsed="false">
      <c r="A86" s="1" t="s">
        <v>255</v>
      </c>
      <c r="B86" s="1" t="s">
        <v>80</v>
      </c>
      <c r="C86" s="1" t="s">
        <v>256</v>
      </c>
      <c r="D86" s="1" t="n">
        <v>126.45</v>
      </c>
      <c r="E86" s="1" t="s">
        <v>14</v>
      </c>
      <c r="F86" s="1" t="s">
        <v>56</v>
      </c>
      <c r="G86" s="1" t="s">
        <v>23</v>
      </c>
      <c r="H86" s="1" t="s">
        <v>17</v>
      </c>
      <c r="I86" s="1" t="s">
        <v>218</v>
      </c>
      <c r="J86" s="1" t="n">
        <v>20</v>
      </c>
      <c r="K86" s="1" t="s">
        <v>219</v>
      </c>
    </row>
    <row r="87" customFormat="false" ht="15" hidden="false" customHeight="true" outlineLevel="0" collapsed="false">
      <c r="A87" s="1" t="s">
        <v>257</v>
      </c>
      <c r="B87" s="1" t="s">
        <v>258</v>
      </c>
      <c r="C87" s="1" t="s">
        <v>259</v>
      </c>
      <c r="D87" s="1" t="n">
        <v>10.24</v>
      </c>
      <c r="E87" s="1" t="s">
        <v>14</v>
      </c>
      <c r="F87" s="1" t="s">
        <v>28</v>
      </c>
      <c r="G87" s="1" t="s">
        <v>36</v>
      </c>
      <c r="H87" s="1" t="s">
        <v>17</v>
      </c>
      <c r="I87" s="1" t="s">
        <v>218</v>
      </c>
      <c r="J87" s="1" t="n">
        <v>21</v>
      </c>
      <c r="K87" s="1" t="s">
        <v>219</v>
      </c>
    </row>
    <row r="88" customFormat="false" ht="15" hidden="false" customHeight="true" outlineLevel="0" collapsed="false">
      <c r="A88" s="1" t="s">
        <v>260</v>
      </c>
      <c r="B88" s="1" t="s">
        <v>245</v>
      </c>
      <c r="C88" s="1" t="s">
        <v>261</v>
      </c>
      <c r="D88" s="1" t="n">
        <v>239.48</v>
      </c>
      <c r="E88" s="1" t="s">
        <v>14</v>
      </c>
      <c r="F88" s="1" t="s">
        <v>15</v>
      </c>
      <c r="G88" s="1" t="s">
        <v>42</v>
      </c>
      <c r="H88" s="1" t="s">
        <v>37</v>
      </c>
      <c r="I88" s="1" t="s">
        <v>262</v>
      </c>
      <c r="J88" s="1" t="n">
        <v>4</v>
      </c>
      <c r="K88" s="1" t="s">
        <v>263</v>
      </c>
    </row>
    <row r="89" customFormat="false" ht="15" hidden="false" customHeight="true" outlineLevel="0" collapsed="false">
      <c r="A89" s="1" t="s">
        <v>264</v>
      </c>
      <c r="B89" s="1" t="s">
        <v>26</v>
      </c>
      <c r="C89" s="1" t="s">
        <v>265</v>
      </c>
      <c r="D89" s="1" t="n">
        <v>56.42</v>
      </c>
      <c r="E89" s="1" t="s">
        <v>14</v>
      </c>
      <c r="F89" s="1" t="s">
        <v>28</v>
      </c>
      <c r="G89" s="1" t="s">
        <v>29</v>
      </c>
      <c r="H89" s="1" t="s">
        <v>24</v>
      </c>
      <c r="I89" s="1" t="s">
        <v>262</v>
      </c>
      <c r="J89" s="1" t="n">
        <v>4</v>
      </c>
      <c r="K89" s="1" t="s">
        <v>263</v>
      </c>
    </row>
    <row r="90" customFormat="false" ht="15" hidden="false" customHeight="true" outlineLevel="0" collapsed="false">
      <c r="A90" s="1" t="s">
        <v>266</v>
      </c>
      <c r="B90" s="1" t="s">
        <v>180</v>
      </c>
      <c r="C90" s="1" t="s">
        <v>267</v>
      </c>
      <c r="D90" s="1" t="n">
        <v>52.55</v>
      </c>
      <c r="E90" s="1" t="s">
        <v>14</v>
      </c>
      <c r="F90" s="1" t="s">
        <v>49</v>
      </c>
      <c r="G90" s="1" t="s">
        <v>86</v>
      </c>
      <c r="H90" s="1" t="s">
        <v>17</v>
      </c>
      <c r="I90" s="1" t="s">
        <v>262</v>
      </c>
      <c r="J90" s="1" t="n">
        <v>7</v>
      </c>
      <c r="K90" s="1" t="s">
        <v>263</v>
      </c>
    </row>
    <row r="91" customFormat="false" ht="15" hidden="false" customHeight="true" outlineLevel="0" collapsed="false">
      <c r="A91" s="1" t="s">
        <v>268</v>
      </c>
      <c r="B91" s="1" t="s">
        <v>93</v>
      </c>
      <c r="C91" s="1" t="s">
        <v>269</v>
      </c>
      <c r="D91" s="1" t="n">
        <v>78.41</v>
      </c>
      <c r="E91" s="1" t="s">
        <v>14</v>
      </c>
      <c r="F91" s="1" t="s">
        <v>28</v>
      </c>
      <c r="G91" s="1" t="s">
        <v>36</v>
      </c>
      <c r="H91" s="1" t="s">
        <v>37</v>
      </c>
      <c r="I91" s="1" t="s">
        <v>262</v>
      </c>
      <c r="J91" s="1" t="n">
        <v>7</v>
      </c>
      <c r="K91" s="1" t="s">
        <v>263</v>
      </c>
    </row>
    <row r="92" customFormat="false" ht="15" hidden="false" customHeight="true" outlineLevel="0" collapsed="false">
      <c r="A92" s="1" t="s">
        <v>270</v>
      </c>
      <c r="B92" s="1" t="s">
        <v>148</v>
      </c>
      <c r="C92" s="1" t="s">
        <v>271</v>
      </c>
      <c r="D92" s="1" t="n">
        <v>87.48</v>
      </c>
      <c r="E92" s="1" t="s">
        <v>14</v>
      </c>
      <c r="F92" s="1" t="s">
        <v>41</v>
      </c>
      <c r="G92" s="1" t="s">
        <v>70</v>
      </c>
      <c r="H92" s="1" t="s">
        <v>37</v>
      </c>
      <c r="I92" s="1" t="s">
        <v>262</v>
      </c>
      <c r="J92" s="1" t="n">
        <v>8</v>
      </c>
      <c r="K92" s="1" t="s">
        <v>263</v>
      </c>
    </row>
    <row r="93" customFormat="false" ht="15" hidden="false" customHeight="true" outlineLevel="0" collapsed="false">
      <c r="A93" s="1" t="s">
        <v>272</v>
      </c>
      <c r="B93" s="1" t="s">
        <v>39</v>
      </c>
      <c r="C93" s="1" t="s">
        <v>273</v>
      </c>
      <c r="D93" s="1" t="n">
        <v>32.35</v>
      </c>
      <c r="E93" s="1" t="s">
        <v>14</v>
      </c>
      <c r="F93" s="1" t="s">
        <v>41</v>
      </c>
      <c r="G93" s="1" t="s">
        <v>86</v>
      </c>
      <c r="H93" s="1" t="s">
        <v>37</v>
      </c>
      <c r="I93" s="1" t="s">
        <v>262</v>
      </c>
      <c r="J93" s="1" t="n">
        <v>10</v>
      </c>
      <c r="K93" s="1" t="s">
        <v>263</v>
      </c>
    </row>
    <row r="94" customFormat="false" ht="15" hidden="false" customHeight="true" outlineLevel="0" collapsed="false">
      <c r="A94" s="1" t="s">
        <v>274</v>
      </c>
      <c r="B94" s="1" t="s">
        <v>98</v>
      </c>
      <c r="C94" s="1" t="s">
        <v>275</v>
      </c>
      <c r="D94" s="1" t="n">
        <v>1000</v>
      </c>
      <c r="E94" s="1" t="s">
        <v>14</v>
      </c>
      <c r="F94" s="1" t="s">
        <v>15</v>
      </c>
      <c r="G94" s="1" t="s">
        <v>23</v>
      </c>
      <c r="H94" s="1" t="s">
        <v>276</v>
      </c>
      <c r="I94" s="1" t="s">
        <v>262</v>
      </c>
      <c r="J94" s="1" t="n">
        <v>12</v>
      </c>
      <c r="K94" s="1" t="s">
        <v>263</v>
      </c>
    </row>
    <row r="95" customFormat="false" ht="15" hidden="false" customHeight="true" outlineLevel="0" collapsed="false">
      <c r="A95" s="1" t="s">
        <v>277</v>
      </c>
      <c r="B95" s="1" t="s">
        <v>98</v>
      </c>
      <c r="C95" s="1" t="s">
        <v>278</v>
      </c>
      <c r="D95" s="1" t="n">
        <v>106.67</v>
      </c>
      <c r="E95" s="1" t="s">
        <v>14</v>
      </c>
      <c r="F95" s="1" t="s">
        <v>15</v>
      </c>
      <c r="G95" s="1" t="s">
        <v>36</v>
      </c>
      <c r="H95" s="1" t="s">
        <v>17</v>
      </c>
      <c r="I95" s="1" t="s">
        <v>262</v>
      </c>
      <c r="J95" s="1" t="n">
        <v>12</v>
      </c>
      <c r="K95" s="1" t="s">
        <v>263</v>
      </c>
    </row>
    <row r="96" customFormat="false" ht="15" hidden="false" customHeight="true" outlineLevel="0" collapsed="false">
      <c r="A96" s="1" t="s">
        <v>279</v>
      </c>
      <c r="B96" s="1" t="s">
        <v>221</v>
      </c>
      <c r="C96" s="1" t="s">
        <v>280</v>
      </c>
      <c r="D96" s="1" t="n">
        <v>210.59</v>
      </c>
      <c r="E96" s="1" t="s">
        <v>14</v>
      </c>
      <c r="F96" s="1" t="s">
        <v>15</v>
      </c>
      <c r="G96" s="1" t="s">
        <v>82</v>
      </c>
      <c r="H96" s="1" t="s">
        <v>17</v>
      </c>
      <c r="I96" s="1" t="s">
        <v>262</v>
      </c>
      <c r="J96" s="1" t="n">
        <v>13</v>
      </c>
      <c r="K96" s="1" t="s">
        <v>263</v>
      </c>
    </row>
    <row r="97" customFormat="false" ht="15" hidden="false" customHeight="true" outlineLevel="0" collapsed="false">
      <c r="A97" s="1" t="s">
        <v>281</v>
      </c>
      <c r="B97" s="1" t="s">
        <v>190</v>
      </c>
      <c r="C97" s="1" t="s">
        <v>282</v>
      </c>
      <c r="D97" s="1" t="n">
        <v>110.78</v>
      </c>
      <c r="E97" s="1" t="s">
        <v>14</v>
      </c>
      <c r="F97" s="1" t="s">
        <v>49</v>
      </c>
      <c r="G97" s="1" t="s">
        <v>86</v>
      </c>
      <c r="H97" s="1" t="s">
        <v>17</v>
      </c>
      <c r="I97" s="1" t="s">
        <v>262</v>
      </c>
      <c r="J97" s="1" t="n">
        <v>14</v>
      </c>
      <c r="K97" s="1" t="s">
        <v>263</v>
      </c>
    </row>
    <row r="98" customFormat="false" ht="15" hidden="false" customHeight="true" outlineLevel="0" collapsed="false">
      <c r="A98" s="1" t="s">
        <v>283</v>
      </c>
      <c r="B98" s="1" t="s">
        <v>90</v>
      </c>
      <c r="C98" s="1" t="s">
        <v>284</v>
      </c>
      <c r="D98" s="1" t="n">
        <v>20.61</v>
      </c>
      <c r="E98" s="1" t="s">
        <v>14</v>
      </c>
      <c r="F98" s="1" t="s">
        <v>41</v>
      </c>
      <c r="G98" s="1" t="s">
        <v>70</v>
      </c>
      <c r="H98" s="1" t="s">
        <v>17</v>
      </c>
      <c r="I98" s="1" t="s">
        <v>262</v>
      </c>
      <c r="J98" s="1" t="n">
        <v>14</v>
      </c>
      <c r="K98" s="1" t="s">
        <v>263</v>
      </c>
    </row>
    <row r="99" customFormat="false" ht="15" hidden="false" customHeight="true" outlineLevel="0" collapsed="false">
      <c r="A99" s="1" t="s">
        <v>285</v>
      </c>
      <c r="B99" s="1" t="s">
        <v>286</v>
      </c>
      <c r="C99" s="1" t="s">
        <v>287</v>
      </c>
      <c r="D99" s="1" t="n">
        <v>139.81</v>
      </c>
      <c r="E99" s="1" t="s">
        <v>14</v>
      </c>
      <c r="F99" s="1" t="s">
        <v>15</v>
      </c>
      <c r="G99" s="1" t="s">
        <v>16</v>
      </c>
      <c r="H99" s="1" t="s">
        <v>24</v>
      </c>
      <c r="I99" s="1" t="s">
        <v>262</v>
      </c>
      <c r="J99" s="1" t="n">
        <v>14</v>
      </c>
      <c r="K99" s="1" t="s">
        <v>263</v>
      </c>
    </row>
    <row r="100" customFormat="false" ht="15" hidden="false" customHeight="true" outlineLevel="0" collapsed="false">
      <c r="A100" s="1" t="s">
        <v>288</v>
      </c>
      <c r="B100" s="1" t="s">
        <v>245</v>
      </c>
      <c r="C100" s="1" t="s">
        <v>289</v>
      </c>
      <c r="D100" s="1" t="n">
        <v>122.41</v>
      </c>
      <c r="E100" s="1" t="s">
        <v>14</v>
      </c>
      <c r="F100" s="1" t="s">
        <v>15</v>
      </c>
      <c r="G100" s="1" t="s">
        <v>86</v>
      </c>
      <c r="H100" s="1" t="s">
        <v>37</v>
      </c>
      <c r="I100" s="1" t="s">
        <v>262</v>
      </c>
      <c r="J100" s="1" t="n">
        <v>15</v>
      </c>
      <c r="K100" s="1" t="s">
        <v>263</v>
      </c>
    </row>
    <row r="101" customFormat="false" ht="15" hidden="false" customHeight="true" outlineLevel="0" collapsed="false">
      <c r="A101" s="1" t="s">
        <v>290</v>
      </c>
      <c r="B101" s="1" t="s">
        <v>291</v>
      </c>
      <c r="C101" s="1" t="s">
        <v>292</v>
      </c>
      <c r="D101" s="1" t="n">
        <v>175.26</v>
      </c>
      <c r="E101" s="1" t="s">
        <v>14</v>
      </c>
      <c r="F101" s="1" t="s">
        <v>28</v>
      </c>
      <c r="G101" s="1" t="s">
        <v>29</v>
      </c>
      <c r="H101" s="1" t="s">
        <v>37</v>
      </c>
      <c r="I101" s="1" t="s">
        <v>262</v>
      </c>
      <c r="J101" s="1" t="n">
        <v>16</v>
      </c>
      <c r="K101" s="1" t="s">
        <v>263</v>
      </c>
    </row>
    <row r="102" customFormat="false" ht="15" hidden="false" customHeight="true" outlineLevel="0" collapsed="false">
      <c r="A102" s="1" t="s">
        <v>293</v>
      </c>
      <c r="B102" s="1" t="s">
        <v>12</v>
      </c>
      <c r="C102" s="1" t="s">
        <v>294</v>
      </c>
      <c r="D102" s="1" t="n">
        <v>2000</v>
      </c>
      <c r="E102" s="1" t="s">
        <v>14</v>
      </c>
      <c r="F102" s="1" t="s">
        <v>15</v>
      </c>
      <c r="G102" s="1" t="s">
        <v>23</v>
      </c>
      <c r="H102" s="1" t="s">
        <v>276</v>
      </c>
      <c r="I102" s="1" t="s">
        <v>262</v>
      </c>
      <c r="J102" s="1" t="n">
        <v>17</v>
      </c>
      <c r="K102" s="1" t="s">
        <v>263</v>
      </c>
    </row>
    <row r="103" customFormat="false" ht="15" hidden="false" customHeight="true" outlineLevel="0" collapsed="false">
      <c r="A103" s="1" t="s">
        <v>295</v>
      </c>
      <c r="B103" s="1" t="s">
        <v>58</v>
      </c>
      <c r="C103" s="1" t="s">
        <v>296</v>
      </c>
      <c r="D103" s="1" t="n">
        <v>43.85</v>
      </c>
      <c r="E103" s="1" t="s">
        <v>14</v>
      </c>
      <c r="F103" s="1" t="s">
        <v>15</v>
      </c>
      <c r="G103" s="1" t="s">
        <v>36</v>
      </c>
      <c r="H103" s="1" t="s">
        <v>17</v>
      </c>
      <c r="I103" s="1" t="s">
        <v>262</v>
      </c>
      <c r="J103" s="1" t="n">
        <v>17</v>
      </c>
      <c r="K103" s="1" t="s">
        <v>263</v>
      </c>
    </row>
    <row r="104" customFormat="false" ht="15" hidden="false" customHeight="true" outlineLevel="0" collapsed="false">
      <c r="A104" s="1" t="s">
        <v>297</v>
      </c>
      <c r="B104" s="1" t="s">
        <v>51</v>
      </c>
      <c r="C104" s="1" t="s">
        <v>298</v>
      </c>
      <c r="D104" s="1" t="n">
        <v>51.43</v>
      </c>
      <c r="E104" s="1" t="s">
        <v>14</v>
      </c>
      <c r="F104" s="1" t="s">
        <v>41</v>
      </c>
      <c r="G104" s="1" t="s">
        <v>29</v>
      </c>
      <c r="H104" s="1" t="s">
        <v>24</v>
      </c>
      <c r="I104" s="1" t="s">
        <v>262</v>
      </c>
      <c r="J104" s="1" t="n">
        <v>17</v>
      </c>
      <c r="K104" s="1" t="s">
        <v>263</v>
      </c>
    </row>
    <row r="105" customFormat="false" ht="15" hidden="false" customHeight="true" outlineLevel="0" collapsed="false">
      <c r="A105" s="1" t="s">
        <v>299</v>
      </c>
      <c r="B105" s="1" t="s">
        <v>145</v>
      </c>
      <c r="C105" s="1" t="s">
        <v>300</v>
      </c>
      <c r="D105" s="1" t="n">
        <v>173.98</v>
      </c>
      <c r="E105" s="1" t="s">
        <v>14</v>
      </c>
      <c r="F105" s="1" t="s">
        <v>15</v>
      </c>
      <c r="G105" s="1" t="s">
        <v>16</v>
      </c>
      <c r="H105" s="1" t="s">
        <v>37</v>
      </c>
      <c r="I105" s="1" t="s">
        <v>262</v>
      </c>
      <c r="J105" s="1" t="n">
        <v>17</v>
      </c>
      <c r="K105" s="1" t="s">
        <v>263</v>
      </c>
    </row>
    <row r="106" customFormat="false" ht="15" hidden="false" customHeight="true" outlineLevel="0" collapsed="false">
      <c r="A106" s="1" t="s">
        <v>301</v>
      </c>
      <c r="B106" s="1" t="s">
        <v>302</v>
      </c>
      <c r="C106" s="1" t="s">
        <v>303</v>
      </c>
      <c r="D106" s="1" t="n">
        <v>49.24</v>
      </c>
      <c r="E106" s="1" t="s">
        <v>14</v>
      </c>
      <c r="F106" s="1" t="s">
        <v>28</v>
      </c>
      <c r="G106" s="1" t="s">
        <v>42</v>
      </c>
      <c r="H106" s="1" t="s">
        <v>37</v>
      </c>
      <c r="I106" s="1" t="s">
        <v>262</v>
      </c>
      <c r="J106" s="1" t="n">
        <v>19</v>
      </c>
      <c r="K106" s="1" t="s">
        <v>263</v>
      </c>
    </row>
    <row r="107" customFormat="false" ht="15" hidden="false" customHeight="true" outlineLevel="0" collapsed="false">
      <c r="A107" s="1" t="s">
        <v>304</v>
      </c>
      <c r="B107" s="1" t="s">
        <v>167</v>
      </c>
      <c r="C107" s="1" t="s">
        <v>305</v>
      </c>
      <c r="D107" s="1" t="n">
        <v>80.39</v>
      </c>
      <c r="E107" s="1" t="s">
        <v>14</v>
      </c>
      <c r="F107" s="1" t="s">
        <v>28</v>
      </c>
      <c r="G107" s="1" t="s">
        <v>70</v>
      </c>
      <c r="H107" s="1" t="s">
        <v>37</v>
      </c>
      <c r="I107" s="1" t="s">
        <v>262</v>
      </c>
      <c r="J107" s="1" t="n">
        <v>20</v>
      </c>
      <c r="K107" s="1" t="s">
        <v>263</v>
      </c>
    </row>
    <row r="108" customFormat="false" ht="15" hidden="false" customHeight="true" outlineLevel="0" collapsed="false">
      <c r="A108" s="1" t="s">
        <v>306</v>
      </c>
      <c r="B108" s="1" t="s">
        <v>307</v>
      </c>
      <c r="C108" s="1" t="s">
        <v>308</v>
      </c>
      <c r="D108" s="1" t="n">
        <v>289.79</v>
      </c>
      <c r="E108" s="1" t="s">
        <v>14</v>
      </c>
      <c r="F108" s="1" t="s">
        <v>15</v>
      </c>
      <c r="G108" s="1" t="s">
        <v>29</v>
      </c>
      <c r="H108" s="1" t="s">
        <v>37</v>
      </c>
      <c r="I108" s="1" t="s">
        <v>262</v>
      </c>
      <c r="J108" s="1" t="n">
        <v>22</v>
      </c>
      <c r="K108" s="1" t="s">
        <v>263</v>
      </c>
    </row>
    <row r="109" customFormat="false" ht="15" hidden="false" customHeight="true" outlineLevel="0" collapsed="false">
      <c r="A109" s="1" t="s">
        <v>309</v>
      </c>
      <c r="B109" s="1" t="s">
        <v>145</v>
      </c>
      <c r="C109" s="1" t="s">
        <v>310</v>
      </c>
      <c r="D109" s="1" t="n">
        <v>246.67</v>
      </c>
      <c r="E109" s="1" t="s">
        <v>14</v>
      </c>
      <c r="F109" s="1" t="s">
        <v>15</v>
      </c>
      <c r="G109" s="1" t="s">
        <v>70</v>
      </c>
      <c r="H109" s="1" t="s">
        <v>24</v>
      </c>
      <c r="I109" s="1" t="s">
        <v>311</v>
      </c>
      <c r="J109" s="1" t="n">
        <v>0</v>
      </c>
      <c r="K109" s="1" t="s">
        <v>19</v>
      </c>
    </row>
    <row r="110" customFormat="false" ht="15" hidden="false" customHeight="true" outlineLevel="0" collapsed="false">
      <c r="A110" s="1" t="s">
        <v>312</v>
      </c>
      <c r="B110" s="1" t="s">
        <v>21</v>
      </c>
      <c r="C110" s="1" t="s">
        <v>313</v>
      </c>
      <c r="D110" s="1" t="n">
        <v>21.89</v>
      </c>
      <c r="E110" s="1" t="s">
        <v>14</v>
      </c>
      <c r="F110" s="1" t="s">
        <v>15</v>
      </c>
      <c r="G110" s="1" t="s">
        <v>70</v>
      </c>
      <c r="H110" s="1" t="s">
        <v>24</v>
      </c>
      <c r="I110" s="1" t="s">
        <v>311</v>
      </c>
      <c r="J110" s="1" t="n">
        <v>0</v>
      </c>
      <c r="K110" s="1" t="s">
        <v>19</v>
      </c>
    </row>
    <row r="111" customFormat="false" ht="15" hidden="false" customHeight="true" outlineLevel="0" collapsed="false">
      <c r="A111" s="1" t="s">
        <v>314</v>
      </c>
      <c r="B111" s="1" t="s">
        <v>72</v>
      </c>
      <c r="C111" s="1" t="s">
        <v>315</v>
      </c>
      <c r="D111" s="1" t="n">
        <v>171.67</v>
      </c>
      <c r="E111" s="1" t="s">
        <v>14</v>
      </c>
      <c r="F111" s="1" t="s">
        <v>49</v>
      </c>
      <c r="G111" s="1" t="s">
        <v>36</v>
      </c>
      <c r="H111" s="1" t="s">
        <v>17</v>
      </c>
      <c r="I111" s="1" t="s">
        <v>311</v>
      </c>
      <c r="J111" s="1" t="n">
        <v>2</v>
      </c>
      <c r="K111" s="1" t="s">
        <v>19</v>
      </c>
    </row>
    <row r="112" customFormat="false" ht="15" hidden="false" customHeight="true" outlineLevel="0" collapsed="false">
      <c r="A112" s="1" t="s">
        <v>316</v>
      </c>
      <c r="B112" s="1" t="s">
        <v>120</v>
      </c>
      <c r="C112" s="1" t="s">
        <v>317</v>
      </c>
      <c r="D112" s="1" t="n">
        <v>203.17</v>
      </c>
      <c r="E112" s="1" t="s">
        <v>14</v>
      </c>
      <c r="F112" s="1" t="s">
        <v>49</v>
      </c>
      <c r="G112" s="1" t="s">
        <v>86</v>
      </c>
      <c r="H112" s="1" t="s">
        <v>37</v>
      </c>
      <c r="I112" s="1" t="s">
        <v>311</v>
      </c>
      <c r="J112" s="1" t="n">
        <v>6</v>
      </c>
      <c r="K112" s="1" t="s">
        <v>19</v>
      </c>
    </row>
    <row r="113" customFormat="false" ht="15" hidden="false" customHeight="true" outlineLevel="0" collapsed="false">
      <c r="A113" s="1" t="s">
        <v>318</v>
      </c>
      <c r="B113" s="1" t="s">
        <v>199</v>
      </c>
      <c r="C113" s="1" t="s">
        <v>319</v>
      </c>
      <c r="D113" s="1" t="n">
        <v>61.16</v>
      </c>
      <c r="E113" s="1" t="s">
        <v>14</v>
      </c>
      <c r="F113" s="1" t="s">
        <v>41</v>
      </c>
      <c r="G113" s="1" t="s">
        <v>16</v>
      </c>
      <c r="H113" s="1" t="s">
        <v>24</v>
      </c>
      <c r="I113" s="1" t="s">
        <v>311</v>
      </c>
      <c r="J113" s="1" t="n">
        <v>6</v>
      </c>
      <c r="K113" s="1" t="s">
        <v>19</v>
      </c>
    </row>
    <row r="114" customFormat="false" ht="15" hidden="false" customHeight="true" outlineLevel="0" collapsed="false">
      <c r="A114" s="1" t="s">
        <v>320</v>
      </c>
      <c r="B114" s="1" t="s">
        <v>321</v>
      </c>
      <c r="C114" s="1" t="s">
        <v>322</v>
      </c>
      <c r="D114" s="1" t="n">
        <v>115.51</v>
      </c>
      <c r="E114" s="1" t="s">
        <v>14</v>
      </c>
      <c r="F114" s="1" t="s">
        <v>15</v>
      </c>
      <c r="G114" s="1" t="s">
        <v>16</v>
      </c>
      <c r="H114" s="1" t="s">
        <v>17</v>
      </c>
      <c r="I114" s="1" t="s">
        <v>311</v>
      </c>
      <c r="J114" s="1" t="n">
        <v>9</v>
      </c>
      <c r="K114" s="1" t="s">
        <v>19</v>
      </c>
    </row>
    <row r="115" customFormat="false" ht="15" hidden="false" customHeight="true" outlineLevel="0" collapsed="false">
      <c r="A115" s="1" t="s">
        <v>323</v>
      </c>
      <c r="B115" s="1" t="s">
        <v>140</v>
      </c>
      <c r="C115" s="1" t="s">
        <v>324</v>
      </c>
      <c r="D115" s="1" t="n">
        <v>111.45</v>
      </c>
      <c r="E115" s="1" t="s">
        <v>14</v>
      </c>
      <c r="F115" s="1" t="s">
        <v>41</v>
      </c>
      <c r="G115" s="1" t="s">
        <v>86</v>
      </c>
      <c r="H115" s="1" t="s">
        <v>17</v>
      </c>
      <c r="I115" s="1" t="s">
        <v>311</v>
      </c>
      <c r="J115" s="1" t="n">
        <v>13</v>
      </c>
      <c r="K115" s="1" t="s">
        <v>19</v>
      </c>
    </row>
    <row r="116" customFormat="false" ht="15" hidden="false" customHeight="true" outlineLevel="0" collapsed="false">
      <c r="A116" s="1" t="s">
        <v>325</v>
      </c>
      <c r="B116" s="1" t="s">
        <v>137</v>
      </c>
      <c r="C116" s="1" t="s">
        <v>326</v>
      </c>
      <c r="D116" s="1" t="n">
        <v>22.99</v>
      </c>
      <c r="E116" s="1" t="s">
        <v>14</v>
      </c>
      <c r="F116" s="1" t="s">
        <v>49</v>
      </c>
      <c r="G116" s="1" t="s">
        <v>70</v>
      </c>
      <c r="H116" s="1" t="s">
        <v>17</v>
      </c>
      <c r="I116" s="1" t="s">
        <v>311</v>
      </c>
      <c r="J116" s="1" t="n">
        <v>15</v>
      </c>
      <c r="K116" s="1" t="s">
        <v>19</v>
      </c>
    </row>
    <row r="117" customFormat="false" ht="15" hidden="false" customHeight="true" outlineLevel="0" collapsed="false">
      <c r="A117" s="1" t="s">
        <v>327</v>
      </c>
      <c r="B117" s="1" t="s">
        <v>125</v>
      </c>
      <c r="C117" s="1" t="s">
        <v>328</v>
      </c>
      <c r="D117" s="1" t="n">
        <v>14.31</v>
      </c>
      <c r="E117" s="1" t="s">
        <v>14</v>
      </c>
      <c r="F117" s="1" t="s">
        <v>28</v>
      </c>
      <c r="G117" s="1" t="s">
        <v>23</v>
      </c>
      <c r="H117" s="1" t="s">
        <v>37</v>
      </c>
      <c r="I117" s="1" t="s">
        <v>311</v>
      </c>
      <c r="J117" s="1" t="n">
        <v>16</v>
      </c>
      <c r="K117" s="1" t="s">
        <v>19</v>
      </c>
    </row>
    <row r="118" customFormat="false" ht="15" hidden="false" customHeight="true" outlineLevel="0" collapsed="false">
      <c r="A118" s="1" t="s">
        <v>329</v>
      </c>
      <c r="B118" s="1" t="s">
        <v>44</v>
      </c>
      <c r="C118" s="1" t="s">
        <v>330</v>
      </c>
      <c r="D118" s="1" t="n">
        <v>51.02</v>
      </c>
      <c r="E118" s="1" t="s">
        <v>14</v>
      </c>
      <c r="F118" s="1" t="s">
        <v>28</v>
      </c>
      <c r="G118" s="1" t="s">
        <v>42</v>
      </c>
      <c r="H118" s="1" t="s">
        <v>17</v>
      </c>
      <c r="I118" s="1" t="s">
        <v>311</v>
      </c>
      <c r="J118" s="1" t="n">
        <v>17</v>
      </c>
      <c r="K118" s="1" t="s">
        <v>19</v>
      </c>
    </row>
    <row r="119" customFormat="false" ht="15" hidden="false" customHeight="true" outlineLevel="0" collapsed="false">
      <c r="A119" s="1" t="s">
        <v>331</v>
      </c>
      <c r="B119" s="1" t="s">
        <v>332</v>
      </c>
      <c r="C119" s="1" t="s">
        <v>333</v>
      </c>
      <c r="D119" s="1" t="n">
        <v>182.66</v>
      </c>
      <c r="E119" s="1" t="s">
        <v>14</v>
      </c>
      <c r="F119" s="1" t="s">
        <v>49</v>
      </c>
      <c r="G119" s="1" t="s">
        <v>86</v>
      </c>
      <c r="H119" s="1" t="s">
        <v>24</v>
      </c>
      <c r="I119" s="1" t="s">
        <v>311</v>
      </c>
      <c r="J119" s="1" t="n">
        <v>20</v>
      </c>
      <c r="K119" s="1" t="s">
        <v>19</v>
      </c>
    </row>
    <row r="120" customFormat="false" ht="15" hidden="false" customHeight="true" outlineLevel="0" collapsed="false">
      <c r="A120" s="1" t="s">
        <v>334</v>
      </c>
      <c r="B120" s="1" t="s">
        <v>190</v>
      </c>
      <c r="C120" s="1" t="s">
        <v>335</v>
      </c>
      <c r="D120" s="1" t="n">
        <v>19.09</v>
      </c>
      <c r="E120" s="1" t="s">
        <v>14</v>
      </c>
      <c r="F120" s="1" t="s">
        <v>49</v>
      </c>
      <c r="G120" s="1" t="s">
        <v>82</v>
      </c>
      <c r="H120" s="1" t="s">
        <v>37</v>
      </c>
      <c r="I120" s="1" t="s">
        <v>311</v>
      </c>
      <c r="J120" s="1" t="n">
        <v>20</v>
      </c>
      <c r="K120" s="1" t="s">
        <v>19</v>
      </c>
    </row>
    <row r="121" customFormat="false" ht="15" hidden="false" customHeight="true" outlineLevel="0" collapsed="false">
      <c r="A121" s="1" t="s">
        <v>336</v>
      </c>
      <c r="B121" s="1" t="s">
        <v>80</v>
      </c>
      <c r="C121" s="1" t="s">
        <v>337</v>
      </c>
      <c r="D121" s="1" t="n">
        <v>47.59</v>
      </c>
      <c r="E121" s="1" t="s">
        <v>14</v>
      </c>
      <c r="F121" s="1" t="s">
        <v>56</v>
      </c>
      <c r="G121" s="1" t="s">
        <v>29</v>
      </c>
      <c r="H121" s="1" t="s">
        <v>24</v>
      </c>
      <c r="I121" s="1" t="s">
        <v>311</v>
      </c>
      <c r="J121" s="1" t="n">
        <v>22</v>
      </c>
      <c r="K121" s="1" t="s">
        <v>19</v>
      </c>
    </row>
    <row r="122" customFormat="false" ht="15" hidden="false" customHeight="true" outlineLevel="0" collapsed="false">
      <c r="A122" s="1" t="s">
        <v>338</v>
      </c>
      <c r="B122" s="1" t="s">
        <v>240</v>
      </c>
      <c r="C122" s="1" t="s">
        <v>339</v>
      </c>
      <c r="D122" s="1" t="n">
        <v>147.45</v>
      </c>
      <c r="E122" s="1" t="s">
        <v>14</v>
      </c>
      <c r="F122" s="1" t="s">
        <v>56</v>
      </c>
      <c r="G122" s="1" t="s">
        <v>86</v>
      </c>
      <c r="H122" s="1" t="s">
        <v>17</v>
      </c>
      <c r="I122" s="1" t="s">
        <v>340</v>
      </c>
      <c r="J122" s="1" t="n">
        <v>4</v>
      </c>
      <c r="K122" s="1" t="s">
        <v>67</v>
      </c>
    </row>
    <row r="123" customFormat="false" ht="15" hidden="false" customHeight="true" outlineLevel="0" collapsed="false">
      <c r="A123" s="1" t="s">
        <v>341</v>
      </c>
      <c r="B123" s="1" t="s">
        <v>199</v>
      </c>
      <c r="C123" s="1" t="s">
        <v>342</v>
      </c>
      <c r="D123" s="1" t="n">
        <v>117.82</v>
      </c>
      <c r="E123" s="1" t="s">
        <v>14</v>
      </c>
      <c r="F123" s="1" t="s">
        <v>41</v>
      </c>
      <c r="G123" s="1" t="s">
        <v>23</v>
      </c>
      <c r="H123" s="1" t="s">
        <v>17</v>
      </c>
      <c r="I123" s="1" t="s">
        <v>340</v>
      </c>
      <c r="J123" s="1" t="n">
        <v>4</v>
      </c>
      <c r="K123" s="1" t="s">
        <v>67</v>
      </c>
    </row>
    <row r="124" customFormat="false" ht="15" hidden="false" customHeight="true" outlineLevel="0" collapsed="false">
      <c r="A124" s="1" t="s">
        <v>343</v>
      </c>
      <c r="B124" s="1" t="s">
        <v>344</v>
      </c>
      <c r="C124" s="1" t="s">
        <v>345</v>
      </c>
      <c r="D124" s="1" t="n">
        <v>36.37</v>
      </c>
      <c r="E124" s="1" t="s">
        <v>14</v>
      </c>
      <c r="F124" s="1" t="s">
        <v>49</v>
      </c>
      <c r="G124" s="1" t="s">
        <v>86</v>
      </c>
      <c r="H124" s="1" t="s">
        <v>17</v>
      </c>
      <c r="I124" s="1" t="s">
        <v>340</v>
      </c>
      <c r="J124" s="1" t="n">
        <v>6</v>
      </c>
      <c r="K124" s="1" t="s">
        <v>67</v>
      </c>
    </row>
    <row r="125" customFormat="false" ht="15" hidden="false" customHeight="true" outlineLevel="0" collapsed="false">
      <c r="A125" s="1" t="s">
        <v>346</v>
      </c>
      <c r="B125" s="1" t="s">
        <v>258</v>
      </c>
      <c r="C125" s="1" t="s">
        <v>347</v>
      </c>
      <c r="D125" s="1" t="n">
        <v>21.07</v>
      </c>
      <c r="E125" s="1" t="s">
        <v>14</v>
      </c>
      <c r="F125" s="1" t="s">
        <v>28</v>
      </c>
      <c r="G125" s="1" t="s">
        <v>86</v>
      </c>
      <c r="H125" s="1" t="s">
        <v>24</v>
      </c>
      <c r="I125" s="1" t="s">
        <v>340</v>
      </c>
      <c r="J125" s="1" t="n">
        <v>7</v>
      </c>
      <c r="K125" s="1" t="s">
        <v>67</v>
      </c>
    </row>
    <row r="126" customFormat="false" ht="15" hidden="false" customHeight="true" outlineLevel="0" collapsed="false">
      <c r="A126" s="1" t="s">
        <v>348</v>
      </c>
      <c r="B126" s="1" t="s">
        <v>216</v>
      </c>
      <c r="C126" s="1" t="s">
        <v>349</v>
      </c>
      <c r="D126" s="1" t="n">
        <v>61.93</v>
      </c>
      <c r="E126" s="1" t="s">
        <v>14</v>
      </c>
      <c r="F126" s="1" t="s">
        <v>49</v>
      </c>
      <c r="G126" s="1" t="s">
        <v>86</v>
      </c>
      <c r="H126" s="1" t="s">
        <v>37</v>
      </c>
      <c r="I126" s="1" t="s">
        <v>340</v>
      </c>
      <c r="J126" s="1" t="n">
        <v>8</v>
      </c>
      <c r="K126" s="1" t="s">
        <v>67</v>
      </c>
    </row>
    <row r="127" customFormat="false" ht="15" hidden="false" customHeight="true" outlineLevel="0" collapsed="false">
      <c r="A127" s="1" t="s">
        <v>350</v>
      </c>
      <c r="B127" s="1" t="s">
        <v>344</v>
      </c>
      <c r="C127" s="1" t="s">
        <v>351</v>
      </c>
      <c r="D127" s="1" t="n">
        <v>69.17</v>
      </c>
      <c r="E127" s="1" t="s">
        <v>14</v>
      </c>
      <c r="F127" s="1" t="s">
        <v>49</v>
      </c>
      <c r="G127" s="1" t="s">
        <v>16</v>
      </c>
      <c r="H127" s="1" t="s">
        <v>24</v>
      </c>
      <c r="I127" s="1" t="s">
        <v>340</v>
      </c>
      <c r="J127" s="1" t="n">
        <v>12</v>
      </c>
      <c r="K127" s="1" t="s">
        <v>67</v>
      </c>
    </row>
    <row r="128" customFormat="false" ht="15" hidden="false" customHeight="true" outlineLevel="0" collapsed="false">
      <c r="A128" s="1" t="s">
        <v>352</v>
      </c>
      <c r="B128" s="1" t="s">
        <v>286</v>
      </c>
      <c r="C128" s="1" t="s">
        <v>353</v>
      </c>
      <c r="D128" s="1" t="n">
        <v>44.05</v>
      </c>
      <c r="E128" s="1" t="s">
        <v>14</v>
      </c>
      <c r="F128" s="1" t="s">
        <v>15</v>
      </c>
      <c r="G128" s="1" t="s">
        <v>70</v>
      </c>
      <c r="H128" s="1" t="s">
        <v>37</v>
      </c>
      <c r="I128" s="1" t="s">
        <v>340</v>
      </c>
      <c r="J128" s="1" t="n">
        <v>13</v>
      </c>
      <c r="K128" s="1" t="s">
        <v>67</v>
      </c>
    </row>
    <row r="129" customFormat="false" ht="15" hidden="false" customHeight="true" outlineLevel="0" collapsed="false">
      <c r="A129" s="1" t="s">
        <v>354</v>
      </c>
      <c r="B129" s="1" t="s">
        <v>51</v>
      </c>
      <c r="C129" s="1" t="s">
        <v>355</v>
      </c>
      <c r="D129" s="1" t="n">
        <v>57.75</v>
      </c>
      <c r="E129" s="1" t="s">
        <v>14</v>
      </c>
      <c r="F129" s="1" t="s">
        <v>41</v>
      </c>
      <c r="G129" s="1" t="s">
        <v>42</v>
      </c>
      <c r="H129" s="1" t="s">
        <v>37</v>
      </c>
      <c r="I129" s="1" t="s">
        <v>340</v>
      </c>
      <c r="J129" s="1" t="n">
        <v>15</v>
      </c>
      <c r="K129" s="1" t="s">
        <v>67</v>
      </c>
    </row>
    <row r="130" customFormat="false" ht="15" hidden="false" customHeight="true" outlineLevel="0" collapsed="false">
      <c r="A130" s="1" t="s">
        <v>356</v>
      </c>
      <c r="B130" s="1" t="s">
        <v>26</v>
      </c>
      <c r="C130" s="1" t="s">
        <v>357</v>
      </c>
      <c r="D130" s="1" t="n">
        <v>168.66</v>
      </c>
      <c r="E130" s="1" t="s">
        <v>14</v>
      </c>
      <c r="F130" s="1" t="s">
        <v>28</v>
      </c>
      <c r="G130" s="1" t="s">
        <v>29</v>
      </c>
      <c r="H130" s="1" t="s">
        <v>24</v>
      </c>
      <c r="I130" s="1" t="s">
        <v>340</v>
      </c>
      <c r="J130" s="1" t="n">
        <v>18</v>
      </c>
      <c r="K130" s="1" t="s">
        <v>67</v>
      </c>
    </row>
    <row r="131" customFormat="false" ht="15" hidden="false" customHeight="true" outlineLevel="0" collapsed="false">
      <c r="A131" s="1" t="s">
        <v>358</v>
      </c>
      <c r="B131" s="1" t="s">
        <v>170</v>
      </c>
      <c r="C131" s="1" t="s">
        <v>359</v>
      </c>
      <c r="D131" s="1" t="n">
        <v>139.73</v>
      </c>
      <c r="E131" s="1" t="s">
        <v>14</v>
      </c>
      <c r="F131" s="1" t="s">
        <v>41</v>
      </c>
      <c r="G131" s="1" t="s">
        <v>82</v>
      </c>
      <c r="H131" s="1" t="s">
        <v>17</v>
      </c>
      <c r="I131" s="1" t="s">
        <v>340</v>
      </c>
      <c r="J131" s="1" t="n">
        <v>22</v>
      </c>
      <c r="K131" s="1" t="s">
        <v>67</v>
      </c>
    </row>
    <row r="132" customFormat="false" ht="15" hidden="false" customHeight="true" outlineLevel="0" collapsed="false">
      <c r="A132" s="1" t="s">
        <v>360</v>
      </c>
      <c r="B132" s="1" t="s">
        <v>286</v>
      </c>
      <c r="C132" s="1" t="s">
        <v>361</v>
      </c>
      <c r="D132" s="1" t="n">
        <v>70.86</v>
      </c>
      <c r="E132" s="1" t="s">
        <v>14</v>
      </c>
      <c r="F132" s="1" t="s">
        <v>15</v>
      </c>
      <c r="G132" s="1" t="s">
        <v>36</v>
      </c>
      <c r="H132" s="1" t="s">
        <v>24</v>
      </c>
      <c r="I132" s="1" t="s">
        <v>340</v>
      </c>
      <c r="J132" s="1" t="n">
        <v>22</v>
      </c>
      <c r="K132" s="1" t="s">
        <v>67</v>
      </c>
    </row>
    <row r="133" customFormat="false" ht="15" hidden="false" customHeight="true" outlineLevel="0" collapsed="false">
      <c r="A133" s="1" t="s">
        <v>362</v>
      </c>
      <c r="B133" s="1" t="s">
        <v>332</v>
      </c>
      <c r="C133" s="1" t="s">
        <v>363</v>
      </c>
      <c r="D133" s="1" t="n">
        <v>1065.28</v>
      </c>
      <c r="E133" s="1" t="s">
        <v>14</v>
      </c>
      <c r="F133" s="1" t="s">
        <v>49</v>
      </c>
      <c r="G133" s="1" t="s">
        <v>16</v>
      </c>
      <c r="H133" s="1" t="s">
        <v>17</v>
      </c>
      <c r="I133" s="1" t="s">
        <v>364</v>
      </c>
      <c r="J133" s="1" t="n">
        <v>2</v>
      </c>
      <c r="K133" s="1" t="s">
        <v>123</v>
      </c>
    </row>
    <row r="134" customFormat="false" ht="15" hidden="false" customHeight="true" outlineLevel="0" collapsed="false">
      <c r="A134" s="1" t="s">
        <v>365</v>
      </c>
      <c r="B134" s="1" t="s">
        <v>113</v>
      </c>
      <c r="C134" s="1" t="s">
        <v>366</v>
      </c>
      <c r="D134" s="1" t="n">
        <v>139.89</v>
      </c>
      <c r="E134" s="1" t="s">
        <v>14</v>
      </c>
      <c r="F134" s="1" t="s">
        <v>41</v>
      </c>
      <c r="G134" s="1" t="s">
        <v>86</v>
      </c>
      <c r="H134" s="1" t="s">
        <v>24</v>
      </c>
      <c r="I134" s="1" t="s">
        <v>364</v>
      </c>
      <c r="J134" s="1" t="n">
        <v>6</v>
      </c>
      <c r="K134" s="1" t="s">
        <v>123</v>
      </c>
    </row>
    <row r="135" customFormat="false" ht="15" hidden="false" customHeight="true" outlineLevel="0" collapsed="false">
      <c r="A135" s="1" t="s">
        <v>367</v>
      </c>
      <c r="B135" s="1" t="s">
        <v>98</v>
      </c>
      <c r="C135" s="1" t="s">
        <v>368</v>
      </c>
      <c r="D135" s="1" t="n">
        <v>120.41</v>
      </c>
      <c r="E135" s="1" t="s">
        <v>14</v>
      </c>
      <c r="F135" s="1" t="s">
        <v>15</v>
      </c>
      <c r="G135" s="1" t="s">
        <v>86</v>
      </c>
      <c r="H135" s="1" t="s">
        <v>17</v>
      </c>
      <c r="I135" s="1" t="s">
        <v>364</v>
      </c>
      <c r="J135" s="1" t="n">
        <v>6</v>
      </c>
      <c r="K135" s="1" t="s">
        <v>123</v>
      </c>
    </row>
    <row r="136" customFormat="false" ht="15" hidden="false" customHeight="true" outlineLevel="0" collapsed="false">
      <c r="A136" s="1" t="s">
        <v>369</v>
      </c>
      <c r="B136" s="1" t="s">
        <v>321</v>
      </c>
      <c r="C136" s="1" t="s">
        <v>370</v>
      </c>
      <c r="D136" s="1" t="n">
        <v>138.6</v>
      </c>
      <c r="E136" s="1" t="s">
        <v>14</v>
      </c>
      <c r="F136" s="1" t="s">
        <v>15</v>
      </c>
      <c r="G136" s="1" t="s">
        <v>86</v>
      </c>
      <c r="H136" s="1" t="s">
        <v>37</v>
      </c>
      <c r="I136" s="1" t="s">
        <v>364</v>
      </c>
      <c r="J136" s="1" t="n">
        <v>6</v>
      </c>
      <c r="K136" s="1" t="s">
        <v>123</v>
      </c>
    </row>
    <row r="137" customFormat="false" ht="15" hidden="false" customHeight="true" outlineLevel="0" collapsed="false">
      <c r="A137" s="1" t="s">
        <v>371</v>
      </c>
      <c r="B137" s="1" t="s">
        <v>125</v>
      </c>
      <c r="C137" s="1" t="s">
        <v>372</v>
      </c>
      <c r="D137" s="1" t="n">
        <v>12.72</v>
      </c>
      <c r="E137" s="1" t="s">
        <v>14</v>
      </c>
      <c r="F137" s="1" t="s">
        <v>28</v>
      </c>
      <c r="G137" s="1" t="s">
        <v>36</v>
      </c>
      <c r="H137" s="1" t="s">
        <v>17</v>
      </c>
      <c r="I137" s="1" t="s">
        <v>364</v>
      </c>
      <c r="J137" s="1" t="n">
        <v>7</v>
      </c>
      <c r="K137" s="1" t="s">
        <v>123</v>
      </c>
    </row>
    <row r="138" customFormat="false" ht="15" hidden="false" customHeight="true" outlineLevel="0" collapsed="false">
      <c r="A138" s="1" t="s">
        <v>373</v>
      </c>
      <c r="B138" s="1" t="s">
        <v>190</v>
      </c>
      <c r="C138" s="1" t="s">
        <v>374</v>
      </c>
      <c r="D138" s="1" t="n">
        <v>33.83</v>
      </c>
      <c r="E138" s="1" t="s">
        <v>14</v>
      </c>
      <c r="F138" s="1" t="s">
        <v>49</v>
      </c>
      <c r="G138" s="1" t="s">
        <v>82</v>
      </c>
      <c r="H138" s="1" t="s">
        <v>17</v>
      </c>
      <c r="I138" s="1" t="s">
        <v>364</v>
      </c>
      <c r="J138" s="1" t="n">
        <v>8</v>
      </c>
      <c r="K138" s="1" t="s">
        <v>123</v>
      </c>
    </row>
    <row r="139" customFormat="false" ht="15" hidden="false" customHeight="true" outlineLevel="0" collapsed="false">
      <c r="A139" s="1" t="s">
        <v>375</v>
      </c>
      <c r="B139" s="1" t="s">
        <v>216</v>
      </c>
      <c r="C139" s="1" t="s">
        <v>376</v>
      </c>
      <c r="D139" s="1" t="n">
        <v>119.72</v>
      </c>
      <c r="E139" s="1" t="s">
        <v>14</v>
      </c>
      <c r="F139" s="1" t="s">
        <v>49</v>
      </c>
      <c r="G139" s="1" t="s">
        <v>16</v>
      </c>
      <c r="H139" s="1" t="s">
        <v>37</v>
      </c>
      <c r="I139" s="1" t="s">
        <v>364</v>
      </c>
      <c r="J139" s="1" t="n">
        <v>9</v>
      </c>
      <c r="K139" s="1" t="s">
        <v>123</v>
      </c>
    </row>
    <row r="140" customFormat="false" ht="15" hidden="false" customHeight="true" outlineLevel="0" collapsed="false">
      <c r="A140" s="1" t="s">
        <v>377</v>
      </c>
      <c r="B140" s="1" t="s">
        <v>162</v>
      </c>
      <c r="C140" s="1" t="s">
        <v>378</v>
      </c>
      <c r="D140" s="1" t="n">
        <v>89.5</v>
      </c>
      <c r="E140" s="1" t="s">
        <v>14</v>
      </c>
      <c r="F140" s="1" t="s">
        <v>49</v>
      </c>
      <c r="G140" s="1" t="s">
        <v>86</v>
      </c>
      <c r="H140" s="1" t="s">
        <v>17</v>
      </c>
      <c r="I140" s="1" t="s">
        <v>364</v>
      </c>
      <c r="J140" s="1" t="n">
        <v>11</v>
      </c>
      <c r="K140" s="1" t="s">
        <v>123</v>
      </c>
    </row>
    <row r="141" customFormat="false" ht="15" hidden="false" customHeight="true" outlineLevel="0" collapsed="false">
      <c r="A141" s="1" t="s">
        <v>379</v>
      </c>
      <c r="B141" s="1" t="s">
        <v>286</v>
      </c>
      <c r="C141" s="1" t="s">
        <v>380</v>
      </c>
      <c r="D141" s="1" t="n">
        <v>38.8</v>
      </c>
      <c r="E141" s="1" t="s">
        <v>14</v>
      </c>
      <c r="F141" s="1" t="s">
        <v>15</v>
      </c>
      <c r="G141" s="1" t="s">
        <v>86</v>
      </c>
      <c r="H141" s="1" t="s">
        <v>24</v>
      </c>
      <c r="I141" s="1" t="s">
        <v>364</v>
      </c>
      <c r="J141" s="1" t="n">
        <v>12</v>
      </c>
      <c r="K141" s="1" t="s">
        <v>123</v>
      </c>
    </row>
    <row r="142" customFormat="false" ht="15" hidden="false" customHeight="true" outlineLevel="0" collapsed="false">
      <c r="A142" s="1" t="s">
        <v>381</v>
      </c>
      <c r="B142" s="1" t="s">
        <v>98</v>
      </c>
      <c r="C142" s="1" t="s">
        <v>382</v>
      </c>
      <c r="D142" s="1" t="n">
        <v>36.16</v>
      </c>
      <c r="E142" s="1" t="s">
        <v>14</v>
      </c>
      <c r="F142" s="1" t="s">
        <v>15</v>
      </c>
      <c r="G142" s="1" t="s">
        <v>42</v>
      </c>
      <c r="H142" s="1" t="s">
        <v>24</v>
      </c>
      <c r="I142" s="1" t="s">
        <v>364</v>
      </c>
      <c r="J142" s="1" t="n">
        <v>13</v>
      </c>
      <c r="K142" s="1" t="s">
        <v>123</v>
      </c>
    </row>
    <row r="143" customFormat="false" ht="15" hidden="false" customHeight="true" outlineLevel="0" collapsed="false">
      <c r="A143" s="1" t="s">
        <v>383</v>
      </c>
      <c r="B143" s="1" t="s">
        <v>106</v>
      </c>
      <c r="C143" s="1" t="s">
        <v>384</v>
      </c>
      <c r="D143" s="1" t="n">
        <v>28.79</v>
      </c>
      <c r="E143" s="1" t="s">
        <v>14</v>
      </c>
      <c r="F143" s="1" t="s">
        <v>15</v>
      </c>
      <c r="G143" s="1" t="s">
        <v>29</v>
      </c>
      <c r="H143" s="1" t="s">
        <v>37</v>
      </c>
      <c r="I143" s="1" t="s">
        <v>364</v>
      </c>
      <c r="J143" s="1" t="n">
        <v>14</v>
      </c>
      <c r="K143" s="1" t="s">
        <v>123</v>
      </c>
    </row>
    <row r="144" customFormat="false" ht="15" hidden="false" customHeight="true" outlineLevel="0" collapsed="false">
      <c r="A144" s="1" t="s">
        <v>385</v>
      </c>
      <c r="B144" s="1" t="s">
        <v>228</v>
      </c>
      <c r="C144" s="1" t="s">
        <v>386</v>
      </c>
      <c r="D144" s="1" t="n">
        <v>26.6</v>
      </c>
      <c r="E144" s="1" t="s">
        <v>14</v>
      </c>
      <c r="F144" s="1" t="s">
        <v>28</v>
      </c>
      <c r="G144" s="1" t="s">
        <v>42</v>
      </c>
      <c r="H144" s="1" t="s">
        <v>37</v>
      </c>
      <c r="I144" s="1" t="s">
        <v>364</v>
      </c>
      <c r="J144" s="1" t="n">
        <v>15</v>
      </c>
      <c r="K144" s="1" t="s">
        <v>123</v>
      </c>
    </row>
    <row r="145" customFormat="false" ht="15" hidden="false" customHeight="true" outlineLevel="0" collapsed="false">
      <c r="A145" s="1" t="s">
        <v>387</v>
      </c>
      <c r="B145" s="1" t="s">
        <v>190</v>
      </c>
      <c r="C145" s="1" t="s">
        <v>388</v>
      </c>
      <c r="D145" s="1" t="n">
        <v>49.78</v>
      </c>
      <c r="E145" s="1" t="s">
        <v>14</v>
      </c>
      <c r="F145" s="1" t="s">
        <v>49</v>
      </c>
      <c r="G145" s="1" t="s">
        <v>86</v>
      </c>
      <c r="H145" s="1" t="s">
        <v>24</v>
      </c>
      <c r="I145" s="1" t="s">
        <v>364</v>
      </c>
      <c r="J145" s="1" t="n">
        <v>15</v>
      </c>
      <c r="K145" s="1" t="s">
        <v>123</v>
      </c>
    </row>
    <row r="146" customFormat="false" ht="15" hidden="false" customHeight="true" outlineLevel="0" collapsed="false">
      <c r="A146" s="1" t="s">
        <v>389</v>
      </c>
      <c r="B146" s="1" t="s">
        <v>44</v>
      </c>
      <c r="C146" s="1" t="s">
        <v>390</v>
      </c>
      <c r="D146" s="1" t="n">
        <v>230.01</v>
      </c>
      <c r="E146" s="1" t="s">
        <v>14</v>
      </c>
      <c r="F146" s="1" t="s">
        <v>28</v>
      </c>
      <c r="G146" s="1" t="s">
        <v>70</v>
      </c>
      <c r="H146" s="1" t="s">
        <v>17</v>
      </c>
      <c r="I146" s="1" t="s">
        <v>364</v>
      </c>
      <c r="J146" s="1" t="n">
        <v>17</v>
      </c>
      <c r="K146" s="1" t="s">
        <v>123</v>
      </c>
    </row>
    <row r="147" customFormat="false" ht="15" hidden="false" customHeight="true" outlineLevel="0" collapsed="false">
      <c r="A147" s="1" t="s">
        <v>391</v>
      </c>
      <c r="B147" s="1" t="s">
        <v>26</v>
      </c>
      <c r="C147" s="1" t="s">
        <v>392</v>
      </c>
      <c r="D147" s="1" t="n">
        <v>138.56</v>
      </c>
      <c r="E147" s="1" t="s">
        <v>14</v>
      </c>
      <c r="F147" s="1" t="s">
        <v>28</v>
      </c>
      <c r="G147" s="1" t="s">
        <v>36</v>
      </c>
      <c r="H147" s="1" t="s">
        <v>17</v>
      </c>
      <c r="I147" s="1" t="s">
        <v>364</v>
      </c>
      <c r="J147" s="1" t="n">
        <v>21</v>
      </c>
      <c r="K147" s="1" t="s">
        <v>123</v>
      </c>
    </row>
    <row r="148" customFormat="false" ht="15" hidden="false" customHeight="true" outlineLevel="0" collapsed="false">
      <c r="A148" s="1" t="s">
        <v>393</v>
      </c>
      <c r="B148" s="1" t="s">
        <v>394</v>
      </c>
      <c r="C148" s="1" t="s">
        <v>395</v>
      </c>
      <c r="D148" s="1" t="n">
        <v>143.34</v>
      </c>
      <c r="E148" s="1" t="s">
        <v>14</v>
      </c>
      <c r="F148" s="1" t="s">
        <v>56</v>
      </c>
      <c r="G148" s="1" t="s">
        <v>36</v>
      </c>
      <c r="H148" s="1" t="s">
        <v>24</v>
      </c>
      <c r="I148" s="1" t="s">
        <v>396</v>
      </c>
      <c r="J148" s="1" t="n">
        <v>4</v>
      </c>
      <c r="K148" s="1" t="s">
        <v>151</v>
      </c>
    </row>
    <row r="149" customFormat="false" ht="15" hidden="false" customHeight="true" outlineLevel="0" collapsed="false">
      <c r="A149" s="1" t="s">
        <v>397</v>
      </c>
      <c r="B149" s="1" t="s">
        <v>394</v>
      </c>
      <c r="C149" s="1" t="s">
        <v>398</v>
      </c>
      <c r="D149" s="1" t="n">
        <v>71.46</v>
      </c>
      <c r="E149" s="1" t="s">
        <v>14</v>
      </c>
      <c r="F149" s="1" t="s">
        <v>56</v>
      </c>
      <c r="G149" s="1" t="s">
        <v>82</v>
      </c>
      <c r="H149" s="1" t="s">
        <v>37</v>
      </c>
      <c r="I149" s="1" t="s">
        <v>396</v>
      </c>
      <c r="J149" s="1" t="n">
        <v>6</v>
      </c>
      <c r="K149" s="1" t="s">
        <v>151</v>
      </c>
    </row>
    <row r="150" customFormat="false" ht="15" hidden="false" customHeight="true" outlineLevel="0" collapsed="false">
      <c r="A150" s="1" t="s">
        <v>399</v>
      </c>
      <c r="B150" s="1" t="s">
        <v>148</v>
      </c>
      <c r="C150" s="1" t="s">
        <v>398</v>
      </c>
      <c r="D150" s="1" t="n">
        <v>57.68</v>
      </c>
      <c r="E150" s="1" t="s">
        <v>14</v>
      </c>
      <c r="F150" s="1" t="s">
        <v>41</v>
      </c>
      <c r="G150" s="1" t="s">
        <v>23</v>
      </c>
      <c r="H150" s="1" t="s">
        <v>17</v>
      </c>
      <c r="I150" s="1" t="s">
        <v>396</v>
      </c>
      <c r="J150" s="1" t="n">
        <v>6</v>
      </c>
      <c r="K150" s="1" t="s">
        <v>151</v>
      </c>
    </row>
    <row r="151" customFormat="false" ht="15" hidden="false" customHeight="true" outlineLevel="0" collapsed="false">
      <c r="A151" s="1" t="s">
        <v>400</v>
      </c>
      <c r="B151" s="1" t="s">
        <v>302</v>
      </c>
      <c r="C151" s="1" t="s">
        <v>401</v>
      </c>
      <c r="D151" s="1" t="n">
        <v>199.71</v>
      </c>
      <c r="E151" s="1" t="s">
        <v>14</v>
      </c>
      <c r="F151" s="1" t="s">
        <v>28</v>
      </c>
      <c r="G151" s="1" t="s">
        <v>29</v>
      </c>
      <c r="H151" s="1" t="s">
        <v>37</v>
      </c>
      <c r="I151" s="1" t="s">
        <v>396</v>
      </c>
      <c r="J151" s="1" t="n">
        <v>6</v>
      </c>
      <c r="K151" s="1" t="s">
        <v>151</v>
      </c>
    </row>
    <row r="152" customFormat="false" ht="15" hidden="false" customHeight="true" outlineLevel="0" collapsed="false">
      <c r="A152" s="1" t="s">
        <v>402</v>
      </c>
      <c r="B152" s="1" t="s">
        <v>12</v>
      </c>
      <c r="C152" s="1" t="s">
        <v>403</v>
      </c>
      <c r="D152" s="1" t="n">
        <v>577.02</v>
      </c>
      <c r="E152" s="1" t="s">
        <v>14</v>
      </c>
      <c r="F152" s="1" t="s">
        <v>15</v>
      </c>
      <c r="G152" s="1" t="s">
        <v>42</v>
      </c>
      <c r="H152" s="1" t="s">
        <v>24</v>
      </c>
      <c r="I152" s="1" t="s">
        <v>396</v>
      </c>
      <c r="J152" s="1" t="n">
        <v>8</v>
      </c>
      <c r="K152" s="1" t="s">
        <v>151</v>
      </c>
    </row>
    <row r="153" customFormat="false" ht="15" hidden="false" customHeight="true" outlineLevel="0" collapsed="false">
      <c r="A153" s="1" t="s">
        <v>404</v>
      </c>
      <c r="B153" s="1" t="s">
        <v>155</v>
      </c>
      <c r="C153" s="1" t="s">
        <v>405</v>
      </c>
      <c r="D153" s="1" t="n">
        <v>123.19</v>
      </c>
      <c r="E153" s="1" t="s">
        <v>14</v>
      </c>
      <c r="F153" s="1" t="s">
        <v>41</v>
      </c>
      <c r="G153" s="1" t="s">
        <v>82</v>
      </c>
      <c r="H153" s="1" t="s">
        <v>24</v>
      </c>
      <c r="I153" s="1" t="s">
        <v>396</v>
      </c>
      <c r="J153" s="1" t="n">
        <v>8</v>
      </c>
      <c r="K153" s="1" t="s">
        <v>151</v>
      </c>
    </row>
    <row r="154" customFormat="false" ht="15" hidden="false" customHeight="true" outlineLevel="0" collapsed="false">
      <c r="A154" s="1" t="s">
        <v>406</v>
      </c>
      <c r="B154" s="1" t="s">
        <v>113</v>
      </c>
      <c r="C154" s="1" t="s">
        <v>407</v>
      </c>
      <c r="D154" s="1" t="n">
        <v>58.56</v>
      </c>
      <c r="E154" s="1" t="s">
        <v>14</v>
      </c>
      <c r="F154" s="1" t="s">
        <v>41</v>
      </c>
      <c r="G154" s="1" t="s">
        <v>70</v>
      </c>
      <c r="H154" s="1" t="s">
        <v>24</v>
      </c>
      <c r="I154" s="1" t="s">
        <v>396</v>
      </c>
      <c r="J154" s="1" t="n">
        <v>8</v>
      </c>
      <c r="K154" s="1" t="s">
        <v>151</v>
      </c>
    </row>
    <row r="155" customFormat="false" ht="15" hidden="false" customHeight="true" outlineLevel="0" collapsed="false">
      <c r="A155" s="1" t="s">
        <v>408</v>
      </c>
      <c r="B155" s="1" t="s">
        <v>12</v>
      </c>
      <c r="C155" s="1" t="s">
        <v>409</v>
      </c>
      <c r="D155" s="1" t="n">
        <v>1778.57</v>
      </c>
      <c r="E155" s="1" t="s">
        <v>14</v>
      </c>
      <c r="F155" s="1" t="s">
        <v>410</v>
      </c>
      <c r="G155" s="1" t="s">
        <v>82</v>
      </c>
      <c r="H155" s="1" t="s">
        <v>17</v>
      </c>
      <c r="I155" s="1" t="s">
        <v>396</v>
      </c>
      <c r="J155" s="1" t="n">
        <v>10</v>
      </c>
      <c r="K155" s="1" t="s">
        <v>151</v>
      </c>
    </row>
    <row r="156" customFormat="false" ht="15" hidden="false" customHeight="true" outlineLevel="0" collapsed="false">
      <c r="A156" s="1" t="s">
        <v>411</v>
      </c>
      <c r="B156" s="1" t="s">
        <v>190</v>
      </c>
      <c r="C156" s="1" t="s">
        <v>412</v>
      </c>
      <c r="D156" s="1" t="n">
        <v>85.89</v>
      </c>
      <c r="E156" s="1" t="s">
        <v>14</v>
      </c>
      <c r="F156" s="1" t="s">
        <v>49</v>
      </c>
      <c r="G156" s="1" t="s">
        <v>36</v>
      </c>
      <c r="H156" s="1" t="s">
        <v>24</v>
      </c>
      <c r="I156" s="1" t="s">
        <v>396</v>
      </c>
      <c r="J156" s="1" t="n">
        <v>10</v>
      </c>
      <c r="K156" s="1" t="s">
        <v>151</v>
      </c>
    </row>
    <row r="157" customFormat="false" ht="15" hidden="false" customHeight="true" outlineLevel="0" collapsed="false">
      <c r="A157" s="1" t="s">
        <v>413</v>
      </c>
      <c r="B157" s="1" t="s">
        <v>321</v>
      </c>
      <c r="C157" s="1" t="s">
        <v>414</v>
      </c>
      <c r="D157" s="1" t="n">
        <v>109.11</v>
      </c>
      <c r="E157" s="1" t="s">
        <v>14</v>
      </c>
      <c r="F157" s="1" t="s">
        <v>15</v>
      </c>
      <c r="G157" s="1" t="s">
        <v>42</v>
      </c>
      <c r="H157" s="1" t="s">
        <v>24</v>
      </c>
      <c r="I157" s="1" t="s">
        <v>396</v>
      </c>
      <c r="J157" s="1" t="n">
        <v>12</v>
      </c>
      <c r="K157" s="1" t="s">
        <v>151</v>
      </c>
    </row>
    <row r="158" customFormat="false" ht="15" hidden="false" customHeight="true" outlineLevel="0" collapsed="false">
      <c r="A158" s="1" t="s">
        <v>415</v>
      </c>
      <c r="B158" s="1" t="s">
        <v>54</v>
      </c>
      <c r="C158" s="1" t="s">
        <v>416</v>
      </c>
      <c r="D158" s="1" t="n">
        <v>24.13</v>
      </c>
      <c r="E158" s="1" t="s">
        <v>14</v>
      </c>
      <c r="F158" s="1" t="s">
        <v>56</v>
      </c>
      <c r="G158" s="1" t="s">
        <v>42</v>
      </c>
      <c r="H158" s="1" t="s">
        <v>24</v>
      </c>
      <c r="I158" s="1" t="s">
        <v>396</v>
      </c>
      <c r="J158" s="1" t="n">
        <v>12</v>
      </c>
      <c r="K158" s="1" t="s">
        <v>151</v>
      </c>
    </row>
    <row r="159" customFormat="false" ht="15" hidden="false" customHeight="true" outlineLevel="0" collapsed="false">
      <c r="A159" s="1" t="s">
        <v>417</v>
      </c>
      <c r="B159" s="1" t="s">
        <v>155</v>
      </c>
      <c r="C159" s="1" t="s">
        <v>418</v>
      </c>
      <c r="D159" s="1" t="n">
        <v>215.92</v>
      </c>
      <c r="E159" s="1" t="s">
        <v>14</v>
      </c>
      <c r="F159" s="1" t="s">
        <v>41</v>
      </c>
      <c r="G159" s="1" t="s">
        <v>82</v>
      </c>
      <c r="H159" s="1" t="s">
        <v>37</v>
      </c>
      <c r="I159" s="1" t="s">
        <v>396</v>
      </c>
      <c r="J159" s="1" t="n">
        <v>13</v>
      </c>
      <c r="K159" s="1" t="s">
        <v>151</v>
      </c>
    </row>
    <row r="160" customFormat="false" ht="15" hidden="false" customHeight="true" outlineLevel="0" collapsed="false">
      <c r="A160" s="1" t="s">
        <v>419</v>
      </c>
      <c r="B160" s="1" t="s">
        <v>140</v>
      </c>
      <c r="C160" s="1" t="s">
        <v>420</v>
      </c>
      <c r="D160" s="1" t="n">
        <v>14.95</v>
      </c>
      <c r="E160" s="1" t="s">
        <v>14</v>
      </c>
      <c r="F160" s="1" t="s">
        <v>41</v>
      </c>
      <c r="G160" s="1" t="s">
        <v>42</v>
      </c>
      <c r="H160" s="1" t="s">
        <v>24</v>
      </c>
      <c r="I160" s="1" t="s">
        <v>396</v>
      </c>
      <c r="J160" s="1" t="n">
        <v>14</v>
      </c>
      <c r="K160" s="1" t="s">
        <v>151</v>
      </c>
    </row>
    <row r="161" customFormat="false" ht="15" hidden="false" customHeight="true" outlineLevel="0" collapsed="false">
      <c r="A161" s="1" t="s">
        <v>421</v>
      </c>
      <c r="B161" s="1" t="s">
        <v>302</v>
      </c>
      <c r="C161" s="1" t="s">
        <v>422</v>
      </c>
      <c r="D161" s="1" t="n">
        <v>154.61</v>
      </c>
      <c r="E161" s="1" t="s">
        <v>14</v>
      </c>
      <c r="F161" s="1" t="s">
        <v>28</v>
      </c>
      <c r="G161" s="1" t="s">
        <v>36</v>
      </c>
      <c r="H161" s="1" t="s">
        <v>37</v>
      </c>
      <c r="I161" s="1" t="s">
        <v>396</v>
      </c>
      <c r="J161" s="1" t="n">
        <v>22</v>
      </c>
      <c r="K161" s="1" t="s">
        <v>151</v>
      </c>
    </row>
    <row r="162" customFormat="false" ht="15" hidden="false" customHeight="true" outlineLevel="0" collapsed="false">
      <c r="A162" s="1" t="s">
        <v>423</v>
      </c>
      <c r="B162" s="1" t="s">
        <v>39</v>
      </c>
      <c r="C162" s="1" t="s">
        <v>424</v>
      </c>
      <c r="D162" s="1" t="n">
        <v>26.75</v>
      </c>
      <c r="E162" s="1" t="s">
        <v>14</v>
      </c>
      <c r="F162" s="1" t="s">
        <v>41</v>
      </c>
      <c r="G162" s="1" t="s">
        <v>36</v>
      </c>
      <c r="H162" s="1" t="s">
        <v>24</v>
      </c>
      <c r="I162" s="1" t="s">
        <v>425</v>
      </c>
      <c r="J162" s="1" t="n">
        <v>2</v>
      </c>
      <c r="K162" s="1" t="s">
        <v>186</v>
      </c>
    </row>
    <row r="163" customFormat="false" ht="15" hidden="false" customHeight="true" outlineLevel="0" collapsed="false">
      <c r="A163" s="1" t="s">
        <v>426</v>
      </c>
      <c r="B163" s="1" t="s">
        <v>98</v>
      </c>
      <c r="C163" s="1" t="s">
        <v>427</v>
      </c>
      <c r="D163" s="1" t="n">
        <v>81.84</v>
      </c>
      <c r="E163" s="1" t="s">
        <v>14</v>
      </c>
      <c r="F163" s="1" t="s">
        <v>15</v>
      </c>
      <c r="G163" s="1" t="s">
        <v>70</v>
      </c>
      <c r="H163" s="1" t="s">
        <v>37</v>
      </c>
      <c r="I163" s="1" t="s">
        <v>425</v>
      </c>
      <c r="J163" s="1" t="n">
        <v>8</v>
      </c>
      <c r="K163" s="1" t="s">
        <v>186</v>
      </c>
    </row>
    <row r="164" customFormat="false" ht="15" hidden="false" customHeight="true" outlineLevel="0" collapsed="false">
      <c r="A164" s="1" t="s">
        <v>428</v>
      </c>
      <c r="B164" s="1" t="s">
        <v>39</v>
      </c>
      <c r="C164" s="1" t="s">
        <v>429</v>
      </c>
      <c r="D164" s="1" t="n">
        <v>158.78</v>
      </c>
      <c r="E164" s="1" t="s">
        <v>14</v>
      </c>
      <c r="F164" s="1" t="s">
        <v>41</v>
      </c>
      <c r="G164" s="1" t="s">
        <v>36</v>
      </c>
      <c r="H164" s="1" t="s">
        <v>17</v>
      </c>
      <c r="I164" s="1" t="s">
        <v>425</v>
      </c>
      <c r="J164" s="1" t="n">
        <v>8</v>
      </c>
      <c r="K164" s="1" t="s">
        <v>186</v>
      </c>
    </row>
    <row r="165" customFormat="false" ht="15" hidden="false" customHeight="true" outlineLevel="0" collapsed="false">
      <c r="A165" s="1" t="s">
        <v>430</v>
      </c>
      <c r="B165" s="1" t="s">
        <v>180</v>
      </c>
      <c r="C165" s="1" t="s">
        <v>431</v>
      </c>
      <c r="D165" s="1" t="n">
        <v>67.47</v>
      </c>
      <c r="E165" s="1" t="s">
        <v>14</v>
      </c>
      <c r="F165" s="1" t="s">
        <v>49</v>
      </c>
      <c r="G165" s="1" t="s">
        <v>16</v>
      </c>
      <c r="H165" s="1" t="s">
        <v>37</v>
      </c>
      <c r="I165" s="1" t="s">
        <v>425</v>
      </c>
      <c r="J165" s="1" t="n">
        <v>9</v>
      </c>
      <c r="K165" s="1" t="s">
        <v>186</v>
      </c>
    </row>
    <row r="166" customFormat="false" ht="15" hidden="false" customHeight="true" outlineLevel="0" collapsed="false">
      <c r="A166" s="1" t="s">
        <v>432</v>
      </c>
      <c r="B166" s="1" t="s">
        <v>132</v>
      </c>
      <c r="C166" s="1" t="s">
        <v>433</v>
      </c>
      <c r="D166" s="1" t="n">
        <v>29.05</v>
      </c>
      <c r="E166" s="1" t="s">
        <v>14</v>
      </c>
      <c r="F166" s="1" t="s">
        <v>41</v>
      </c>
      <c r="G166" s="1" t="s">
        <v>86</v>
      </c>
      <c r="H166" s="1" t="s">
        <v>17</v>
      </c>
      <c r="I166" s="1" t="s">
        <v>425</v>
      </c>
      <c r="J166" s="1" t="n">
        <v>9</v>
      </c>
      <c r="K166" s="1" t="s">
        <v>186</v>
      </c>
    </row>
    <row r="167" customFormat="false" ht="15" hidden="false" customHeight="true" outlineLevel="0" collapsed="false">
      <c r="A167" s="1" t="s">
        <v>434</v>
      </c>
      <c r="B167" s="1" t="s">
        <v>183</v>
      </c>
      <c r="C167" s="1" t="s">
        <v>435</v>
      </c>
      <c r="D167" s="1" t="n">
        <v>172.16</v>
      </c>
      <c r="E167" s="1" t="s">
        <v>14</v>
      </c>
      <c r="F167" s="1" t="s">
        <v>15</v>
      </c>
      <c r="G167" s="1" t="s">
        <v>16</v>
      </c>
      <c r="H167" s="1" t="s">
        <v>37</v>
      </c>
      <c r="I167" s="1" t="s">
        <v>425</v>
      </c>
      <c r="J167" s="1" t="n">
        <v>10</v>
      </c>
      <c r="K167" s="1" t="s">
        <v>186</v>
      </c>
    </row>
    <row r="168" customFormat="false" ht="15" hidden="false" customHeight="true" outlineLevel="0" collapsed="false">
      <c r="A168" s="1" t="s">
        <v>436</v>
      </c>
      <c r="B168" s="1" t="s">
        <v>321</v>
      </c>
      <c r="C168" s="1" t="s">
        <v>437</v>
      </c>
      <c r="D168" s="1" t="n">
        <v>65.44</v>
      </c>
      <c r="E168" s="1" t="s">
        <v>14</v>
      </c>
      <c r="F168" s="1" t="s">
        <v>15</v>
      </c>
      <c r="G168" s="1" t="s">
        <v>23</v>
      </c>
      <c r="H168" s="1" t="s">
        <v>37</v>
      </c>
      <c r="I168" s="1" t="s">
        <v>425</v>
      </c>
      <c r="J168" s="1" t="n">
        <v>13</v>
      </c>
      <c r="K168" s="1" t="s">
        <v>186</v>
      </c>
    </row>
    <row r="169" customFormat="false" ht="15" hidden="false" customHeight="true" outlineLevel="0" collapsed="false">
      <c r="A169" s="1" t="s">
        <v>438</v>
      </c>
      <c r="B169" s="1" t="s">
        <v>193</v>
      </c>
      <c r="C169" s="1" t="s">
        <v>439</v>
      </c>
      <c r="D169" s="1" t="n">
        <v>57.85</v>
      </c>
      <c r="E169" s="1" t="s">
        <v>14</v>
      </c>
      <c r="F169" s="1" t="s">
        <v>15</v>
      </c>
      <c r="G169" s="1" t="s">
        <v>16</v>
      </c>
      <c r="H169" s="1" t="s">
        <v>37</v>
      </c>
      <c r="I169" s="1" t="s">
        <v>425</v>
      </c>
      <c r="J169" s="1" t="n">
        <v>14</v>
      </c>
      <c r="K169" s="1" t="s">
        <v>186</v>
      </c>
    </row>
    <row r="170" customFormat="false" ht="15" hidden="false" customHeight="true" outlineLevel="0" collapsed="false">
      <c r="A170" s="1" t="s">
        <v>440</v>
      </c>
      <c r="B170" s="1" t="s">
        <v>113</v>
      </c>
      <c r="C170" s="1" t="s">
        <v>441</v>
      </c>
      <c r="D170" s="1" t="n">
        <v>20.79</v>
      </c>
      <c r="E170" s="1" t="s">
        <v>14</v>
      </c>
      <c r="F170" s="1" t="s">
        <v>41</v>
      </c>
      <c r="G170" s="1" t="s">
        <v>16</v>
      </c>
      <c r="H170" s="1" t="s">
        <v>37</v>
      </c>
      <c r="I170" s="1" t="s">
        <v>425</v>
      </c>
      <c r="J170" s="1" t="n">
        <v>15</v>
      </c>
      <c r="K170" s="1" t="s">
        <v>186</v>
      </c>
    </row>
    <row r="171" customFormat="false" ht="15" hidden="false" customHeight="true" outlineLevel="0" collapsed="false">
      <c r="A171" s="1" t="s">
        <v>442</v>
      </c>
      <c r="B171" s="1" t="s">
        <v>245</v>
      </c>
      <c r="C171" s="1" t="s">
        <v>443</v>
      </c>
      <c r="D171" s="1" t="n">
        <v>37.58</v>
      </c>
      <c r="E171" s="1" t="s">
        <v>14</v>
      </c>
      <c r="F171" s="1" t="s">
        <v>15</v>
      </c>
      <c r="G171" s="1" t="s">
        <v>16</v>
      </c>
      <c r="H171" s="1" t="s">
        <v>37</v>
      </c>
      <c r="I171" s="1" t="s">
        <v>425</v>
      </c>
      <c r="J171" s="1" t="n">
        <v>16</v>
      </c>
      <c r="K171" s="1" t="s">
        <v>186</v>
      </c>
    </row>
    <row r="172" customFormat="false" ht="15" hidden="false" customHeight="true" outlineLevel="0" collapsed="false">
      <c r="A172" s="1" t="s">
        <v>444</v>
      </c>
      <c r="B172" s="1" t="s">
        <v>125</v>
      </c>
      <c r="C172" s="1" t="s">
        <v>445</v>
      </c>
      <c r="D172" s="1" t="n">
        <v>21.08</v>
      </c>
      <c r="E172" s="1" t="s">
        <v>14</v>
      </c>
      <c r="F172" s="1" t="s">
        <v>28</v>
      </c>
      <c r="G172" s="1" t="s">
        <v>82</v>
      </c>
      <c r="H172" s="1" t="s">
        <v>37</v>
      </c>
      <c r="I172" s="1" t="s">
        <v>425</v>
      </c>
      <c r="J172" s="1" t="n">
        <v>17</v>
      </c>
      <c r="K172" s="1" t="s">
        <v>186</v>
      </c>
    </row>
    <row r="173" customFormat="false" ht="15" hidden="false" customHeight="true" outlineLevel="0" collapsed="false">
      <c r="A173" s="1" t="s">
        <v>446</v>
      </c>
      <c r="B173" s="1" t="s">
        <v>258</v>
      </c>
      <c r="C173" s="1" t="s">
        <v>447</v>
      </c>
      <c r="D173" s="1" t="n">
        <v>323.54</v>
      </c>
      <c r="E173" s="1" t="s">
        <v>14</v>
      </c>
      <c r="F173" s="1" t="s">
        <v>28</v>
      </c>
      <c r="G173" s="1" t="s">
        <v>82</v>
      </c>
      <c r="H173" s="1" t="s">
        <v>24</v>
      </c>
      <c r="I173" s="1" t="s">
        <v>425</v>
      </c>
      <c r="J173" s="1" t="n">
        <v>19</v>
      </c>
      <c r="K173" s="1" t="s">
        <v>186</v>
      </c>
    </row>
    <row r="174" customFormat="false" ht="15" hidden="false" customHeight="true" outlineLevel="0" collapsed="false">
      <c r="A174" s="1" t="s">
        <v>448</v>
      </c>
      <c r="B174" s="1" t="s">
        <v>245</v>
      </c>
      <c r="C174" s="1" t="s">
        <v>447</v>
      </c>
      <c r="D174" s="1" t="n">
        <v>40.45</v>
      </c>
      <c r="E174" s="1" t="s">
        <v>14</v>
      </c>
      <c r="F174" s="1" t="s">
        <v>15</v>
      </c>
      <c r="G174" s="1" t="s">
        <v>86</v>
      </c>
      <c r="H174" s="1" t="s">
        <v>24</v>
      </c>
      <c r="I174" s="1" t="s">
        <v>425</v>
      </c>
      <c r="J174" s="1" t="n">
        <v>19</v>
      </c>
      <c r="K174" s="1" t="s">
        <v>186</v>
      </c>
    </row>
    <row r="175" customFormat="false" ht="15" hidden="false" customHeight="true" outlineLevel="0" collapsed="false">
      <c r="A175" s="1" t="s">
        <v>449</v>
      </c>
      <c r="B175" s="1" t="s">
        <v>155</v>
      </c>
      <c r="C175" s="1" t="s">
        <v>450</v>
      </c>
      <c r="D175" s="1" t="n">
        <v>36.25</v>
      </c>
      <c r="E175" s="1" t="s">
        <v>14</v>
      </c>
      <c r="F175" s="1" t="s">
        <v>41</v>
      </c>
      <c r="G175" s="1" t="s">
        <v>86</v>
      </c>
      <c r="H175" s="1" t="s">
        <v>37</v>
      </c>
      <c r="I175" s="1" t="s">
        <v>425</v>
      </c>
      <c r="J175" s="1" t="n">
        <v>21</v>
      </c>
      <c r="K175" s="1" t="s">
        <v>186</v>
      </c>
    </row>
    <row r="176" customFormat="false" ht="15" hidden="false" customHeight="true" outlineLevel="0" collapsed="false">
      <c r="A176" s="1" t="s">
        <v>451</v>
      </c>
      <c r="B176" s="1" t="s">
        <v>44</v>
      </c>
      <c r="C176" s="1" t="s">
        <v>452</v>
      </c>
      <c r="D176" s="1" t="n">
        <v>58.26</v>
      </c>
      <c r="E176" s="1" t="s">
        <v>14</v>
      </c>
      <c r="F176" s="1" t="s">
        <v>28</v>
      </c>
      <c r="G176" s="1" t="s">
        <v>23</v>
      </c>
      <c r="H176" s="1" t="s">
        <v>24</v>
      </c>
      <c r="I176" s="1" t="s">
        <v>453</v>
      </c>
      <c r="J176" s="1" t="n">
        <v>4</v>
      </c>
      <c r="K176" s="1" t="s">
        <v>219</v>
      </c>
    </row>
    <row r="177" customFormat="false" ht="15" hidden="false" customHeight="true" outlineLevel="0" collapsed="false">
      <c r="A177" s="1" t="s">
        <v>454</v>
      </c>
      <c r="B177" s="1" t="s">
        <v>113</v>
      </c>
      <c r="C177" s="1" t="s">
        <v>455</v>
      </c>
      <c r="D177" s="1" t="n">
        <v>52.17</v>
      </c>
      <c r="E177" s="1" t="s">
        <v>14</v>
      </c>
      <c r="F177" s="1" t="s">
        <v>41</v>
      </c>
      <c r="G177" s="1" t="s">
        <v>23</v>
      </c>
      <c r="H177" s="1" t="s">
        <v>37</v>
      </c>
      <c r="I177" s="1" t="s">
        <v>453</v>
      </c>
      <c r="J177" s="1" t="n">
        <v>6</v>
      </c>
      <c r="K177" s="1" t="s">
        <v>219</v>
      </c>
    </row>
    <row r="178" customFormat="false" ht="15" hidden="false" customHeight="true" outlineLevel="0" collapsed="false">
      <c r="A178" s="1" t="s">
        <v>456</v>
      </c>
      <c r="B178" s="1" t="s">
        <v>125</v>
      </c>
      <c r="C178" s="1" t="s">
        <v>457</v>
      </c>
      <c r="D178" s="1" t="n">
        <v>87.97</v>
      </c>
      <c r="E178" s="1" t="s">
        <v>14</v>
      </c>
      <c r="F178" s="1" t="s">
        <v>28</v>
      </c>
      <c r="G178" s="1" t="s">
        <v>29</v>
      </c>
      <c r="H178" s="1" t="s">
        <v>17</v>
      </c>
      <c r="I178" s="1" t="s">
        <v>453</v>
      </c>
      <c r="J178" s="1" t="n">
        <v>7</v>
      </c>
      <c r="K178" s="1" t="s">
        <v>219</v>
      </c>
    </row>
    <row r="179" customFormat="false" ht="15" hidden="false" customHeight="true" outlineLevel="0" collapsed="false">
      <c r="A179" s="1" t="s">
        <v>458</v>
      </c>
      <c r="B179" s="1" t="s">
        <v>106</v>
      </c>
      <c r="C179" s="1" t="s">
        <v>459</v>
      </c>
      <c r="D179" s="1" t="n">
        <v>94.88</v>
      </c>
      <c r="E179" s="1" t="s">
        <v>14</v>
      </c>
      <c r="F179" s="1" t="s">
        <v>15</v>
      </c>
      <c r="G179" s="1" t="s">
        <v>23</v>
      </c>
      <c r="H179" s="1" t="s">
        <v>37</v>
      </c>
      <c r="I179" s="1" t="s">
        <v>453</v>
      </c>
      <c r="J179" s="1" t="n">
        <v>8</v>
      </c>
      <c r="K179" s="1" t="s">
        <v>219</v>
      </c>
    </row>
    <row r="180" customFormat="false" ht="15" hidden="false" customHeight="true" outlineLevel="0" collapsed="false">
      <c r="A180" s="1" t="s">
        <v>460</v>
      </c>
      <c r="B180" s="1" t="s">
        <v>58</v>
      </c>
      <c r="C180" s="1" t="s">
        <v>461</v>
      </c>
      <c r="D180" s="1" t="n">
        <v>104.28</v>
      </c>
      <c r="E180" s="1" t="s">
        <v>14</v>
      </c>
      <c r="F180" s="1" t="s">
        <v>15</v>
      </c>
      <c r="G180" s="1" t="s">
        <v>82</v>
      </c>
      <c r="H180" s="1" t="s">
        <v>24</v>
      </c>
      <c r="I180" s="1" t="s">
        <v>453</v>
      </c>
      <c r="J180" s="1" t="n">
        <v>10</v>
      </c>
      <c r="K180" s="1" t="s">
        <v>219</v>
      </c>
    </row>
    <row r="181" customFormat="false" ht="15" hidden="false" customHeight="true" outlineLevel="0" collapsed="false">
      <c r="A181" s="1" t="s">
        <v>462</v>
      </c>
      <c r="B181" s="1" t="s">
        <v>221</v>
      </c>
      <c r="C181" s="1" t="s">
        <v>463</v>
      </c>
      <c r="D181" s="1" t="n">
        <v>269.36</v>
      </c>
      <c r="E181" s="1" t="s">
        <v>14</v>
      </c>
      <c r="F181" s="1" t="s">
        <v>15</v>
      </c>
      <c r="G181" s="1" t="s">
        <v>82</v>
      </c>
      <c r="H181" s="1" t="s">
        <v>17</v>
      </c>
      <c r="I181" s="1" t="s">
        <v>453</v>
      </c>
      <c r="J181" s="1" t="n">
        <v>10</v>
      </c>
      <c r="K181" s="1" t="s">
        <v>219</v>
      </c>
    </row>
    <row r="182" customFormat="false" ht="15" hidden="false" customHeight="true" outlineLevel="0" collapsed="false">
      <c r="A182" s="1" t="s">
        <v>464</v>
      </c>
      <c r="B182" s="1" t="s">
        <v>44</v>
      </c>
      <c r="C182" s="1" t="s">
        <v>465</v>
      </c>
      <c r="D182" s="1" t="n">
        <v>100.3</v>
      </c>
      <c r="E182" s="1" t="s">
        <v>14</v>
      </c>
      <c r="F182" s="1" t="s">
        <v>28</v>
      </c>
      <c r="G182" s="1" t="s">
        <v>42</v>
      </c>
      <c r="H182" s="1" t="s">
        <v>24</v>
      </c>
      <c r="I182" s="1" t="s">
        <v>453</v>
      </c>
      <c r="J182" s="1" t="n">
        <v>12</v>
      </c>
      <c r="K182" s="1" t="s">
        <v>219</v>
      </c>
    </row>
    <row r="183" customFormat="false" ht="15" hidden="false" customHeight="true" outlineLevel="0" collapsed="false">
      <c r="A183" s="1" t="s">
        <v>466</v>
      </c>
      <c r="B183" s="1" t="s">
        <v>34</v>
      </c>
      <c r="C183" s="1" t="s">
        <v>467</v>
      </c>
      <c r="D183" s="1" t="n">
        <v>56.17</v>
      </c>
      <c r="E183" s="1" t="s">
        <v>14</v>
      </c>
      <c r="F183" s="1" t="s">
        <v>15</v>
      </c>
      <c r="G183" s="1" t="s">
        <v>86</v>
      </c>
      <c r="H183" s="1" t="s">
        <v>37</v>
      </c>
      <c r="I183" s="1" t="s">
        <v>453</v>
      </c>
      <c r="J183" s="1" t="n">
        <v>12</v>
      </c>
      <c r="K183" s="1" t="s">
        <v>219</v>
      </c>
    </row>
    <row r="184" customFormat="false" ht="15" hidden="false" customHeight="true" outlineLevel="0" collapsed="false">
      <c r="A184" s="1" t="s">
        <v>468</v>
      </c>
      <c r="B184" s="1" t="s">
        <v>80</v>
      </c>
      <c r="C184" s="1" t="s">
        <v>469</v>
      </c>
      <c r="D184" s="1" t="n">
        <v>48.19</v>
      </c>
      <c r="E184" s="1" t="s">
        <v>14</v>
      </c>
      <c r="F184" s="1" t="s">
        <v>56</v>
      </c>
      <c r="G184" s="1" t="s">
        <v>23</v>
      </c>
      <c r="H184" s="1" t="s">
        <v>24</v>
      </c>
      <c r="I184" s="1" t="s">
        <v>453</v>
      </c>
      <c r="J184" s="1" t="n">
        <v>12</v>
      </c>
      <c r="K184" s="1" t="s">
        <v>219</v>
      </c>
    </row>
    <row r="185" customFormat="false" ht="15" hidden="false" customHeight="true" outlineLevel="0" collapsed="false">
      <c r="A185" s="1" t="s">
        <v>470</v>
      </c>
      <c r="B185" s="1" t="s">
        <v>75</v>
      </c>
      <c r="C185" s="1" t="s">
        <v>471</v>
      </c>
      <c r="D185" s="1" t="n">
        <v>48.13</v>
      </c>
      <c r="E185" s="1" t="s">
        <v>14</v>
      </c>
      <c r="F185" s="1" t="s">
        <v>15</v>
      </c>
      <c r="G185" s="1" t="s">
        <v>70</v>
      </c>
      <c r="H185" s="1" t="s">
        <v>37</v>
      </c>
      <c r="I185" s="1" t="s">
        <v>453</v>
      </c>
      <c r="J185" s="1" t="n">
        <v>15</v>
      </c>
      <c r="K185" s="1" t="s">
        <v>219</v>
      </c>
    </row>
    <row r="186" customFormat="false" ht="15" hidden="false" customHeight="true" outlineLevel="0" collapsed="false">
      <c r="A186" s="1" t="s">
        <v>472</v>
      </c>
      <c r="B186" s="1" t="s">
        <v>51</v>
      </c>
      <c r="C186" s="1" t="s">
        <v>473</v>
      </c>
      <c r="D186" s="1" t="n">
        <v>31.72</v>
      </c>
      <c r="E186" s="1" t="s">
        <v>14</v>
      </c>
      <c r="F186" s="1" t="s">
        <v>41</v>
      </c>
      <c r="G186" s="1" t="s">
        <v>82</v>
      </c>
      <c r="H186" s="1" t="s">
        <v>24</v>
      </c>
      <c r="I186" s="1" t="s">
        <v>453</v>
      </c>
      <c r="J186" s="1" t="n">
        <v>17</v>
      </c>
      <c r="K186" s="1" t="s">
        <v>219</v>
      </c>
    </row>
    <row r="187" customFormat="false" ht="15" hidden="false" customHeight="true" outlineLevel="0" collapsed="false">
      <c r="A187" s="1" t="s">
        <v>474</v>
      </c>
      <c r="B187" s="1" t="s">
        <v>475</v>
      </c>
      <c r="C187" s="1" t="s">
        <v>476</v>
      </c>
      <c r="D187" s="1" t="n">
        <v>31.53</v>
      </c>
      <c r="E187" s="1" t="s">
        <v>14</v>
      </c>
      <c r="F187" s="1" t="s">
        <v>56</v>
      </c>
      <c r="G187" s="1" t="s">
        <v>42</v>
      </c>
      <c r="H187" s="1" t="s">
        <v>24</v>
      </c>
      <c r="I187" s="1" t="s">
        <v>453</v>
      </c>
      <c r="J187" s="1" t="n">
        <v>17</v>
      </c>
      <c r="K187" s="1" t="s">
        <v>219</v>
      </c>
    </row>
    <row r="188" customFormat="false" ht="15" hidden="false" customHeight="true" outlineLevel="0" collapsed="false">
      <c r="A188" s="1" t="s">
        <v>477</v>
      </c>
      <c r="B188" s="1" t="s">
        <v>101</v>
      </c>
      <c r="C188" s="1" t="s">
        <v>478</v>
      </c>
      <c r="D188" s="1" t="n">
        <v>535.5</v>
      </c>
      <c r="E188" s="1" t="s">
        <v>14</v>
      </c>
      <c r="F188" s="1" t="s">
        <v>49</v>
      </c>
      <c r="G188" s="1" t="s">
        <v>42</v>
      </c>
      <c r="H188" s="1" t="s">
        <v>37</v>
      </c>
      <c r="I188" s="1" t="s">
        <v>453</v>
      </c>
      <c r="J188" s="1" t="n">
        <v>19</v>
      </c>
      <c r="K188" s="1" t="s">
        <v>219</v>
      </c>
    </row>
    <row r="189" customFormat="false" ht="15" hidden="false" customHeight="true" outlineLevel="0" collapsed="false">
      <c r="A189" s="1" t="s">
        <v>479</v>
      </c>
      <c r="B189" s="1" t="s">
        <v>98</v>
      </c>
      <c r="C189" s="1" t="s">
        <v>480</v>
      </c>
      <c r="D189" s="1" t="n">
        <v>102.15</v>
      </c>
      <c r="E189" s="1" t="s">
        <v>14</v>
      </c>
      <c r="F189" s="1" t="s">
        <v>15</v>
      </c>
      <c r="G189" s="1" t="s">
        <v>70</v>
      </c>
      <c r="H189" s="1" t="s">
        <v>37</v>
      </c>
      <c r="I189" s="1" t="s">
        <v>453</v>
      </c>
      <c r="J189" s="1" t="n">
        <v>21</v>
      </c>
      <c r="K189" s="1" t="s">
        <v>219</v>
      </c>
    </row>
    <row r="190" customFormat="false" ht="15" hidden="false" customHeight="true" outlineLevel="0" collapsed="false">
      <c r="A190" s="1" t="s">
        <v>481</v>
      </c>
      <c r="B190" s="1" t="s">
        <v>84</v>
      </c>
      <c r="C190" s="1" t="s">
        <v>482</v>
      </c>
      <c r="D190" s="1" t="n">
        <v>32.68</v>
      </c>
      <c r="E190" s="1" t="s">
        <v>14</v>
      </c>
      <c r="F190" s="1" t="s">
        <v>56</v>
      </c>
      <c r="G190" s="1" t="s">
        <v>82</v>
      </c>
      <c r="H190" s="1" t="s">
        <v>24</v>
      </c>
      <c r="I190" s="1" t="s">
        <v>453</v>
      </c>
      <c r="J190" s="1" t="n">
        <v>23</v>
      </c>
      <c r="K190" s="1" t="s">
        <v>219</v>
      </c>
    </row>
    <row r="191" customFormat="false" ht="15" hidden="false" customHeight="true" outlineLevel="0" collapsed="false">
      <c r="A191" s="1" t="s">
        <v>483</v>
      </c>
      <c r="B191" s="1" t="s">
        <v>167</v>
      </c>
      <c r="C191" s="1" t="s">
        <v>484</v>
      </c>
      <c r="D191" s="1" t="n">
        <v>45.1</v>
      </c>
      <c r="E191" s="1" t="s">
        <v>14</v>
      </c>
      <c r="F191" s="1" t="s">
        <v>28</v>
      </c>
      <c r="G191" s="1" t="s">
        <v>82</v>
      </c>
      <c r="H191" s="1" t="s">
        <v>17</v>
      </c>
      <c r="I191" s="1" t="s">
        <v>485</v>
      </c>
      <c r="J191" s="1" t="n">
        <v>0</v>
      </c>
      <c r="K191" s="1" t="s">
        <v>263</v>
      </c>
    </row>
    <row r="192" customFormat="false" ht="15" hidden="false" customHeight="true" outlineLevel="0" collapsed="false">
      <c r="A192" s="1" t="s">
        <v>486</v>
      </c>
      <c r="B192" s="1" t="s">
        <v>487</v>
      </c>
      <c r="C192" s="1" t="s">
        <v>488</v>
      </c>
      <c r="D192" s="1" t="n">
        <v>60.47</v>
      </c>
      <c r="E192" s="1" t="s">
        <v>14</v>
      </c>
      <c r="F192" s="1" t="s">
        <v>49</v>
      </c>
      <c r="G192" s="1" t="s">
        <v>29</v>
      </c>
      <c r="H192" s="1" t="s">
        <v>37</v>
      </c>
      <c r="I192" s="1" t="s">
        <v>485</v>
      </c>
      <c r="J192" s="1" t="n">
        <v>3</v>
      </c>
      <c r="K192" s="1" t="s">
        <v>263</v>
      </c>
    </row>
    <row r="193" customFormat="false" ht="15" hidden="false" customHeight="true" outlineLevel="0" collapsed="false">
      <c r="A193" s="1" t="s">
        <v>489</v>
      </c>
      <c r="B193" s="1" t="s">
        <v>47</v>
      </c>
      <c r="C193" s="1" t="s">
        <v>490</v>
      </c>
      <c r="D193" s="1" t="n">
        <v>147.72</v>
      </c>
      <c r="E193" s="1" t="s">
        <v>14</v>
      </c>
      <c r="F193" s="1" t="s">
        <v>49</v>
      </c>
      <c r="G193" s="1" t="s">
        <v>86</v>
      </c>
      <c r="H193" s="1" t="s">
        <v>17</v>
      </c>
      <c r="I193" s="1" t="s">
        <v>485</v>
      </c>
      <c r="J193" s="1" t="n">
        <v>5</v>
      </c>
      <c r="K193" s="1" t="s">
        <v>263</v>
      </c>
    </row>
    <row r="194" customFormat="false" ht="15" hidden="false" customHeight="true" outlineLevel="0" collapsed="false">
      <c r="A194" s="1" t="s">
        <v>491</v>
      </c>
      <c r="B194" s="1" t="s">
        <v>344</v>
      </c>
      <c r="C194" s="1" t="s">
        <v>492</v>
      </c>
      <c r="D194" s="1" t="n">
        <v>322.02</v>
      </c>
      <c r="E194" s="1" t="s">
        <v>14</v>
      </c>
      <c r="F194" s="1" t="s">
        <v>49</v>
      </c>
      <c r="G194" s="1" t="s">
        <v>29</v>
      </c>
      <c r="H194" s="1" t="s">
        <v>17</v>
      </c>
      <c r="I194" s="1" t="s">
        <v>485</v>
      </c>
      <c r="J194" s="1" t="n">
        <v>6</v>
      </c>
      <c r="K194" s="1" t="s">
        <v>263</v>
      </c>
    </row>
    <row r="195" customFormat="false" ht="15" hidden="false" customHeight="true" outlineLevel="0" collapsed="false">
      <c r="A195" s="1" t="s">
        <v>493</v>
      </c>
      <c r="B195" s="1" t="s">
        <v>258</v>
      </c>
      <c r="C195" s="1" t="s">
        <v>494</v>
      </c>
      <c r="D195" s="1" t="n">
        <v>50.47</v>
      </c>
      <c r="E195" s="1" t="s">
        <v>14</v>
      </c>
      <c r="F195" s="1" t="s">
        <v>28</v>
      </c>
      <c r="G195" s="1" t="s">
        <v>82</v>
      </c>
      <c r="H195" s="1" t="s">
        <v>37</v>
      </c>
      <c r="I195" s="1" t="s">
        <v>485</v>
      </c>
      <c r="J195" s="1" t="n">
        <v>6</v>
      </c>
      <c r="K195" s="1" t="s">
        <v>263</v>
      </c>
    </row>
    <row r="196" customFormat="false" ht="15" hidden="false" customHeight="true" outlineLevel="0" collapsed="false">
      <c r="A196" s="1" t="s">
        <v>495</v>
      </c>
      <c r="B196" s="1" t="s">
        <v>496</v>
      </c>
      <c r="C196" s="1" t="s">
        <v>497</v>
      </c>
      <c r="D196" s="1" t="n">
        <v>126.23</v>
      </c>
      <c r="E196" s="1" t="s">
        <v>14</v>
      </c>
      <c r="F196" s="1" t="s">
        <v>28</v>
      </c>
      <c r="G196" s="1" t="s">
        <v>16</v>
      </c>
      <c r="H196" s="1" t="s">
        <v>37</v>
      </c>
      <c r="I196" s="1" t="s">
        <v>485</v>
      </c>
      <c r="J196" s="1" t="n">
        <v>6</v>
      </c>
      <c r="K196" s="1" t="s">
        <v>263</v>
      </c>
    </row>
    <row r="197" customFormat="false" ht="15" hidden="false" customHeight="true" outlineLevel="0" collapsed="false">
      <c r="A197" s="1" t="s">
        <v>498</v>
      </c>
      <c r="B197" s="1" t="s">
        <v>61</v>
      </c>
      <c r="C197" s="1" t="s">
        <v>499</v>
      </c>
      <c r="D197" s="1" t="n">
        <v>41.19</v>
      </c>
      <c r="E197" s="1" t="s">
        <v>14</v>
      </c>
      <c r="F197" s="1" t="s">
        <v>56</v>
      </c>
      <c r="G197" s="1" t="s">
        <v>29</v>
      </c>
      <c r="H197" s="1" t="s">
        <v>37</v>
      </c>
      <c r="I197" s="1" t="s">
        <v>485</v>
      </c>
      <c r="J197" s="1" t="n">
        <v>6</v>
      </c>
      <c r="K197" s="1" t="s">
        <v>263</v>
      </c>
    </row>
    <row r="198" customFormat="false" ht="15" hidden="false" customHeight="true" outlineLevel="0" collapsed="false">
      <c r="A198" s="1" t="s">
        <v>500</v>
      </c>
      <c r="B198" s="1" t="s">
        <v>34</v>
      </c>
      <c r="C198" s="1" t="s">
        <v>501</v>
      </c>
      <c r="D198" s="1" t="n">
        <v>436.83</v>
      </c>
      <c r="E198" s="1" t="s">
        <v>14</v>
      </c>
      <c r="F198" s="1" t="s">
        <v>15</v>
      </c>
      <c r="G198" s="1" t="s">
        <v>86</v>
      </c>
      <c r="H198" s="1" t="s">
        <v>17</v>
      </c>
      <c r="I198" s="1" t="s">
        <v>485</v>
      </c>
      <c r="J198" s="1" t="n">
        <v>8</v>
      </c>
      <c r="K198" s="1" t="s">
        <v>263</v>
      </c>
    </row>
    <row r="199" customFormat="false" ht="15" hidden="false" customHeight="true" outlineLevel="0" collapsed="false">
      <c r="A199" s="1" t="s">
        <v>502</v>
      </c>
      <c r="B199" s="1" t="s">
        <v>196</v>
      </c>
      <c r="C199" s="1" t="s">
        <v>503</v>
      </c>
      <c r="D199" s="1" t="n">
        <v>89.08</v>
      </c>
      <c r="E199" s="1" t="s">
        <v>14</v>
      </c>
      <c r="F199" s="1" t="s">
        <v>15</v>
      </c>
      <c r="G199" s="1" t="s">
        <v>16</v>
      </c>
      <c r="H199" s="1" t="s">
        <v>37</v>
      </c>
      <c r="I199" s="1" t="s">
        <v>485</v>
      </c>
      <c r="J199" s="1" t="n">
        <v>9</v>
      </c>
      <c r="K199" s="1" t="s">
        <v>263</v>
      </c>
    </row>
    <row r="200" customFormat="false" ht="15" hidden="false" customHeight="true" outlineLevel="0" collapsed="false">
      <c r="A200" s="1" t="s">
        <v>504</v>
      </c>
      <c r="B200" s="1" t="s">
        <v>235</v>
      </c>
      <c r="C200" s="1" t="s">
        <v>505</v>
      </c>
      <c r="D200" s="1" t="n">
        <v>42.39</v>
      </c>
      <c r="E200" s="1" t="s">
        <v>14</v>
      </c>
      <c r="F200" s="1" t="s">
        <v>41</v>
      </c>
      <c r="G200" s="1" t="s">
        <v>86</v>
      </c>
      <c r="H200" s="1" t="s">
        <v>17</v>
      </c>
      <c r="I200" s="1" t="s">
        <v>485</v>
      </c>
      <c r="J200" s="1" t="n">
        <v>10</v>
      </c>
      <c r="K200" s="1" t="s">
        <v>263</v>
      </c>
    </row>
    <row r="201" customFormat="false" ht="15" hidden="false" customHeight="true" outlineLevel="0" collapsed="false">
      <c r="A201" s="1" t="s">
        <v>506</v>
      </c>
      <c r="B201" s="1" t="s">
        <v>221</v>
      </c>
      <c r="C201" s="1" t="s">
        <v>507</v>
      </c>
      <c r="D201" s="1" t="n">
        <v>24.24</v>
      </c>
      <c r="E201" s="1" t="s">
        <v>14</v>
      </c>
      <c r="F201" s="1" t="s">
        <v>15</v>
      </c>
      <c r="G201" s="1" t="s">
        <v>29</v>
      </c>
      <c r="H201" s="1" t="s">
        <v>17</v>
      </c>
      <c r="I201" s="1" t="s">
        <v>485</v>
      </c>
      <c r="J201" s="1" t="n">
        <v>10</v>
      </c>
      <c r="K201" s="1" t="s">
        <v>263</v>
      </c>
    </row>
    <row r="202" customFormat="false" ht="15" hidden="false" customHeight="true" outlineLevel="0" collapsed="false">
      <c r="A202" s="1" t="s">
        <v>508</v>
      </c>
      <c r="B202" s="1" t="s">
        <v>167</v>
      </c>
      <c r="C202" s="1" t="s">
        <v>509</v>
      </c>
      <c r="D202" s="1" t="n">
        <v>81.44</v>
      </c>
      <c r="E202" s="1" t="s">
        <v>14</v>
      </c>
      <c r="F202" s="1" t="s">
        <v>28</v>
      </c>
      <c r="G202" s="1" t="s">
        <v>29</v>
      </c>
      <c r="H202" s="1" t="s">
        <v>17</v>
      </c>
      <c r="I202" s="1" t="s">
        <v>485</v>
      </c>
      <c r="J202" s="1" t="n">
        <v>11</v>
      </c>
      <c r="K202" s="1" t="s">
        <v>263</v>
      </c>
    </row>
    <row r="203" customFormat="false" ht="15" hidden="false" customHeight="true" outlineLevel="0" collapsed="false">
      <c r="A203" s="1" t="s">
        <v>510</v>
      </c>
      <c r="B203" s="1" t="s">
        <v>344</v>
      </c>
      <c r="C203" s="1" t="s">
        <v>511</v>
      </c>
      <c r="D203" s="1" t="n">
        <v>22.9</v>
      </c>
      <c r="E203" s="1" t="s">
        <v>14</v>
      </c>
      <c r="F203" s="1" t="s">
        <v>49</v>
      </c>
      <c r="G203" s="1" t="s">
        <v>42</v>
      </c>
      <c r="H203" s="1" t="s">
        <v>24</v>
      </c>
      <c r="I203" s="1" t="s">
        <v>485</v>
      </c>
      <c r="J203" s="1" t="n">
        <v>11</v>
      </c>
      <c r="K203" s="1" t="s">
        <v>263</v>
      </c>
    </row>
    <row r="204" customFormat="false" ht="15" hidden="false" customHeight="true" outlineLevel="0" collapsed="false">
      <c r="A204" s="1" t="s">
        <v>512</v>
      </c>
      <c r="B204" s="1" t="s">
        <v>47</v>
      </c>
      <c r="C204" s="1" t="s">
        <v>513</v>
      </c>
      <c r="D204" s="1" t="n">
        <v>95.52</v>
      </c>
      <c r="E204" s="1" t="s">
        <v>14</v>
      </c>
      <c r="F204" s="1" t="s">
        <v>49</v>
      </c>
      <c r="G204" s="1" t="s">
        <v>29</v>
      </c>
      <c r="H204" s="1" t="s">
        <v>37</v>
      </c>
      <c r="I204" s="1" t="s">
        <v>485</v>
      </c>
      <c r="J204" s="1" t="n">
        <v>12</v>
      </c>
      <c r="K204" s="1" t="s">
        <v>263</v>
      </c>
    </row>
    <row r="205" customFormat="false" ht="15" hidden="false" customHeight="true" outlineLevel="0" collapsed="false">
      <c r="A205" s="1" t="s">
        <v>514</v>
      </c>
      <c r="B205" s="1" t="s">
        <v>307</v>
      </c>
      <c r="C205" s="1" t="s">
        <v>515</v>
      </c>
      <c r="D205" s="1" t="n">
        <v>18.41</v>
      </c>
      <c r="E205" s="1" t="s">
        <v>14</v>
      </c>
      <c r="F205" s="1" t="s">
        <v>15</v>
      </c>
      <c r="G205" s="1" t="s">
        <v>36</v>
      </c>
      <c r="H205" s="1" t="s">
        <v>17</v>
      </c>
      <c r="I205" s="1" t="s">
        <v>485</v>
      </c>
      <c r="J205" s="1" t="n">
        <v>13</v>
      </c>
      <c r="K205" s="1" t="s">
        <v>263</v>
      </c>
    </row>
    <row r="206" customFormat="false" ht="15" hidden="false" customHeight="true" outlineLevel="0" collapsed="false">
      <c r="A206" s="1" t="s">
        <v>516</v>
      </c>
      <c r="B206" s="1" t="s">
        <v>90</v>
      </c>
      <c r="C206" s="1" t="s">
        <v>517</v>
      </c>
      <c r="D206" s="1" t="n">
        <v>61.55</v>
      </c>
      <c r="E206" s="1" t="s">
        <v>14</v>
      </c>
      <c r="F206" s="1" t="s">
        <v>41</v>
      </c>
      <c r="G206" s="1" t="s">
        <v>70</v>
      </c>
      <c r="H206" s="1" t="s">
        <v>24</v>
      </c>
      <c r="I206" s="1" t="s">
        <v>485</v>
      </c>
      <c r="J206" s="1" t="n">
        <v>13</v>
      </c>
      <c r="K206" s="1" t="s">
        <v>263</v>
      </c>
    </row>
    <row r="207" customFormat="false" ht="15" hidden="false" customHeight="true" outlineLevel="0" collapsed="false">
      <c r="A207" s="1" t="s">
        <v>518</v>
      </c>
      <c r="B207" s="1" t="s">
        <v>64</v>
      </c>
      <c r="C207" s="1" t="s">
        <v>519</v>
      </c>
      <c r="D207" s="1" t="n">
        <v>66.14</v>
      </c>
      <c r="E207" s="1" t="s">
        <v>14</v>
      </c>
      <c r="F207" s="1" t="s">
        <v>41</v>
      </c>
      <c r="G207" s="1" t="s">
        <v>23</v>
      </c>
      <c r="H207" s="1" t="s">
        <v>37</v>
      </c>
      <c r="I207" s="1" t="s">
        <v>485</v>
      </c>
      <c r="J207" s="1" t="n">
        <v>14</v>
      </c>
      <c r="K207" s="1" t="s">
        <v>263</v>
      </c>
    </row>
    <row r="208" customFormat="false" ht="15" hidden="false" customHeight="true" outlineLevel="0" collapsed="false">
      <c r="A208" s="1" t="s">
        <v>520</v>
      </c>
      <c r="B208" s="1" t="s">
        <v>26</v>
      </c>
      <c r="C208" s="1" t="s">
        <v>521</v>
      </c>
      <c r="D208" s="1" t="n">
        <v>89.85</v>
      </c>
      <c r="E208" s="1" t="s">
        <v>14</v>
      </c>
      <c r="F208" s="1" t="s">
        <v>28</v>
      </c>
      <c r="G208" s="1" t="s">
        <v>29</v>
      </c>
      <c r="H208" s="1" t="s">
        <v>37</v>
      </c>
      <c r="I208" s="1" t="s">
        <v>485</v>
      </c>
      <c r="J208" s="1" t="n">
        <v>15</v>
      </c>
      <c r="K208" s="1" t="s">
        <v>263</v>
      </c>
    </row>
    <row r="209" customFormat="false" ht="15" hidden="false" customHeight="true" outlineLevel="0" collapsed="false">
      <c r="A209" s="1" t="s">
        <v>522</v>
      </c>
      <c r="B209" s="1" t="s">
        <v>173</v>
      </c>
      <c r="C209" s="1" t="s">
        <v>523</v>
      </c>
      <c r="D209" s="1" t="n">
        <v>102.63</v>
      </c>
      <c r="E209" s="1" t="s">
        <v>14</v>
      </c>
      <c r="F209" s="1" t="s">
        <v>28</v>
      </c>
      <c r="G209" s="1" t="s">
        <v>36</v>
      </c>
      <c r="H209" s="1" t="s">
        <v>37</v>
      </c>
      <c r="I209" s="1" t="s">
        <v>485</v>
      </c>
      <c r="J209" s="1" t="n">
        <v>16</v>
      </c>
      <c r="K209" s="1" t="s">
        <v>263</v>
      </c>
    </row>
    <row r="210" customFormat="false" ht="15" hidden="false" customHeight="true" outlineLevel="0" collapsed="false">
      <c r="A210" s="1" t="s">
        <v>524</v>
      </c>
      <c r="B210" s="1" t="s">
        <v>180</v>
      </c>
      <c r="C210" s="1" t="s">
        <v>525</v>
      </c>
      <c r="D210" s="1" t="n">
        <v>85.54</v>
      </c>
      <c r="E210" s="1" t="s">
        <v>14</v>
      </c>
      <c r="F210" s="1" t="s">
        <v>49</v>
      </c>
      <c r="G210" s="1" t="s">
        <v>23</v>
      </c>
      <c r="H210" s="1" t="s">
        <v>17</v>
      </c>
      <c r="I210" s="1" t="s">
        <v>485</v>
      </c>
      <c r="J210" s="1" t="n">
        <v>17</v>
      </c>
      <c r="K210" s="1" t="s">
        <v>263</v>
      </c>
    </row>
    <row r="211" customFormat="false" ht="15" hidden="false" customHeight="true" outlineLevel="0" collapsed="false">
      <c r="A211" s="1" t="s">
        <v>526</v>
      </c>
      <c r="B211" s="1" t="s">
        <v>140</v>
      </c>
      <c r="C211" s="1" t="s">
        <v>527</v>
      </c>
      <c r="D211" s="1" t="n">
        <v>69.64</v>
      </c>
      <c r="E211" s="1" t="s">
        <v>14</v>
      </c>
      <c r="F211" s="1" t="s">
        <v>41</v>
      </c>
      <c r="G211" s="1" t="s">
        <v>36</v>
      </c>
      <c r="H211" s="1" t="s">
        <v>24</v>
      </c>
      <c r="I211" s="1" t="s">
        <v>485</v>
      </c>
      <c r="J211" s="1" t="n">
        <v>20</v>
      </c>
      <c r="K211" s="1" t="s">
        <v>263</v>
      </c>
    </row>
    <row r="212" customFormat="false" ht="15" hidden="false" customHeight="true" outlineLevel="0" collapsed="false">
      <c r="A212" s="1" t="s">
        <v>528</v>
      </c>
      <c r="B212" s="1" t="s">
        <v>26</v>
      </c>
      <c r="C212" s="1" t="s">
        <v>529</v>
      </c>
      <c r="D212" s="1" t="n">
        <v>50.49</v>
      </c>
      <c r="E212" s="1" t="s">
        <v>14</v>
      </c>
      <c r="F212" s="1" t="s">
        <v>28</v>
      </c>
      <c r="G212" s="1" t="s">
        <v>29</v>
      </c>
      <c r="H212" s="1" t="s">
        <v>24</v>
      </c>
      <c r="I212" s="1" t="s">
        <v>485</v>
      </c>
      <c r="J212" s="1" t="n">
        <v>21</v>
      </c>
      <c r="K212" s="1" t="s">
        <v>263</v>
      </c>
    </row>
    <row r="213" customFormat="false" ht="15" hidden="false" customHeight="true" outlineLevel="0" collapsed="false">
      <c r="A213" s="1" t="s">
        <v>530</v>
      </c>
      <c r="B213" s="1" t="s">
        <v>196</v>
      </c>
      <c r="C213" s="1" t="s">
        <v>531</v>
      </c>
      <c r="D213" s="1" t="n">
        <v>157.75</v>
      </c>
      <c r="E213" s="1" t="s">
        <v>14</v>
      </c>
      <c r="F213" s="1" t="s">
        <v>15</v>
      </c>
      <c r="G213" s="1" t="s">
        <v>16</v>
      </c>
      <c r="H213" s="1" t="s">
        <v>24</v>
      </c>
      <c r="I213" s="1" t="s">
        <v>532</v>
      </c>
      <c r="J213" s="1" t="n">
        <v>0</v>
      </c>
      <c r="K213" s="1" t="s">
        <v>19</v>
      </c>
    </row>
    <row r="214" customFormat="false" ht="15" hidden="false" customHeight="true" outlineLevel="0" collapsed="false">
      <c r="A214" s="1" t="s">
        <v>533</v>
      </c>
      <c r="B214" s="1" t="s">
        <v>162</v>
      </c>
      <c r="C214" s="1" t="s">
        <v>534</v>
      </c>
      <c r="D214" s="1" t="n">
        <v>83.38</v>
      </c>
      <c r="E214" s="1" t="s">
        <v>14</v>
      </c>
      <c r="F214" s="1" t="s">
        <v>49</v>
      </c>
      <c r="G214" s="1" t="s">
        <v>16</v>
      </c>
      <c r="H214" s="1" t="s">
        <v>17</v>
      </c>
      <c r="I214" s="1" t="s">
        <v>532</v>
      </c>
      <c r="J214" s="1" t="n">
        <v>1</v>
      </c>
      <c r="K214" s="1" t="s">
        <v>19</v>
      </c>
    </row>
    <row r="215" customFormat="false" ht="15" hidden="false" customHeight="true" outlineLevel="0" collapsed="false">
      <c r="A215" s="1" t="s">
        <v>535</v>
      </c>
      <c r="B215" s="1" t="s">
        <v>332</v>
      </c>
      <c r="C215" s="1" t="s">
        <v>536</v>
      </c>
      <c r="D215" s="1" t="n">
        <v>8.4</v>
      </c>
      <c r="E215" s="1" t="s">
        <v>14</v>
      </c>
      <c r="F215" s="1" t="s">
        <v>49</v>
      </c>
      <c r="G215" s="1" t="s">
        <v>70</v>
      </c>
      <c r="H215" s="1" t="s">
        <v>17</v>
      </c>
      <c r="I215" s="1" t="s">
        <v>532</v>
      </c>
      <c r="J215" s="1" t="n">
        <v>2</v>
      </c>
      <c r="K215" s="1" t="s">
        <v>19</v>
      </c>
    </row>
    <row r="216" customFormat="false" ht="15" hidden="false" customHeight="true" outlineLevel="0" collapsed="false">
      <c r="A216" s="1" t="s">
        <v>537</v>
      </c>
      <c r="B216" s="1" t="s">
        <v>216</v>
      </c>
      <c r="C216" s="1" t="s">
        <v>538</v>
      </c>
      <c r="D216" s="1" t="n">
        <v>21.62</v>
      </c>
      <c r="E216" s="1" t="s">
        <v>14</v>
      </c>
      <c r="F216" s="1" t="s">
        <v>49</v>
      </c>
      <c r="G216" s="1" t="s">
        <v>42</v>
      </c>
      <c r="H216" s="1" t="s">
        <v>17</v>
      </c>
      <c r="I216" s="1" t="s">
        <v>532</v>
      </c>
      <c r="J216" s="1" t="n">
        <v>6</v>
      </c>
      <c r="K216" s="1" t="s">
        <v>19</v>
      </c>
    </row>
    <row r="217" customFormat="false" ht="15" hidden="false" customHeight="true" outlineLevel="0" collapsed="false">
      <c r="A217" s="1" t="s">
        <v>539</v>
      </c>
      <c r="B217" s="1" t="s">
        <v>34</v>
      </c>
      <c r="C217" s="1" t="s">
        <v>540</v>
      </c>
      <c r="D217" s="1" t="n">
        <v>2000</v>
      </c>
      <c r="E217" s="1" t="s">
        <v>14</v>
      </c>
      <c r="F217" s="1" t="s">
        <v>15</v>
      </c>
      <c r="G217" s="1" t="s">
        <v>23</v>
      </c>
      <c r="H217" s="1" t="s">
        <v>276</v>
      </c>
      <c r="I217" s="1" t="s">
        <v>532</v>
      </c>
      <c r="J217" s="1" t="n">
        <v>10</v>
      </c>
      <c r="K217" s="1" t="s">
        <v>19</v>
      </c>
    </row>
    <row r="218" customFormat="false" ht="15" hidden="false" customHeight="true" outlineLevel="0" collapsed="false">
      <c r="A218" s="1" t="s">
        <v>541</v>
      </c>
      <c r="B218" s="1" t="s">
        <v>21</v>
      </c>
      <c r="C218" s="1" t="s">
        <v>542</v>
      </c>
      <c r="D218" s="1" t="n">
        <v>55.3</v>
      </c>
      <c r="E218" s="1" t="s">
        <v>14</v>
      </c>
      <c r="F218" s="1" t="s">
        <v>15</v>
      </c>
      <c r="G218" s="1" t="s">
        <v>36</v>
      </c>
      <c r="H218" s="1" t="s">
        <v>17</v>
      </c>
      <c r="I218" s="1" t="s">
        <v>532</v>
      </c>
      <c r="J218" s="1" t="n">
        <v>10</v>
      </c>
      <c r="K218" s="1" t="s">
        <v>19</v>
      </c>
    </row>
    <row r="219" customFormat="false" ht="15" hidden="false" customHeight="true" outlineLevel="0" collapsed="false">
      <c r="A219" s="1" t="s">
        <v>543</v>
      </c>
      <c r="B219" s="1" t="s">
        <v>180</v>
      </c>
      <c r="C219" s="1" t="s">
        <v>544</v>
      </c>
      <c r="D219" s="1" t="n">
        <v>31.86</v>
      </c>
      <c r="E219" s="1" t="s">
        <v>14</v>
      </c>
      <c r="F219" s="1" t="s">
        <v>49</v>
      </c>
      <c r="G219" s="1" t="s">
        <v>36</v>
      </c>
      <c r="H219" s="1" t="s">
        <v>37</v>
      </c>
      <c r="I219" s="1" t="s">
        <v>532</v>
      </c>
      <c r="J219" s="1" t="n">
        <v>12</v>
      </c>
      <c r="K219" s="1" t="s">
        <v>19</v>
      </c>
    </row>
    <row r="220" customFormat="false" ht="15" hidden="false" customHeight="true" outlineLevel="0" collapsed="false">
      <c r="A220" s="1" t="s">
        <v>545</v>
      </c>
      <c r="B220" s="1" t="s">
        <v>302</v>
      </c>
      <c r="C220" s="1" t="s">
        <v>546</v>
      </c>
      <c r="D220" s="1" t="n">
        <v>156.74</v>
      </c>
      <c r="E220" s="1" t="s">
        <v>14</v>
      </c>
      <c r="F220" s="1" t="s">
        <v>28</v>
      </c>
      <c r="G220" s="1" t="s">
        <v>36</v>
      </c>
      <c r="H220" s="1" t="s">
        <v>17</v>
      </c>
      <c r="I220" s="1" t="s">
        <v>532</v>
      </c>
      <c r="J220" s="1" t="n">
        <v>13</v>
      </c>
      <c r="K220" s="1" t="s">
        <v>19</v>
      </c>
    </row>
    <row r="221" customFormat="false" ht="15" hidden="false" customHeight="true" outlineLevel="0" collapsed="false">
      <c r="A221" s="1" t="s">
        <v>547</v>
      </c>
      <c r="B221" s="1" t="s">
        <v>84</v>
      </c>
      <c r="C221" s="1" t="s">
        <v>548</v>
      </c>
      <c r="D221" s="1" t="n">
        <v>37.04</v>
      </c>
      <c r="E221" s="1" t="s">
        <v>14</v>
      </c>
      <c r="F221" s="1" t="s">
        <v>56</v>
      </c>
      <c r="G221" s="1" t="s">
        <v>36</v>
      </c>
      <c r="H221" s="1" t="s">
        <v>24</v>
      </c>
      <c r="I221" s="1" t="s">
        <v>532</v>
      </c>
      <c r="J221" s="1" t="n">
        <v>14</v>
      </c>
      <c r="K221" s="1" t="s">
        <v>19</v>
      </c>
    </row>
    <row r="222" customFormat="false" ht="15" hidden="false" customHeight="true" outlineLevel="0" collapsed="false">
      <c r="A222" s="1" t="s">
        <v>549</v>
      </c>
      <c r="B222" s="1" t="s">
        <v>12</v>
      </c>
      <c r="C222" s="1" t="s">
        <v>550</v>
      </c>
      <c r="D222" s="1" t="n">
        <v>63.42</v>
      </c>
      <c r="E222" s="1" t="s">
        <v>14</v>
      </c>
      <c r="F222" s="1" t="s">
        <v>15</v>
      </c>
      <c r="G222" s="1" t="s">
        <v>23</v>
      </c>
      <c r="H222" s="1" t="s">
        <v>17</v>
      </c>
      <c r="I222" s="1" t="s">
        <v>532</v>
      </c>
      <c r="J222" s="1" t="n">
        <v>14</v>
      </c>
      <c r="K222" s="1" t="s">
        <v>19</v>
      </c>
    </row>
    <row r="223" customFormat="false" ht="15" hidden="false" customHeight="true" outlineLevel="0" collapsed="false">
      <c r="A223" s="1" t="s">
        <v>551</v>
      </c>
      <c r="B223" s="1" t="s">
        <v>228</v>
      </c>
      <c r="C223" s="1" t="s">
        <v>552</v>
      </c>
      <c r="D223" s="1" t="n">
        <v>40.32</v>
      </c>
      <c r="E223" s="1" t="s">
        <v>14</v>
      </c>
      <c r="F223" s="1" t="s">
        <v>28</v>
      </c>
      <c r="G223" s="1" t="s">
        <v>70</v>
      </c>
      <c r="H223" s="1" t="s">
        <v>17</v>
      </c>
      <c r="I223" s="1" t="s">
        <v>532</v>
      </c>
      <c r="J223" s="1" t="n">
        <v>14</v>
      </c>
      <c r="K223" s="1" t="s">
        <v>19</v>
      </c>
    </row>
    <row r="224" customFormat="false" ht="15" hidden="false" customHeight="true" outlineLevel="0" collapsed="false">
      <c r="A224" s="1" t="s">
        <v>553</v>
      </c>
      <c r="B224" s="1" t="s">
        <v>58</v>
      </c>
      <c r="C224" s="1" t="s">
        <v>554</v>
      </c>
      <c r="D224" s="1" t="n">
        <v>14.12</v>
      </c>
      <c r="E224" s="1" t="s">
        <v>14</v>
      </c>
      <c r="F224" s="1" t="s">
        <v>15</v>
      </c>
      <c r="G224" s="1" t="s">
        <v>29</v>
      </c>
      <c r="H224" s="1" t="s">
        <v>17</v>
      </c>
      <c r="I224" s="1" t="s">
        <v>532</v>
      </c>
      <c r="J224" s="1" t="n">
        <v>14</v>
      </c>
      <c r="K224" s="1" t="s">
        <v>19</v>
      </c>
    </row>
    <row r="225" customFormat="false" ht="15" hidden="false" customHeight="true" outlineLevel="0" collapsed="false">
      <c r="A225" s="1" t="s">
        <v>555</v>
      </c>
      <c r="B225" s="1" t="s">
        <v>34</v>
      </c>
      <c r="C225" s="1" t="s">
        <v>556</v>
      </c>
      <c r="D225" s="1" t="n">
        <v>91.09</v>
      </c>
      <c r="E225" s="1" t="s">
        <v>14</v>
      </c>
      <c r="F225" s="1" t="s">
        <v>15</v>
      </c>
      <c r="G225" s="1" t="s">
        <v>86</v>
      </c>
      <c r="H225" s="1" t="s">
        <v>37</v>
      </c>
      <c r="I225" s="1" t="s">
        <v>532</v>
      </c>
      <c r="J225" s="1" t="n">
        <v>14</v>
      </c>
      <c r="K225" s="1" t="s">
        <v>19</v>
      </c>
    </row>
    <row r="226" customFormat="false" ht="15" hidden="false" customHeight="true" outlineLevel="0" collapsed="false">
      <c r="A226" s="1" t="s">
        <v>557</v>
      </c>
      <c r="B226" s="1" t="s">
        <v>84</v>
      </c>
      <c r="C226" s="1" t="s">
        <v>558</v>
      </c>
      <c r="D226" s="1" t="n">
        <v>21.44</v>
      </c>
      <c r="E226" s="1" t="s">
        <v>14</v>
      </c>
      <c r="F226" s="1" t="s">
        <v>56</v>
      </c>
      <c r="G226" s="1" t="s">
        <v>86</v>
      </c>
      <c r="H226" s="1" t="s">
        <v>37</v>
      </c>
      <c r="I226" s="1" t="s">
        <v>532</v>
      </c>
      <c r="J226" s="1" t="n">
        <v>15</v>
      </c>
      <c r="K226" s="1" t="s">
        <v>19</v>
      </c>
    </row>
    <row r="227" customFormat="false" ht="15" hidden="false" customHeight="true" outlineLevel="0" collapsed="false">
      <c r="A227" s="1" t="s">
        <v>559</v>
      </c>
      <c r="B227" s="1" t="s">
        <v>47</v>
      </c>
      <c r="C227" s="1" t="s">
        <v>560</v>
      </c>
      <c r="D227" s="1" t="n">
        <v>119.4</v>
      </c>
      <c r="E227" s="1" t="s">
        <v>14</v>
      </c>
      <c r="F227" s="1" t="s">
        <v>49</v>
      </c>
      <c r="G227" s="1" t="s">
        <v>29</v>
      </c>
      <c r="H227" s="1" t="s">
        <v>17</v>
      </c>
      <c r="I227" s="1" t="s">
        <v>532</v>
      </c>
      <c r="J227" s="1" t="n">
        <v>16</v>
      </c>
      <c r="K227" s="1" t="s">
        <v>19</v>
      </c>
    </row>
    <row r="228" customFormat="false" ht="15" hidden="false" customHeight="true" outlineLevel="0" collapsed="false">
      <c r="A228" s="1" t="s">
        <v>561</v>
      </c>
      <c r="B228" s="1" t="s">
        <v>291</v>
      </c>
      <c r="C228" s="1" t="s">
        <v>562</v>
      </c>
      <c r="D228" s="1" t="n">
        <v>46.81</v>
      </c>
      <c r="E228" s="1" t="s">
        <v>14</v>
      </c>
      <c r="F228" s="1" t="s">
        <v>28</v>
      </c>
      <c r="G228" s="1" t="s">
        <v>86</v>
      </c>
      <c r="H228" s="1" t="s">
        <v>17</v>
      </c>
      <c r="I228" s="1" t="s">
        <v>532</v>
      </c>
      <c r="J228" s="1" t="n">
        <v>16</v>
      </c>
      <c r="K228" s="1" t="s">
        <v>19</v>
      </c>
    </row>
    <row r="229" customFormat="false" ht="15" hidden="false" customHeight="true" outlineLevel="0" collapsed="false">
      <c r="A229" s="1" t="s">
        <v>563</v>
      </c>
      <c r="B229" s="1" t="s">
        <v>51</v>
      </c>
      <c r="C229" s="1" t="s">
        <v>564</v>
      </c>
      <c r="D229" s="1" t="n">
        <v>42.26</v>
      </c>
      <c r="E229" s="1" t="s">
        <v>14</v>
      </c>
      <c r="F229" s="1" t="s">
        <v>41</v>
      </c>
      <c r="G229" s="1" t="s">
        <v>42</v>
      </c>
      <c r="H229" s="1" t="s">
        <v>17</v>
      </c>
      <c r="I229" s="1" t="s">
        <v>532</v>
      </c>
      <c r="J229" s="1" t="n">
        <v>17</v>
      </c>
      <c r="K229" s="1" t="s">
        <v>19</v>
      </c>
    </row>
    <row r="230" customFormat="false" ht="15" hidden="false" customHeight="true" outlineLevel="0" collapsed="false">
      <c r="A230" s="1" t="s">
        <v>565</v>
      </c>
      <c r="B230" s="1" t="s">
        <v>162</v>
      </c>
      <c r="C230" s="1" t="s">
        <v>566</v>
      </c>
      <c r="D230" s="1" t="n">
        <v>45.89</v>
      </c>
      <c r="E230" s="1" t="s">
        <v>14</v>
      </c>
      <c r="F230" s="1" t="s">
        <v>49</v>
      </c>
      <c r="G230" s="1" t="s">
        <v>36</v>
      </c>
      <c r="H230" s="1" t="s">
        <v>37</v>
      </c>
      <c r="I230" s="1" t="s">
        <v>532</v>
      </c>
      <c r="J230" s="1" t="n">
        <v>17</v>
      </c>
      <c r="K230" s="1" t="s">
        <v>19</v>
      </c>
    </row>
    <row r="231" customFormat="false" ht="15" hidden="false" customHeight="true" outlineLevel="0" collapsed="false">
      <c r="A231" s="1" t="s">
        <v>567</v>
      </c>
      <c r="B231" s="1" t="s">
        <v>170</v>
      </c>
      <c r="C231" s="1" t="s">
        <v>568</v>
      </c>
      <c r="D231" s="1" t="n">
        <v>50.95</v>
      </c>
      <c r="E231" s="1" t="s">
        <v>14</v>
      </c>
      <c r="F231" s="1" t="s">
        <v>41</v>
      </c>
      <c r="G231" s="1" t="s">
        <v>36</v>
      </c>
      <c r="H231" s="1" t="s">
        <v>17</v>
      </c>
      <c r="I231" s="1" t="s">
        <v>532</v>
      </c>
      <c r="J231" s="1" t="n">
        <v>18</v>
      </c>
      <c r="K231" s="1" t="s">
        <v>19</v>
      </c>
    </row>
    <row r="232" customFormat="false" ht="15" hidden="false" customHeight="true" outlineLevel="0" collapsed="false">
      <c r="A232" s="1" t="s">
        <v>569</v>
      </c>
      <c r="B232" s="1" t="s">
        <v>162</v>
      </c>
      <c r="C232" s="1" t="s">
        <v>570</v>
      </c>
      <c r="D232" s="1" t="n">
        <v>26.92</v>
      </c>
      <c r="E232" s="1" t="s">
        <v>14</v>
      </c>
      <c r="F232" s="1" t="s">
        <v>49</v>
      </c>
      <c r="G232" s="1" t="s">
        <v>36</v>
      </c>
      <c r="H232" s="1" t="s">
        <v>17</v>
      </c>
      <c r="I232" s="1" t="s">
        <v>532</v>
      </c>
      <c r="J232" s="1" t="n">
        <v>20</v>
      </c>
      <c r="K232" s="1" t="s">
        <v>19</v>
      </c>
    </row>
    <row r="233" customFormat="false" ht="15" hidden="false" customHeight="true" outlineLevel="0" collapsed="false">
      <c r="A233" s="1" t="s">
        <v>571</v>
      </c>
      <c r="B233" s="1" t="s">
        <v>258</v>
      </c>
      <c r="C233" s="1" t="s">
        <v>572</v>
      </c>
      <c r="D233" s="1" t="n">
        <v>18.77</v>
      </c>
      <c r="E233" s="1" t="s">
        <v>14</v>
      </c>
      <c r="F233" s="1" t="s">
        <v>28</v>
      </c>
      <c r="G233" s="1" t="s">
        <v>70</v>
      </c>
      <c r="H233" s="1" t="s">
        <v>24</v>
      </c>
      <c r="I233" s="1" t="s">
        <v>573</v>
      </c>
      <c r="J233" s="1" t="n">
        <v>0</v>
      </c>
      <c r="K233" s="1" t="s">
        <v>67</v>
      </c>
    </row>
    <row r="234" customFormat="false" ht="15" hidden="false" customHeight="true" outlineLevel="0" collapsed="false">
      <c r="A234" s="1" t="s">
        <v>574</v>
      </c>
      <c r="B234" s="1" t="s">
        <v>39</v>
      </c>
      <c r="C234" s="1" t="s">
        <v>575</v>
      </c>
      <c r="D234" s="1" t="n">
        <v>487.59</v>
      </c>
      <c r="E234" s="1" t="s">
        <v>14</v>
      </c>
      <c r="F234" s="1" t="s">
        <v>41</v>
      </c>
      <c r="G234" s="1" t="s">
        <v>86</v>
      </c>
      <c r="H234" s="1" t="s">
        <v>17</v>
      </c>
      <c r="I234" s="1" t="s">
        <v>573</v>
      </c>
      <c r="J234" s="1" t="n">
        <v>4</v>
      </c>
      <c r="K234" s="1" t="s">
        <v>67</v>
      </c>
    </row>
    <row r="235" customFormat="false" ht="15" hidden="false" customHeight="true" outlineLevel="0" collapsed="false">
      <c r="A235" s="1" t="s">
        <v>576</v>
      </c>
      <c r="B235" s="1" t="s">
        <v>307</v>
      </c>
      <c r="C235" s="1" t="s">
        <v>577</v>
      </c>
      <c r="D235" s="1" t="n">
        <v>21.69</v>
      </c>
      <c r="E235" s="1" t="s">
        <v>14</v>
      </c>
      <c r="F235" s="1" t="s">
        <v>15</v>
      </c>
      <c r="G235" s="1" t="s">
        <v>23</v>
      </c>
      <c r="H235" s="1" t="s">
        <v>17</v>
      </c>
      <c r="I235" s="1" t="s">
        <v>573</v>
      </c>
      <c r="J235" s="1" t="n">
        <v>10</v>
      </c>
      <c r="K235" s="1" t="s">
        <v>67</v>
      </c>
    </row>
    <row r="236" customFormat="false" ht="15" hidden="false" customHeight="true" outlineLevel="0" collapsed="false">
      <c r="A236" s="1" t="s">
        <v>578</v>
      </c>
      <c r="B236" s="1" t="s">
        <v>98</v>
      </c>
      <c r="C236" s="1" t="s">
        <v>579</v>
      </c>
      <c r="D236" s="1" t="n">
        <v>86.81</v>
      </c>
      <c r="E236" s="1" t="s">
        <v>14</v>
      </c>
      <c r="F236" s="1" t="s">
        <v>15</v>
      </c>
      <c r="G236" s="1" t="s">
        <v>70</v>
      </c>
      <c r="H236" s="1" t="s">
        <v>17</v>
      </c>
      <c r="I236" s="1" t="s">
        <v>573</v>
      </c>
      <c r="J236" s="1" t="n">
        <v>12</v>
      </c>
      <c r="K236" s="1" t="s">
        <v>67</v>
      </c>
    </row>
    <row r="237" customFormat="false" ht="15" hidden="false" customHeight="true" outlineLevel="0" collapsed="false">
      <c r="A237" s="1" t="s">
        <v>580</v>
      </c>
      <c r="B237" s="1" t="s">
        <v>245</v>
      </c>
      <c r="C237" s="1" t="s">
        <v>581</v>
      </c>
      <c r="D237" s="1" t="n">
        <v>24.28</v>
      </c>
      <c r="E237" s="1" t="s">
        <v>14</v>
      </c>
      <c r="F237" s="1" t="s">
        <v>15</v>
      </c>
      <c r="G237" s="1" t="s">
        <v>36</v>
      </c>
      <c r="H237" s="1" t="s">
        <v>24</v>
      </c>
      <c r="I237" s="1" t="s">
        <v>573</v>
      </c>
      <c r="J237" s="1" t="n">
        <v>12</v>
      </c>
      <c r="K237" s="1" t="s">
        <v>67</v>
      </c>
    </row>
    <row r="238" customFormat="false" ht="15" hidden="false" customHeight="true" outlineLevel="0" collapsed="false">
      <c r="A238" s="1" t="s">
        <v>582</v>
      </c>
      <c r="B238" s="1" t="s">
        <v>258</v>
      </c>
      <c r="C238" s="1" t="s">
        <v>583</v>
      </c>
      <c r="D238" s="1" t="n">
        <v>89.44</v>
      </c>
      <c r="E238" s="1" t="s">
        <v>14</v>
      </c>
      <c r="F238" s="1" t="s">
        <v>28</v>
      </c>
      <c r="G238" s="1" t="s">
        <v>70</v>
      </c>
      <c r="H238" s="1" t="s">
        <v>37</v>
      </c>
      <c r="I238" s="1" t="s">
        <v>573</v>
      </c>
      <c r="J238" s="1" t="n">
        <v>12</v>
      </c>
      <c r="K238" s="1" t="s">
        <v>67</v>
      </c>
    </row>
    <row r="239" customFormat="false" ht="15" hidden="false" customHeight="true" outlineLevel="0" collapsed="false">
      <c r="A239" s="1" t="s">
        <v>584</v>
      </c>
      <c r="B239" s="1" t="s">
        <v>137</v>
      </c>
      <c r="C239" s="1" t="s">
        <v>585</v>
      </c>
      <c r="D239" s="1" t="n">
        <v>14.4</v>
      </c>
      <c r="E239" s="1" t="s">
        <v>14</v>
      </c>
      <c r="F239" s="1" t="s">
        <v>49</v>
      </c>
      <c r="G239" s="1" t="s">
        <v>23</v>
      </c>
      <c r="H239" s="1" t="s">
        <v>37</v>
      </c>
      <c r="I239" s="1" t="s">
        <v>573</v>
      </c>
      <c r="J239" s="1" t="n">
        <v>13</v>
      </c>
      <c r="K239" s="1" t="s">
        <v>67</v>
      </c>
    </row>
    <row r="240" customFormat="false" ht="15" hidden="false" customHeight="true" outlineLevel="0" collapsed="false">
      <c r="A240" s="1" t="s">
        <v>586</v>
      </c>
      <c r="B240" s="1" t="s">
        <v>148</v>
      </c>
      <c r="C240" s="1" t="s">
        <v>587</v>
      </c>
      <c r="D240" s="1" t="n">
        <v>141.46</v>
      </c>
      <c r="E240" s="1" t="s">
        <v>14</v>
      </c>
      <c r="F240" s="1" t="s">
        <v>41</v>
      </c>
      <c r="G240" s="1" t="s">
        <v>86</v>
      </c>
      <c r="H240" s="1" t="s">
        <v>37</v>
      </c>
      <c r="I240" s="1" t="s">
        <v>573</v>
      </c>
      <c r="J240" s="1" t="n">
        <v>14</v>
      </c>
      <c r="K240" s="1" t="s">
        <v>67</v>
      </c>
    </row>
    <row r="241" customFormat="false" ht="15" hidden="false" customHeight="true" outlineLevel="0" collapsed="false">
      <c r="A241" s="1" t="s">
        <v>588</v>
      </c>
      <c r="B241" s="1" t="s">
        <v>148</v>
      </c>
      <c r="C241" s="1" t="s">
        <v>589</v>
      </c>
      <c r="D241" s="1" t="n">
        <v>499.69</v>
      </c>
      <c r="E241" s="1" t="s">
        <v>14</v>
      </c>
      <c r="F241" s="1" t="s">
        <v>41</v>
      </c>
      <c r="G241" s="1" t="s">
        <v>86</v>
      </c>
      <c r="H241" s="1" t="s">
        <v>37</v>
      </c>
      <c r="I241" s="1" t="s">
        <v>573</v>
      </c>
      <c r="J241" s="1" t="n">
        <v>14</v>
      </c>
      <c r="K241" s="1" t="s">
        <v>67</v>
      </c>
    </row>
    <row r="242" customFormat="false" ht="15" hidden="false" customHeight="true" outlineLevel="0" collapsed="false">
      <c r="A242" s="1" t="s">
        <v>590</v>
      </c>
      <c r="B242" s="1" t="s">
        <v>180</v>
      </c>
      <c r="C242" s="1" t="s">
        <v>591</v>
      </c>
      <c r="D242" s="1" t="n">
        <v>54.54</v>
      </c>
      <c r="E242" s="1" t="s">
        <v>14</v>
      </c>
      <c r="F242" s="1" t="s">
        <v>49</v>
      </c>
      <c r="G242" s="1" t="s">
        <v>86</v>
      </c>
      <c r="H242" s="1" t="s">
        <v>17</v>
      </c>
      <c r="I242" s="1" t="s">
        <v>573</v>
      </c>
      <c r="J242" s="1" t="n">
        <v>14</v>
      </c>
      <c r="K242" s="1" t="s">
        <v>67</v>
      </c>
    </row>
    <row r="243" customFormat="false" ht="15" hidden="false" customHeight="true" outlineLevel="0" collapsed="false">
      <c r="A243" s="1" t="s">
        <v>592</v>
      </c>
      <c r="B243" s="1" t="s">
        <v>148</v>
      </c>
      <c r="C243" s="1" t="s">
        <v>593</v>
      </c>
      <c r="D243" s="1" t="n">
        <v>427</v>
      </c>
      <c r="E243" s="1" t="s">
        <v>14</v>
      </c>
      <c r="F243" s="1" t="s">
        <v>41</v>
      </c>
      <c r="G243" s="1" t="s">
        <v>86</v>
      </c>
      <c r="H243" s="1" t="s">
        <v>37</v>
      </c>
      <c r="I243" s="1" t="s">
        <v>573</v>
      </c>
      <c r="J243" s="1" t="n">
        <v>14</v>
      </c>
      <c r="K243" s="1" t="s">
        <v>67</v>
      </c>
    </row>
    <row r="244" customFormat="false" ht="15" hidden="false" customHeight="true" outlineLevel="0" collapsed="false">
      <c r="A244" s="1" t="s">
        <v>594</v>
      </c>
      <c r="B244" s="1" t="s">
        <v>148</v>
      </c>
      <c r="C244" s="1" t="s">
        <v>595</v>
      </c>
      <c r="D244" s="1" t="n">
        <v>318.35</v>
      </c>
      <c r="E244" s="1" t="s">
        <v>14</v>
      </c>
      <c r="F244" s="1" t="s">
        <v>41</v>
      </c>
      <c r="G244" s="1" t="s">
        <v>86</v>
      </c>
      <c r="H244" s="1" t="s">
        <v>37</v>
      </c>
      <c r="I244" s="1" t="s">
        <v>573</v>
      </c>
      <c r="J244" s="1" t="n">
        <v>14</v>
      </c>
      <c r="K244" s="1" t="s">
        <v>67</v>
      </c>
    </row>
    <row r="245" customFormat="false" ht="15" hidden="false" customHeight="true" outlineLevel="0" collapsed="false">
      <c r="A245" s="1" t="s">
        <v>596</v>
      </c>
      <c r="B245" s="1" t="s">
        <v>167</v>
      </c>
      <c r="C245" s="1" t="s">
        <v>595</v>
      </c>
      <c r="D245" s="1" t="n">
        <v>21.13</v>
      </c>
      <c r="E245" s="1" t="s">
        <v>14</v>
      </c>
      <c r="F245" s="1" t="s">
        <v>28</v>
      </c>
      <c r="G245" s="1" t="s">
        <v>82</v>
      </c>
      <c r="H245" s="1" t="s">
        <v>37</v>
      </c>
      <c r="I245" s="1" t="s">
        <v>573</v>
      </c>
      <c r="J245" s="1" t="n">
        <v>14</v>
      </c>
      <c r="K245" s="1" t="s">
        <v>67</v>
      </c>
    </row>
    <row r="246" customFormat="false" ht="15" hidden="false" customHeight="true" outlineLevel="0" collapsed="false">
      <c r="A246" s="1" t="s">
        <v>597</v>
      </c>
      <c r="B246" s="1" t="s">
        <v>332</v>
      </c>
      <c r="C246" s="1" t="s">
        <v>598</v>
      </c>
      <c r="D246" s="1" t="n">
        <v>54.66</v>
      </c>
      <c r="E246" s="1" t="s">
        <v>14</v>
      </c>
      <c r="F246" s="1" t="s">
        <v>49</v>
      </c>
      <c r="G246" s="1" t="s">
        <v>82</v>
      </c>
      <c r="H246" s="1" t="s">
        <v>17</v>
      </c>
      <c r="I246" s="1" t="s">
        <v>573</v>
      </c>
      <c r="J246" s="1" t="n">
        <v>14</v>
      </c>
      <c r="K246" s="1" t="s">
        <v>67</v>
      </c>
    </row>
    <row r="247" customFormat="false" ht="15" hidden="false" customHeight="true" outlineLevel="0" collapsed="false">
      <c r="A247" s="1" t="s">
        <v>599</v>
      </c>
      <c r="B247" s="1" t="s">
        <v>148</v>
      </c>
      <c r="C247" s="1" t="s">
        <v>600</v>
      </c>
      <c r="D247" s="1" t="n">
        <v>432.6</v>
      </c>
      <c r="E247" s="1" t="s">
        <v>14</v>
      </c>
      <c r="F247" s="1" t="s">
        <v>41</v>
      </c>
      <c r="G247" s="1" t="s">
        <v>86</v>
      </c>
      <c r="H247" s="1" t="s">
        <v>37</v>
      </c>
      <c r="I247" s="1" t="s">
        <v>573</v>
      </c>
      <c r="J247" s="1" t="n">
        <v>14</v>
      </c>
      <c r="K247" s="1" t="s">
        <v>67</v>
      </c>
    </row>
    <row r="248" customFormat="false" ht="15" hidden="false" customHeight="true" outlineLevel="0" collapsed="false">
      <c r="A248" s="1" t="s">
        <v>601</v>
      </c>
      <c r="B248" s="1" t="s">
        <v>148</v>
      </c>
      <c r="C248" s="1" t="s">
        <v>602</v>
      </c>
      <c r="D248" s="1" t="n">
        <v>534.61</v>
      </c>
      <c r="E248" s="1" t="s">
        <v>14</v>
      </c>
      <c r="F248" s="1" t="s">
        <v>41</v>
      </c>
      <c r="G248" s="1" t="s">
        <v>86</v>
      </c>
      <c r="H248" s="1" t="s">
        <v>37</v>
      </c>
      <c r="I248" s="1" t="s">
        <v>573</v>
      </c>
      <c r="J248" s="1" t="n">
        <v>14</v>
      </c>
      <c r="K248" s="1" t="s">
        <v>67</v>
      </c>
    </row>
    <row r="249" customFormat="false" ht="15" hidden="false" customHeight="true" outlineLevel="0" collapsed="false">
      <c r="A249" s="1" t="s">
        <v>603</v>
      </c>
      <c r="B249" s="1" t="s">
        <v>148</v>
      </c>
      <c r="C249" s="1" t="s">
        <v>604</v>
      </c>
      <c r="D249" s="1" t="n">
        <v>157.46</v>
      </c>
      <c r="E249" s="1" t="s">
        <v>14</v>
      </c>
      <c r="F249" s="1" t="s">
        <v>41</v>
      </c>
      <c r="G249" s="1" t="s">
        <v>86</v>
      </c>
      <c r="H249" s="1" t="s">
        <v>37</v>
      </c>
      <c r="I249" s="1" t="s">
        <v>573</v>
      </c>
      <c r="J249" s="1" t="n">
        <v>14</v>
      </c>
      <c r="K249" s="1" t="s">
        <v>67</v>
      </c>
    </row>
    <row r="250" customFormat="false" ht="15" hidden="false" customHeight="true" outlineLevel="0" collapsed="false">
      <c r="A250" s="1" t="s">
        <v>605</v>
      </c>
      <c r="B250" s="1" t="s">
        <v>148</v>
      </c>
      <c r="C250" s="1" t="s">
        <v>606</v>
      </c>
      <c r="D250" s="1" t="n">
        <v>381.26</v>
      </c>
      <c r="E250" s="1" t="s">
        <v>14</v>
      </c>
      <c r="F250" s="1" t="s">
        <v>41</v>
      </c>
      <c r="G250" s="1" t="s">
        <v>86</v>
      </c>
      <c r="H250" s="1" t="s">
        <v>37</v>
      </c>
      <c r="I250" s="1" t="s">
        <v>573</v>
      </c>
      <c r="J250" s="1" t="n">
        <v>14</v>
      </c>
      <c r="K250" s="1" t="s">
        <v>67</v>
      </c>
    </row>
    <row r="251" customFormat="false" ht="15" hidden="false" customHeight="true" outlineLevel="0" collapsed="false">
      <c r="A251" s="1" t="s">
        <v>607</v>
      </c>
      <c r="B251" s="1" t="s">
        <v>148</v>
      </c>
      <c r="C251" s="1" t="s">
        <v>608</v>
      </c>
      <c r="D251" s="1" t="n">
        <v>560.9</v>
      </c>
      <c r="E251" s="1" t="s">
        <v>14</v>
      </c>
      <c r="F251" s="1" t="s">
        <v>41</v>
      </c>
      <c r="G251" s="1" t="s">
        <v>86</v>
      </c>
      <c r="H251" s="1" t="s">
        <v>37</v>
      </c>
      <c r="I251" s="1" t="s">
        <v>573</v>
      </c>
      <c r="J251" s="1" t="n">
        <v>14</v>
      </c>
      <c r="K251" s="1" t="s">
        <v>67</v>
      </c>
    </row>
    <row r="252" customFormat="false" ht="15" hidden="false" customHeight="true" outlineLevel="0" collapsed="false">
      <c r="A252" s="1" t="s">
        <v>609</v>
      </c>
      <c r="B252" s="1" t="s">
        <v>148</v>
      </c>
      <c r="C252" s="1" t="s">
        <v>610</v>
      </c>
      <c r="D252" s="1" t="n">
        <v>99.18</v>
      </c>
      <c r="E252" s="1" t="s">
        <v>14</v>
      </c>
      <c r="F252" s="1" t="s">
        <v>41</v>
      </c>
      <c r="G252" s="1" t="s">
        <v>86</v>
      </c>
      <c r="H252" s="1" t="s">
        <v>37</v>
      </c>
      <c r="I252" s="1" t="s">
        <v>573</v>
      </c>
      <c r="J252" s="1" t="n">
        <v>14</v>
      </c>
      <c r="K252" s="1" t="s">
        <v>67</v>
      </c>
    </row>
    <row r="253" customFormat="false" ht="15" hidden="false" customHeight="true" outlineLevel="0" collapsed="false">
      <c r="A253" s="1" t="s">
        <v>611</v>
      </c>
      <c r="B253" s="1" t="s">
        <v>47</v>
      </c>
      <c r="C253" s="1" t="s">
        <v>612</v>
      </c>
      <c r="D253" s="1" t="n">
        <v>104.02</v>
      </c>
      <c r="E253" s="1" t="s">
        <v>14</v>
      </c>
      <c r="F253" s="1" t="s">
        <v>49</v>
      </c>
      <c r="G253" s="1" t="s">
        <v>82</v>
      </c>
      <c r="H253" s="1" t="s">
        <v>17</v>
      </c>
      <c r="I253" s="1" t="s">
        <v>573</v>
      </c>
      <c r="J253" s="1" t="n">
        <v>15</v>
      </c>
      <c r="K253" s="1" t="s">
        <v>67</v>
      </c>
    </row>
    <row r="254" customFormat="false" ht="15" hidden="false" customHeight="true" outlineLevel="0" collapsed="false">
      <c r="A254" s="1" t="s">
        <v>613</v>
      </c>
      <c r="B254" s="1" t="s">
        <v>98</v>
      </c>
      <c r="C254" s="1" t="s">
        <v>614</v>
      </c>
      <c r="D254" s="1" t="n">
        <v>84.26</v>
      </c>
      <c r="E254" s="1" t="s">
        <v>14</v>
      </c>
      <c r="F254" s="1" t="s">
        <v>15</v>
      </c>
      <c r="G254" s="1" t="s">
        <v>36</v>
      </c>
      <c r="H254" s="1" t="s">
        <v>24</v>
      </c>
      <c r="I254" s="1" t="s">
        <v>573</v>
      </c>
      <c r="J254" s="1" t="n">
        <v>15</v>
      </c>
      <c r="K254" s="1" t="s">
        <v>67</v>
      </c>
    </row>
    <row r="255" customFormat="false" ht="15" hidden="false" customHeight="true" outlineLevel="0" collapsed="false">
      <c r="A255" s="1" t="s">
        <v>615</v>
      </c>
      <c r="B255" s="1" t="s">
        <v>80</v>
      </c>
      <c r="C255" s="1" t="s">
        <v>616</v>
      </c>
      <c r="D255" s="1" t="n">
        <v>258.16</v>
      </c>
      <c r="E255" s="1" t="s">
        <v>14</v>
      </c>
      <c r="F255" s="1" t="s">
        <v>56</v>
      </c>
      <c r="G255" s="1" t="s">
        <v>82</v>
      </c>
      <c r="H255" s="1" t="s">
        <v>37</v>
      </c>
      <c r="I255" s="1" t="s">
        <v>573</v>
      </c>
      <c r="J255" s="1" t="n">
        <v>16</v>
      </c>
      <c r="K255" s="1" t="s">
        <v>67</v>
      </c>
    </row>
    <row r="256" customFormat="false" ht="15" hidden="false" customHeight="true" outlineLevel="0" collapsed="false">
      <c r="A256" s="1" t="s">
        <v>617</v>
      </c>
      <c r="B256" s="1" t="s">
        <v>193</v>
      </c>
      <c r="C256" s="1" t="s">
        <v>618</v>
      </c>
      <c r="D256" s="1" t="n">
        <v>24.22</v>
      </c>
      <c r="E256" s="1" t="s">
        <v>14</v>
      </c>
      <c r="F256" s="1" t="s">
        <v>15</v>
      </c>
      <c r="G256" s="1" t="s">
        <v>70</v>
      </c>
      <c r="H256" s="1" t="s">
        <v>17</v>
      </c>
      <c r="I256" s="1" t="s">
        <v>573</v>
      </c>
      <c r="J256" s="1" t="n">
        <v>16</v>
      </c>
      <c r="K256" s="1" t="s">
        <v>67</v>
      </c>
    </row>
    <row r="257" customFormat="false" ht="15" hidden="false" customHeight="true" outlineLevel="0" collapsed="false">
      <c r="A257" s="1" t="s">
        <v>619</v>
      </c>
      <c r="B257" s="1" t="s">
        <v>286</v>
      </c>
      <c r="C257" s="1" t="s">
        <v>620</v>
      </c>
      <c r="D257" s="1" t="n">
        <v>172.67</v>
      </c>
      <c r="E257" s="1" t="s">
        <v>14</v>
      </c>
      <c r="F257" s="1" t="s">
        <v>15</v>
      </c>
      <c r="G257" s="1" t="s">
        <v>70</v>
      </c>
      <c r="H257" s="1" t="s">
        <v>17</v>
      </c>
      <c r="I257" s="1" t="s">
        <v>573</v>
      </c>
      <c r="J257" s="1" t="n">
        <v>21</v>
      </c>
      <c r="K257" s="1" t="s">
        <v>67</v>
      </c>
    </row>
    <row r="258" customFormat="false" ht="15" hidden="false" customHeight="true" outlineLevel="0" collapsed="false">
      <c r="A258" s="1" t="s">
        <v>621</v>
      </c>
      <c r="B258" s="1" t="s">
        <v>196</v>
      </c>
      <c r="C258" s="1" t="s">
        <v>622</v>
      </c>
      <c r="D258" s="1" t="n">
        <v>105.34</v>
      </c>
      <c r="E258" s="1" t="s">
        <v>14</v>
      </c>
      <c r="F258" s="1" t="s">
        <v>15</v>
      </c>
      <c r="G258" s="1" t="s">
        <v>42</v>
      </c>
      <c r="H258" s="1" t="s">
        <v>24</v>
      </c>
      <c r="I258" s="1" t="s">
        <v>623</v>
      </c>
      <c r="J258" s="1" t="n">
        <v>1</v>
      </c>
      <c r="K258" s="1" t="s">
        <v>123</v>
      </c>
    </row>
    <row r="259" customFormat="false" ht="15" hidden="false" customHeight="true" outlineLevel="0" collapsed="false">
      <c r="A259" s="1" t="s">
        <v>624</v>
      </c>
      <c r="B259" s="1" t="s">
        <v>199</v>
      </c>
      <c r="C259" s="1" t="s">
        <v>625</v>
      </c>
      <c r="D259" s="1" t="n">
        <v>126.09</v>
      </c>
      <c r="E259" s="1" t="s">
        <v>14</v>
      </c>
      <c r="F259" s="1" t="s">
        <v>41</v>
      </c>
      <c r="G259" s="1" t="s">
        <v>23</v>
      </c>
      <c r="H259" s="1" t="s">
        <v>24</v>
      </c>
      <c r="I259" s="1" t="s">
        <v>623</v>
      </c>
      <c r="J259" s="1" t="n">
        <v>2</v>
      </c>
      <c r="K259" s="1" t="s">
        <v>123</v>
      </c>
    </row>
    <row r="260" customFormat="false" ht="15" hidden="false" customHeight="true" outlineLevel="0" collapsed="false">
      <c r="A260" s="1" t="s">
        <v>626</v>
      </c>
      <c r="B260" s="1" t="s">
        <v>26</v>
      </c>
      <c r="C260" s="1" t="s">
        <v>627</v>
      </c>
      <c r="D260" s="1" t="n">
        <v>62.5</v>
      </c>
      <c r="E260" s="1" t="s">
        <v>14</v>
      </c>
      <c r="F260" s="1" t="s">
        <v>28</v>
      </c>
      <c r="G260" s="1" t="s">
        <v>42</v>
      </c>
      <c r="H260" s="1" t="s">
        <v>37</v>
      </c>
      <c r="I260" s="1" t="s">
        <v>623</v>
      </c>
      <c r="J260" s="1" t="n">
        <v>2</v>
      </c>
      <c r="K260" s="1" t="s">
        <v>123</v>
      </c>
    </row>
    <row r="261" customFormat="false" ht="15" hidden="false" customHeight="true" outlineLevel="0" collapsed="false">
      <c r="A261" s="1" t="s">
        <v>628</v>
      </c>
      <c r="B261" s="1" t="s">
        <v>487</v>
      </c>
      <c r="C261" s="1" t="s">
        <v>629</v>
      </c>
      <c r="D261" s="1" t="n">
        <v>72.81</v>
      </c>
      <c r="E261" s="1" t="s">
        <v>14</v>
      </c>
      <c r="F261" s="1" t="s">
        <v>49</v>
      </c>
      <c r="G261" s="1" t="s">
        <v>82</v>
      </c>
      <c r="H261" s="1" t="s">
        <v>37</v>
      </c>
      <c r="I261" s="1" t="s">
        <v>623</v>
      </c>
      <c r="J261" s="1" t="n">
        <v>3</v>
      </c>
      <c r="K261" s="1" t="s">
        <v>123</v>
      </c>
    </row>
    <row r="262" customFormat="false" ht="15" hidden="false" customHeight="true" outlineLevel="0" collapsed="false">
      <c r="A262" s="1" t="s">
        <v>630</v>
      </c>
      <c r="B262" s="1" t="s">
        <v>54</v>
      </c>
      <c r="C262" s="1" t="s">
        <v>631</v>
      </c>
      <c r="D262" s="1" t="n">
        <v>57.97</v>
      </c>
      <c r="E262" s="1" t="s">
        <v>14</v>
      </c>
      <c r="F262" s="1" t="s">
        <v>56</v>
      </c>
      <c r="G262" s="1" t="s">
        <v>86</v>
      </c>
      <c r="H262" s="1" t="s">
        <v>17</v>
      </c>
      <c r="I262" s="1" t="s">
        <v>623</v>
      </c>
      <c r="J262" s="1" t="n">
        <v>4</v>
      </c>
      <c r="K262" s="1" t="s">
        <v>123</v>
      </c>
    </row>
    <row r="263" customFormat="false" ht="15" hidden="false" customHeight="true" outlineLevel="0" collapsed="false">
      <c r="A263" s="1" t="s">
        <v>632</v>
      </c>
      <c r="B263" s="1" t="s">
        <v>196</v>
      </c>
      <c r="C263" s="1" t="s">
        <v>633</v>
      </c>
      <c r="D263" s="1" t="n">
        <v>66.32</v>
      </c>
      <c r="E263" s="1" t="s">
        <v>14</v>
      </c>
      <c r="F263" s="1" t="s">
        <v>15</v>
      </c>
      <c r="G263" s="1" t="s">
        <v>86</v>
      </c>
      <c r="H263" s="1" t="s">
        <v>24</v>
      </c>
      <c r="I263" s="1" t="s">
        <v>623</v>
      </c>
      <c r="J263" s="1" t="n">
        <v>4</v>
      </c>
      <c r="K263" s="1" t="s">
        <v>123</v>
      </c>
    </row>
    <row r="264" customFormat="false" ht="15" hidden="false" customHeight="true" outlineLevel="0" collapsed="false">
      <c r="A264" s="1" t="s">
        <v>634</v>
      </c>
      <c r="B264" s="1" t="s">
        <v>193</v>
      </c>
      <c r="C264" s="1" t="s">
        <v>635</v>
      </c>
      <c r="D264" s="1" t="n">
        <v>81.57</v>
      </c>
      <c r="E264" s="1" t="s">
        <v>14</v>
      </c>
      <c r="F264" s="1" t="s">
        <v>15</v>
      </c>
      <c r="G264" s="1" t="s">
        <v>82</v>
      </c>
      <c r="H264" s="1" t="s">
        <v>24</v>
      </c>
      <c r="I264" s="1" t="s">
        <v>623</v>
      </c>
      <c r="J264" s="1" t="n">
        <v>7</v>
      </c>
      <c r="K264" s="1" t="s">
        <v>123</v>
      </c>
    </row>
    <row r="265" customFormat="false" ht="15" hidden="false" customHeight="true" outlineLevel="0" collapsed="false">
      <c r="A265" s="1" t="s">
        <v>636</v>
      </c>
      <c r="B265" s="1" t="s">
        <v>106</v>
      </c>
      <c r="C265" s="1" t="s">
        <v>637</v>
      </c>
      <c r="D265" s="1" t="n">
        <v>57.82</v>
      </c>
      <c r="E265" s="1" t="s">
        <v>14</v>
      </c>
      <c r="F265" s="1" t="s">
        <v>15</v>
      </c>
      <c r="G265" s="1" t="s">
        <v>36</v>
      </c>
      <c r="H265" s="1" t="s">
        <v>24</v>
      </c>
      <c r="I265" s="1" t="s">
        <v>623</v>
      </c>
      <c r="J265" s="1" t="n">
        <v>10</v>
      </c>
      <c r="K265" s="1" t="s">
        <v>123</v>
      </c>
    </row>
    <row r="266" customFormat="false" ht="15" hidden="false" customHeight="true" outlineLevel="0" collapsed="false">
      <c r="A266" s="1" t="s">
        <v>638</v>
      </c>
      <c r="B266" s="1" t="s">
        <v>235</v>
      </c>
      <c r="C266" s="1" t="s">
        <v>639</v>
      </c>
      <c r="D266" s="1" t="n">
        <v>135.9</v>
      </c>
      <c r="E266" s="1" t="s">
        <v>14</v>
      </c>
      <c r="F266" s="1" t="s">
        <v>41</v>
      </c>
      <c r="G266" s="1" t="s">
        <v>70</v>
      </c>
      <c r="H266" s="1" t="s">
        <v>37</v>
      </c>
      <c r="I266" s="1" t="s">
        <v>623</v>
      </c>
      <c r="J266" s="1" t="n">
        <v>11</v>
      </c>
      <c r="K266" s="1" t="s">
        <v>123</v>
      </c>
    </row>
    <row r="267" customFormat="false" ht="15" hidden="false" customHeight="true" outlineLevel="0" collapsed="false">
      <c r="A267" s="1" t="s">
        <v>640</v>
      </c>
      <c r="B267" s="1" t="s">
        <v>475</v>
      </c>
      <c r="C267" s="1" t="s">
        <v>641</v>
      </c>
      <c r="D267" s="1" t="n">
        <v>47.04</v>
      </c>
      <c r="E267" s="1" t="s">
        <v>14</v>
      </c>
      <c r="F267" s="1" t="s">
        <v>56</v>
      </c>
      <c r="G267" s="1" t="s">
        <v>16</v>
      </c>
      <c r="H267" s="1" t="s">
        <v>37</v>
      </c>
      <c r="I267" s="1" t="s">
        <v>623</v>
      </c>
      <c r="J267" s="1" t="n">
        <v>11</v>
      </c>
      <c r="K267" s="1" t="s">
        <v>123</v>
      </c>
    </row>
    <row r="268" customFormat="false" ht="15" hidden="false" customHeight="true" outlineLevel="0" collapsed="false">
      <c r="A268" s="1" t="s">
        <v>642</v>
      </c>
      <c r="B268" s="1" t="s">
        <v>302</v>
      </c>
      <c r="C268" s="1" t="s">
        <v>643</v>
      </c>
      <c r="D268" s="1" t="n">
        <v>194.72</v>
      </c>
      <c r="E268" s="1" t="s">
        <v>14</v>
      </c>
      <c r="F268" s="1" t="s">
        <v>28</v>
      </c>
      <c r="G268" s="1" t="s">
        <v>29</v>
      </c>
      <c r="H268" s="1" t="s">
        <v>24</v>
      </c>
      <c r="I268" s="1" t="s">
        <v>623</v>
      </c>
      <c r="J268" s="1" t="n">
        <v>13</v>
      </c>
      <c r="K268" s="1" t="s">
        <v>123</v>
      </c>
    </row>
    <row r="269" customFormat="false" ht="15" hidden="false" customHeight="true" outlineLevel="0" collapsed="false">
      <c r="A269" s="1" t="s">
        <v>644</v>
      </c>
      <c r="B269" s="1" t="s">
        <v>286</v>
      </c>
      <c r="C269" s="1" t="s">
        <v>645</v>
      </c>
      <c r="D269" s="1" t="n">
        <v>47.15</v>
      </c>
      <c r="E269" s="1" t="s">
        <v>14</v>
      </c>
      <c r="F269" s="1" t="s">
        <v>15</v>
      </c>
      <c r="G269" s="1" t="s">
        <v>86</v>
      </c>
      <c r="H269" s="1" t="s">
        <v>37</v>
      </c>
      <c r="I269" s="1" t="s">
        <v>623</v>
      </c>
      <c r="J269" s="1" t="n">
        <v>14</v>
      </c>
      <c r="K269" s="1" t="s">
        <v>123</v>
      </c>
    </row>
    <row r="270" customFormat="false" ht="15" hidden="false" customHeight="true" outlineLevel="0" collapsed="false">
      <c r="A270" s="1" t="s">
        <v>646</v>
      </c>
      <c r="B270" s="1" t="s">
        <v>167</v>
      </c>
      <c r="C270" s="1" t="s">
        <v>647</v>
      </c>
      <c r="D270" s="1" t="n">
        <v>155.16</v>
      </c>
      <c r="E270" s="1" t="s">
        <v>14</v>
      </c>
      <c r="F270" s="1" t="s">
        <v>28</v>
      </c>
      <c r="G270" s="1" t="s">
        <v>42</v>
      </c>
      <c r="H270" s="1" t="s">
        <v>24</v>
      </c>
      <c r="I270" s="1" t="s">
        <v>623</v>
      </c>
      <c r="J270" s="1" t="n">
        <v>14</v>
      </c>
      <c r="K270" s="1" t="s">
        <v>123</v>
      </c>
    </row>
    <row r="271" customFormat="false" ht="15" hidden="false" customHeight="true" outlineLevel="0" collapsed="false">
      <c r="A271" s="1" t="s">
        <v>648</v>
      </c>
      <c r="B271" s="1" t="s">
        <v>332</v>
      </c>
      <c r="C271" s="1" t="s">
        <v>649</v>
      </c>
      <c r="D271" s="1" t="n">
        <v>33.76</v>
      </c>
      <c r="E271" s="1" t="s">
        <v>14</v>
      </c>
      <c r="F271" s="1" t="s">
        <v>49</v>
      </c>
      <c r="G271" s="1" t="s">
        <v>42</v>
      </c>
      <c r="H271" s="1" t="s">
        <v>24</v>
      </c>
      <c r="I271" s="1" t="s">
        <v>623</v>
      </c>
      <c r="J271" s="1" t="n">
        <v>15</v>
      </c>
      <c r="K271" s="1" t="s">
        <v>123</v>
      </c>
    </row>
    <row r="272" customFormat="false" ht="15" hidden="false" customHeight="true" outlineLevel="0" collapsed="false">
      <c r="A272" s="1" t="s">
        <v>650</v>
      </c>
      <c r="B272" s="1" t="s">
        <v>80</v>
      </c>
      <c r="C272" s="1" t="s">
        <v>651</v>
      </c>
      <c r="D272" s="1" t="n">
        <v>53.01</v>
      </c>
      <c r="E272" s="1" t="s">
        <v>14</v>
      </c>
      <c r="F272" s="1" t="s">
        <v>56</v>
      </c>
      <c r="G272" s="1" t="s">
        <v>29</v>
      </c>
      <c r="H272" s="1" t="s">
        <v>17</v>
      </c>
      <c r="I272" s="1" t="s">
        <v>623</v>
      </c>
      <c r="J272" s="1" t="n">
        <v>15</v>
      </c>
      <c r="K272" s="1" t="s">
        <v>123</v>
      </c>
    </row>
    <row r="273" customFormat="false" ht="15" hidden="false" customHeight="true" outlineLevel="0" collapsed="false">
      <c r="A273" s="1" t="s">
        <v>652</v>
      </c>
      <c r="B273" s="1" t="s">
        <v>120</v>
      </c>
      <c r="C273" s="1" t="s">
        <v>653</v>
      </c>
      <c r="D273" s="1" t="n">
        <v>67</v>
      </c>
      <c r="E273" s="1" t="s">
        <v>14</v>
      </c>
      <c r="F273" s="1" t="s">
        <v>49</v>
      </c>
      <c r="G273" s="1" t="s">
        <v>16</v>
      </c>
      <c r="H273" s="1" t="s">
        <v>37</v>
      </c>
      <c r="I273" s="1" t="s">
        <v>623</v>
      </c>
      <c r="J273" s="1" t="n">
        <v>16</v>
      </c>
      <c r="K273" s="1" t="s">
        <v>123</v>
      </c>
    </row>
    <row r="274" customFormat="false" ht="15" hidden="false" customHeight="true" outlineLevel="0" collapsed="false">
      <c r="A274" s="1" t="s">
        <v>654</v>
      </c>
      <c r="B274" s="1" t="s">
        <v>101</v>
      </c>
      <c r="C274" s="1" t="s">
        <v>655</v>
      </c>
      <c r="D274" s="1" t="n">
        <v>15.62</v>
      </c>
      <c r="E274" s="1" t="s">
        <v>14</v>
      </c>
      <c r="F274" s="1" t="s">
        <v>49</v>
      </c>
      <c r="G274" s="1" t="s">
        <v>82</v>
      </c>
      <c r="H274" s="1" t="s">
        <v>17</v>
      </c>
      <c r="I274" s="1" t="s">
        <v>623</v>
      </c>
      <c r="J274" s="1" t="n">
        <v>16</v>
      </c>
      <c r="K274" s="1" t="s">
        <v>123</v>
      </c>
    </row>
    <row r="275" customFormat="false" ht="15" hidden="false" customHeight="true" outlineLevel="0" collapsed="false">
      <c r="A275" s="1" t="s">
        <v>656</v>
      </c>
      <c r="B275" s="1" t="s">
        <v>193</v>
      </c>
      <c r="C275" s="1" t="s">
        <v>657</v>
      </c>
      <c r="D275" s="1" t="n">
        <v>264.17</v>
      </c>
      <c r="E275" s="1" t="s">
        <v>14</v>
      </c>
      <c r="F275" s="1" t="s">
        <v>15</v>
      </c>
      <c r="G275" s="1" t="s">
        <v>36</v>
      </c>
      <c r="H275" s="1" t="s">
        <v>37</v>
      </c>
      <c r="I275" s="1" t="s">
        <v>623</v>
      </c>
      <c r="J275" s="1" t="n">
        <v>18</v>
      </c>
      <c r="K275" s="1" t="s">
        <v>123</v>
      </c>
    </row>
    <row r="276" customFormat="false" ht="15" hidden="false" customHeight="true" outlineLevel="0" collapsed="false">
      <c r="A276" s="1" t="s">
        <v>658</v>
      </c>
      <c r="B276" s="1" t="s">
        <v>659</v>
      </c>
      <c r="C276" s="1" t="s">
        <v>660</v>
      </c>
      <c r="D276" s="1" t="n">
        <v>234.96</v>
      </c>
      <c r="E276" s="1" t="s">
        <v>14</v>
      </c>
      <c r="F276" s="1" t="s">
        <v>15</v>
      </c>
      <c r="G276" s="1" t="s">
        <v>42</v>
      </c>
      <c r="H276" s="1" t="s">
        <v>17</v>
      </c>
      <c r="I276" s="1" t="s">
        <v>623</v>
      </c>
      <c r="J276" s="1" t="n">
        <v>19</v>
      </c>
      <c r="K276" s="1" t="s">
        <v>123</v>
      </c>
    </row>
    <row r="277" customFormat="false" ht="15" hidden="false" customHeight="true" outlineLevel="0" collapsed="false">
      <c r="A277" s="1" t="s">
        <v>661</v>
      </c>
      <c r="B277" s="1" t="s">
        <v>180</v>
      </c>
      <c r="C277" s="1" t="s">
        <v>662</v>
      </c>
      <c r="D277" s="1" t="n">
        <v>117.11</v>
      </c>
      <c r="E277" s="1" t="s">
        <v>14</v>
      </c>
      <c r="F277" s="1" t="s">
        <v>49</v>
      </c>
      <c r="G277" s="1" t="s">
        <v>86</v>
      </c>
      <c r="H277" s="1" t="s">
        <v>24</v>
      </c>
      <c r="I277" s="1" t="s">
        <v>623</v>
      </c>
      <c r="J277" s="1" t="n">
        <v>20</v>
      </c>
      <c r="K277" s="1" t="s">
        <v>123</v>
      </c>
    </row>
    <row r="278" customFormat="false" ht="15" hidden="false" customHeight="true" outlineLevel="0" collapsed="false">
      <c r="A278" s="1" t="s">
        <v>663</v>
      </c>
      <c r="B278" s="1" t="s">
        <v>31</v>
      </c>
      <c r="C278" s="1" t="s">
        <v>664</v>
      </c>
      <c r="D278" s="1" t="n">
        <v>92.93</v>
      </c>
      <c r="E278" s="1" t="s">
        <v>14</v>
      </c>
      <c r="F278" s="1" t="s">
        <v>15</v>
      </c>
      <c r="G278" s="1" t="s">
        <v>36</v>
      </c>
      <c r="H278" s="1" t="s">
        <v>17</v>
      </c>
      <c r="I278" s="1" t="s">
        <v>623</v>
      </c>
      <c r="J278" s="1" t="n">
        <v>23</v>
      </c>
      <c r="K278" s="1" t="s">
        <v>123</v>
      </c>
    </row>
    <row r="279" customFormat="false" ht="15" hidden="false" customHeight="true" outlineLevel="0" collapsed="false">
      <c r="A279" s="1" t="s">
        <v>665</v>
      </c>
      <c r="B279" s="1" t="s">
        <v>51</v>
      </c>
      <c r="C279" s="1" t="s">
        <v>666</v>
      </c>
      <c r="D279" s="1" t="n">
        <v>49.94</v>
      </c>
      <c r="E279" s="1" t="s">
        <v>14</v>
      </c>
      <c r="F279" s="1" t="s">
        <v>41</v>
      </c>
      <c r="G279" s="1" t="s">
        <v>86</v>
      </c>
      <c r="H279" s="1" t="s">
        <v>17</v>
      </c>
      <c r="I279" s="1" t="s">
        <v>667</v>
      </c>
      <c r="J279" s="1" t="n">
        <v>1</v>
      </c>
      <c r="K279" s="1" t="s">
        <v>151</v>
      </c>
    </row>
    <row r="280" customFormat="false" ht="15" hidden="false" customHeight="true" outlineLevel="0" collapsed="false">
      <c r="A280" s="1" t="s">
        <v>668</v>
      </c>
      <c r="B280" s="1" t="s">
        <v>72</v>
      </c>
      <c r="C280" s="1" t="s">
        <v>669</v>
      </c>
      <c r="D280" s="1" t="n">
        <v>23.84</v>
      </c>
      <c r="E280" s="1" t="s">
        <v>14</v>
      </c>
      <c r="F280" s="1" t="s">
        <v>49</v>
      </c>
      <c r="G280" s="1" t="s">
        <v>86</v>
      </c>
      <c r="H280" s="1" t="s">
        <v>17</v>
      </c>
      <c r="I280" s="1" t="s">
        <v>667</v>
      </c>
      <c r="J280" s="1" t="n">
        <v>8</v>
      </c>
      <c r="K280" s="1" t="s">
        <v>151</v>
      </c>
    </row>
    <row r="281" customFormat="false" ht="15" hidden="false" customHeight="true" outlineLevel="0" collapsed="false">
      <c r="A281" s="1" t="s">
        <v>670</v>
      </c>
      <c r="B281" s="1" t="s">
        <v>199</v>
      </c>
      <c r="C281" s="1" t="s">
        <v>671</v>
      </c>
      <c r="D281" s="1" t="n">
        <v>110.37</v>
      </c>
      <c r="E281" s="1" t="s">
        <v>14</v>
      </c>
      <c r="F281" s="1" t="s">
        <v>41</v>
      </c>
      <c r="G281" s="1" t="s">
        <v>86</v>
      </c>
      <c r="H281" s="1" t="s">
        <v>37</v>
      </c>
      <c r="I281" s="1" t="s">
        <v>667</v>
      </c>
      <c r="J281" s="1" t="n">
        <v>8</v>
      </c>
      <c r="K281" s="1" t="s">
        <v>151</v>
      </c>
    </row>
    <row r="282" customFormat="false" ht="15" hidden="false" customHeight="true" outlineLevel="0" collapsed="false">
      <c r="A282" s="1" t="s">
        <v>672</v>
      </c>
      <c r="B282" s="1" t="s">
        <v>61</v>
      </c>
      <c r="C282" s="1" t="s">
        <v>673</v>
      </c>
      <c r="D282" s="1" t="n">
        <v>125.01</v>
      </c>
      <c r="E282" s="1" t="s">
        <v>14</v>
      </c>
      <c r="F282" s="1" t="s">
        <v>56</v>
      </c>
      <c r="G282" s="1" t="s">
        <v>70</v>
      </c>
      <c r="H282" s="1" t="s">
        <v>24</v>
      </c>
      <c r="I282" s="1" t="s">
        <v>667</v>
      </c>
      <c r="J282" s="1" t="n">
        <v>8</v>
      </c>
      <c r="K282" s="1" t="s">
        <v>151</v>
      </c>
    </row>
    <row r="283" customFormat="false" ht="15" hidden="false" customHeight="true" outlineLevel="0" collapsed="false">
      <c r="A283" s="1" t="s">
        <v>674</v>
      </c>
      <c r="B283" s="1" t="s">
        <v>173</v>
      </c>
      <c r="C283" s="1" t="s">
        <v>675</v>
      </c>
      <c r="D283" s="1" t="n">
        <v>44.71</v>
      </c>
      <c r="E283" s="1" t="s">
        <v>14</v>
      </c>
      <c r="F283" s="1" t="s">
        <v>28</v>
      </c>
      <c r="G283" s="1" t="s">
        <v>29</v>
      </c>
      <c r="H283" s="1" t="s">
        <v>24</v>
      </c>
      <c r="I283" s="1" t="s">
        <v>667</v>
      </c>
      <c r="J283" s="1" t="n">
        <v>9</v>
      </c>
      <c r="K283" s="1" t="s">
        <v>151</v>
      </c>
    </row>
    <row r="284" customFormat="false" ht="15" hidden="false" customHeight="true" outlineLevel="0" collapsed="false">
      <c r="A284" s="1" t="s">
        <v>676</v>
      </c>
      <c r="B284" s="1" t="s">
        <v>145</v>
      </c>
      <c r="C284" s="1" t="s">
        <v>677</v>
      </c>
      <c r="D284" s="1" t="n">
        <v>82.33</v>
      </c>
      <c r="E284" s="1" t="s">
        <v>14</v>
      </c>
      <c r="F284" s="1" t="s">
        <v>15</v>
      </c>
      <c r="G284" s="1" t="s">
        <v>86</v>
      </c>
      <c r="H284" s="1" t="s">
        <v>37</v>
      </c>
      <c r="I284" s="1" t="s">
        <v>667</v>
      </c>
      <c r="J284" s="1" t="n">
        <v>9</v>
      </c>
      <c r="K284" s="1" t="s">
        <v>151</v>
      </c>
    </row>
    <row r="285" customFormat="false" ht="15" hidden="false" customHeight="true" outlineLevel="0" collapsed="false">
      <c r="A285" s="1" t="s">
        <v>678</v>
      </c>
      <c r="B285" s="1" t="s">
        <v>31</v>
      </c>
      <c r="C285" s="1" t="s">
        <v>679</v>
      </c>
      <c r="D285" s="1" t="n">
        <v>76.1</v>
      </c>
      <c r="E285" s="1" t="s">
        <v>14</v>
      </c>
      <c r="F285" s="1" t="s">
        <v>15</v>
      </c>
      <c r="G285" s="1" t="s">
        <v>29</v>
      </c>
      <c r="H285" s="1" t="s">
        <v>17</v>
      </c>
      <c r="I285" s="1" t="s">
        <v>667</v>
      </c>
      <c r="J285" s="1" t="n">
        <v>10</v>
      </c>
      <c r="K285" s="1" t="s">
        <v>151</v>
      </c>
    </row>
    <row r="286" customFormat="false" ht="15" hidden="false" customHeight="true" outlineLevel="0" collapsed="false">
      <c r="A286" s="1" t="s">
        <v>680</v>
      </c>
      <c r="B286" s="1" t="s">
        <v>496</v>
      </c>
      <c r="C286" s="1" t="s">
        <v>681</v>
      </c>
      <c r="D286" s="1" t="n">
        <v>142.11</v>
      </c>
      <c r="E286" s="1" t="s">
        <v>14</v>
      </c>
      <c r="F286" s="1" t="s">
        <v>28</v>
      </c>
      <c r="G286" s="1" t="s">
        <v>36</v>
      </c>
      <c r="H286" s="1" t="s">
        <v>17</v>
      </c>
      <c r="I286" s="1" t="s">
        <v>667</v>
      </c>
      <c r="J286" s="1" t="n">
        <v>11</v>
      </c>
      <c r="K286" s="1" t="s">
        <v>151</v>
      </c>
    </row>
    <row r="287" customFormat="false" ht="15" hidden="false" customHeight="true" outlineLevel="0" collapsed="false">
      <c r="A287" s="1" t="s">
        <v>682</v>
      </c>
      <c r="B287" s="1" t="s">
        <v>659</v>
      </c>
      <c r="C287" s="1" t="s">
        <v>683</v>
      </c>
      <c r="D287" s="1" t="n">
        <v>27.93</v>
      </c>
      <c r="E287" s="1" t="s">
        <v>14</v>
      </c>
      <c r="F287" s="1" t="s">
        <v>15</v>
      </c>
      <c r="G287" s="1" t="s">
        <v>16</v>
      </c>
      <c r="H287" s="1" t="s">
        <v>17</v>
      </c>
      <c r="I287" s="1" t="s">
        <v>667</v>
      </c>
      <c r="J287" s="1" t="n">
        <v>11</v>
      </c>
      <c r="K287" s="1" t="s">
        <v>151</v>
      </c>
    </row>
    <row r="288" customFormat="false" ht="15" hidden="false" customHeight="true" outlineLevel="0" collapsed="false">
      <c r="A288" s="1" t="s">
        <v>684</v>
      </c>
      <c r="B288" s="1" t="s">
        <v>90</v>
      </c>
      <c r="C288" s="1" t="s">
        <v>685</v>
      </c>
      <c r="D288" s="1" t="n">
        <v>390.82</v>
      </c>
      <c r="E288" s="1" t="s">
        <v>14</v>
      </c>
      <c r="F288" s="1" t="s">
        <v>41</v>
      </c>
      <c r="G288" s="1" t="s">
        <v>70</v>
      </c>
      <c r="H288" s="1" t="s">
        <v>24</v>
      </c>
      <c r="I288" s="1" t="s">
        <v>667</v>
      </c>
      <c r="J288" s="1" t="n">
        <v>11</v>
      </c>
      <c r="K288" s="1" t="s">
        <v>151</v>
      </c>
    </row>
    <row r="289" customFormat="false" ht="15" hidden="false" customHeight="true" outlineLevel="0" collapsed="false">
      <c r="A289" s="1" t="s">
        <v>686</v>
      </c>
      <c r="B289" s="1" t="s">
        <v>240</v>
      </c>
      <c r="C289" s="1" t="s">
        <v>687</v>
      </c>
      <c r="D289" s="1" t="n">
        <v>71.5</v>
      </c>
      <c r="E289" s="1" t="s">
        <v>14</v>
      </c>
      <c r="F289" s="1" t="s">
        <v>56</v>
      </c>
      <c r="G289" s="1" t="s">
        <v>70</v>
      </c>
      <c r="H289" s="1" t="s">
        <v>17</v>
      </c>
      <c r="I289" s="1" t="s">
        <v>667</v>
      </c>
      <c r="J289" s="1" t="n">
        <v>12</v>
      </c>
      <c r="K289" s="1" t="s">
        <v>151</v>
      </c>
    </row>
    <row r="290" customFormat="false" ht="15" hidden="false" customHeight="true" outlineLevel="0" collapsed="false">
      <c r="A290" s="1" t="s">
        <v>688</v>
      </c>
      <c r="B290" s="1" t="s">
        <v>475</v>
      </c>
      <c r="C290" s="1" t="s">
        <v>689</v>
      </c>
      <c r="D290" s="1" t="n">
        <v>101.93</v>
      </c>
      <c r="E290" s="1" t="s">
        <v>14</v>
      </c>
      <c r="F290" s="1" t="s">
        <v>56</v>
      </c>
      <c r="G290" s="1" t="s">
        <v>82</v>
      </c>
      <c r="H290" s="1" t="s">
        <v>37</v>
      </c>
      <c r="I290" s="1" t="s">
        <v>667</v>
      </c>
      <c r="J290" s="1" t="n">
        <v>14</v>
      </c>
      <c r="K290" s="1" t="s">
        <v>151</v>
      </c>
    </row>
    <row r="291" customFormat="false" ht="15" hidden="false" customHeight="true" outlineLevel="0" collapsed="false">
      <c r="A291" s="1" t="s">
        <v>690</v>
      </c>
      <c r="B291" s="1" t="s">
        <v>155</v>
      </c>
      <c r="C291" s="1" t="s">
        <v>691</v>
      </c>
      <c r="D291" s="1" t="n">
        <v>661.85</v>
      </c>
      <c r="E291" s="1" t="s">
        <v>14</v>
      </c>
      <c r="F291" s="1" t="s">
        <v>41</v>
      </c>
      <c r="G291" s="1" t="s">
        <v>36</v>
      </c>
      <c r="H291" s="1" t="s">
        <v>24</v>
      </c>
      <c r="I291" s="1" t="s">
        <v>667</v>
      </c>
      <c r="J291" s="1" t="n">
        <v>16</v>
      </c>
      <c r="K291" s="1" t="s">
        <v>151</v>
      </c>
    </row>
    <row r="292" customFormat="false" ht="15" hidden="false" customHeight="true" outlineLevel="0" collapsed="false">
      <c r="A292" s="1" t="s">
        <v>692</v>
      </c>
      <c r="B292" s="1" t="s">
        <v>155</v>
      </c>
      <c r="C292" s="1" t="s">
        <v>693</v>
      </c>
      <c r="D292" s="1" t="n">
        <v>661.85</v>
      </c>
      <c r="E292" s="1" t="s">
        <v>14</v>
      </c>
      <c r="F292" s="1" t="s">
        <v>41</v>
      </c>
      <c r="G292" s="1" t="s">
        <v>36</v>
      </c>
      <c r="H292" s="1" t="s">
        <v>24</v>
      </c>
      <c r="I292" s="1" t="s">
        <v>667</v>
      </c>
      <c r="J292" s="1" t="n">
        <v>16</v>
      </c>
      <c r="K292" s="1" t="s">
        <v>151</v>
      </c>
    </row>
    <row r="293" customFormat="false" ht="15" hidden="false" customHeight="true" outlineLevel="0" collapsed="false">
      <c r="A293" s="1" t="s">
        <v>694</v>
      </c>
      <c r="B293" s="1" t="s">
        <v>51</v>
      </c>
      <c r="C293" s="1" t="s">
        <v>695</v>
      </c>
      <c r="D293" s="1" t="n">
        <v>96.7</v>
      </c>
      <c r="E293" s="1" t="s">
        <v>14</v>
      </c>
      <c r="F293" s="1" t="s">
        <v>41</v>
      </c>
      <c r="G293" s="1" t="s">
        <v>86</v>
      </c>
      <c r="H293" s="1" t="s">
        <v>17</v>
      </c>
      <c r="I293" s="1" t="s">
        <v>667</v>
      </c>
      <c r="J293" s="1" t="n">
        <v>16</v>
      </c>
      <c r="K293" s="1" t="s">
        <v>151</v>
      </c>
    </row>
    <row r="294" customFormat="false" ht="15" hidden="false" customHeight="true" outlineLevel="0" collapsed="false">
      <c r="A294" s="1" t="s">
        <v>696</v>
      </c>
      <c r="B294" s="1" t="s">
        <v>148</v>
      </c>
      <c r="C294" s="1" t="s">
        <v>697</v>
      </c>
      <c r="D294" s="1" t="n">
        <v>66.99</v>
      </c>
      <c r="E294" s="1" t="s">
        <v>14</v>
      </c>
      <c r="F294" s="1" t="s">
        <v>41</v>
      </c>
      <c r="G294" s="1" t="s">
        <v>82</v>
      </c>
      <c r="H294" s="1" t="s">
        <v>37</v>
      </c>
      <c r="I294" s="1" t="s">
        <v>667</v>
      </c>
      <c r="J294" s="1" t="n">
        <v>16</v>
      </c>
      <c r="K294" s="1" t="s">
        <v>151</v>
      </c>
    </row>
    <row r="295" customFormat="false" ht="15" hidden="false" customHeight="true" outlineLevel="0" collapsed="false">
      <c r="A295" s="1" t="s">
        <v>698</v>
      </c>
      <c r="B295" s="1" t="s">
        <v>61</v>
      </c>
      <c r="C295" s="1" t="s">
        <v>699</v>
      </c>
      <c r="D295" s="1" t="n">
        <v>318.1</v>
      </c>
      <c r="E295" s="1" t="s">
        <v>14</v>
      </c>
      <c r="F295" s="1" t="s">
        <v>56</v>
      </c>
      <c r="G295" s="1" t="s">
        <v>16</v>
      </c>
      <c r="H295" s="1" t="s">
        <v>17</v>
      </c>
      <c r="I295" s="1" t="s">
        <v>667</v>
      </c>
      <c r="J295" s="1" t="n">
        <v>17</v>
      </c>
      <c r="K295" s="1" t="s">
        <v>151</v>
      </c>
    </row>
    <row r="296" customFormat="false" ht="15" hidden="false" customHeight="true" outlineLevel="0" collapsed="false">
      <c r="A296" s="1" t="s">
        <v>700</v>
      </c>
      <c r="B296" s="1" t="s">
        <v>496</v>
      </c>
      <c r="C296" s="1" t="s">
        <v>701</v>
      </c>
      <c r="D296" s="1" t="n">
        <v>61.51</v>
      </c>
      <c r="E296" s="1" t="s">
        <v>14</v>
      </c>
      <c r="F296" s="1" t="s">
        <v>28</v>
      </c>
      <c r="G296" s="1" t="s">
        <v>29</v>
      </c>
      <c r="H296" s="1" t="s">
        <v>17</v>
      </c>
      <c r="I296" s="1" t="s">
        <v>667</v>
      </c>
      <c r="J296" s="1" t="n">
        <v>18</v>
      </c>
      <c r="K296" s="1" t="s">
        <v>151</v>
      </c>
    </row>
    <row r="297" customFormat="false" ht="15" hidden="false" customHeight="true" outlineLevel="0" collapsed="false">
      <c r="A297" s="1" t="s">
        <v>702</v>
      </c>
      <c r="B297" s="1" t="s">
        <v>64</v>
      </c>
      <c r="C297" s="1" t="s">
        <v>703</v>
      </c>
      <c r="D297" s="1" t="n">
        <v>102.23</v>
      </c>
      <c r="E297" s="1" t="s">
        <v>14</v>
      </c>
      <c r="F297" s="1" t="s">
        <v>41</v>
      </c>
      <c r="G297" s="1" t="s">
        <v>42</v>
      </c>
      <c r="H297" s="1" t="s">
        <v>24</v>
      </c>
      <c r="I297" s="1" t="s">
        <v>667</v>
      </c>
      <c r="J297" s="1" t="n">
        <v>18</v>
      </c>
      <c r="K297" s="1" t="s">
        <v>151</v>
      </c>
    </row>
    <row r="298" customFormat="false" ht="15" hidden="false" customHeight="true" outlineLevel="0" collapsed="false">
      <c r="A298" s="1" t="s">
        <v>704</v>
      </c>
      <c r="B298" s="1" t="s">
        <v>44</v>
      </c>
      <c r="C298" s="1" t="s">
        <v>705</v>
      </c>
      <c r="D298" s="1" t="n">
        <v>20.27</v>
      </c>
      <c r="E298" s="1" t="s">
        <v>14</v>
      </c>
      <c r="F298" s="1" t="s">
        <v>28</v>
      </c>
      <c r="G298" s="1" t="s">
        <v>42</v>
      </c>
      <c r="H298" s="1" t="s">
        <v>37</v>
      </c>
      <c r="I298" s="1" t="s">
        <v>667</v>
      </c>
      <c r="J298" s="1" t="n">
        <v>23</v>
      </c>
      <c r="K298" s="1" t="s">
        <v>151</v>
      </c>
    </row>
    <row r="299" customFormat="false" ht="15" hidden="false" customHeight="true" outlineLevel="0" collapsed="false">
      <c r="A299" s="1" t="s">
        <v>706</v>
      </c>
      <c r="B299" s="1" t="s">
        <v>140</v>
      </c>
      <c r="C299" s="1" t="s">
        <v>707</v>
      </c>
      <c r="D299" s="1" t="n">
        <v>39.68</v>
      </c>
      <c r="E299" s="1" t="s">
        <v>14</v>
      </c>
      <c r="F299" s="1" t="s">
        <v>41</v>
      </c>
      <c r="G299" s="1" t="s">
        <v>23</v>
      </c>
      <c r="H299" s="1" t="s">
        <v>37</v>
      </c>
      <c r="I299" s="1" t="s">
        <v>708</v>
      </c>
      <c r="J299" s="1" t="n">
        <v>0</v>
      </c>
      <c r="K299" s="1" t="s">
        <v>186</v>
      </c>
    </row>
    <row r="300" customFormat="false" ht="15" hidden="false" customHeight="true" outlineLevel="0" collapsed="false">
      <c r="A300" s="1" t="s">
        <v>709</v>
      </c>
      <c r="B300" s="1" t="s">
        <v>659</v>
      </c>
      <c r="C300" s="1" t="s">
        <v>710</v>
      </c>
      <c r="D300" s="1" t="n">
        <v>68.32</v>
      </c>
      <c r="E300" s="1" t="s">
        <v>14</v>
      </c>
      <c r="F300" s="1" t="s">
        <v>15</v>
      </c>
      <c r="G300" s="1" t="s">
        <v>36</v>
      </c>
      <c r="H300" s="1" t="s">
        <v>17</v>
      </c>
      <c r="I300" s="1" t="s">
        <v>708</v>
      </c>
      <c r="J300" s="1" t="n">
        <v>2</v>
      </c>
      <c r="K300" s="1" t="s">
        <v>186</v>
      </c>
    </row>
    <row r="301" customFormat="false" ht="15" hidden="false" customHeight="true" outlineLevel="0" collapsed="false">
      <c r="A301" s="1" t="s">
        <v>711</v>
      </c>
      <c r="B301" s="1" t="s">
        <v>34</v>
      </c>
      <c r="C301" s="1" t="s">
        <v>712</v>
      </c>
      <c r="D301" s="1" t="n">
        <v>115.76</v>
      </c>
      <c r="E301" s="1" t="s">
        <v>14</v>
      </c>
      <c r="F301" s="1" t="s">
        <v>15</v>
      </c>
      <c r="G301" s="1" t="s">
        <v>23</v>
      </c>
      <c r="H301" s="1" t="s">
        <v>24</v>
      </c>
      <c r="I301" s="1" t="s">
        <v>708</v>
      </c>
      <c r="J301" s="1" t="n">
        <v>2</v>
      </c>
      <c r="K301" s="1" t="s">
        <v>186</v>
      </c>
    </row>
    <row r="302" customFormat="false" ht="15" hidden="false" customHeight="true" outlineLevel="0" collapsed="false">
      <c r="A302" s="1" t="s">
        <v>713</v>
      </c>
      <c r="B302" s="1" t="s">
        <v>180</v>
      </c>
      <c r="C302" s="1" t="s">
        <v>714</v>
      </c>
      <c r="D302" s="1" t="n">
        <v>158.7</v>
      </c>
      <c r="E302" s="1" t="s">
        <v>14</v>
      </c>
      <c r="F302" s="1" t="s">
        <v>49</v>
      </c>
      <c r="G302" s="1" t="s">
        <v>29</v>
      </c>
      <c r="H302" s="1" t="s">
        <v>17</v>
      </c>
      <c r="I302" s="1" t="s">
        <v>708</v>
      </c>
      <c r="J302" s="1" t="n">
        <v>3</v>
      </c>
      <c r="K302" s="1" t="s">
        <v>186</v>
      </c>
    </row>
    <row r="303" customFormat="false" ht="15" hidden="false" customHeight="true" outlineLevel="0" collapsed="false">
      <c r="A303" s="1" t="s">
        <v>715</v>
      </c>
      <c r="B303" s="1" t="s">
        <v>120</v>
      </c>
      <c r="C303" s="1" t="s">
        <v>716</v>
      </c>
      <c r="D303" s="1" t="n">
        <v>44.48</v>
      </c>
      <c r="E303" s="1" t="s">
        <v>14</v>
      </c>
      <c r="F303" s="1" t="s">
        <v>49</v>
      </c>
      <c r="G303" s="1" t="s">
        <v>23</v>
      </c>
      <c r="H303" s="1" t="s">
        <v>17</v>
      </c>
      <c r="I303" s="1" t="s">
        <v>708</v>
      </c>
      <c r="J303" s="1" t="n">
        <v>4</v>
      </c>
      <c r="K303" s="1" t="s">
        <v>186</v>
      </c>
    </row>
    <row r="304" customFormat="false" ht="15" hidden="false" customHeight="true" outlineLevel="0" collapsed="false">
      <c r="A304" s="1" t="s">
        <v>717</v>
      </c>
      <c r="B304" s="1" t="s">
        <v>183</v>
      </c>
      <c r="C304" s="1" t="s">
        <v>718</v>
      </c>
      <c r="D304" s="1" t="n">
        <v>70.27</v>
      </c>
      <c r="E304" s="1" t="s">
        <v>14</v>
      </c>
      <c r="F304" s="1" t="s">
        <v>15</v>
      </c>
      <c r="G304" s="1" t="s">
        <v>36</v>
      </c>
      <c r="H304" s="1" t="s">
        <v>24</v>
      </c>
      <c r="I304" s="1" t="s">
        <v>708</v>
      </c>
      <c r="J304" s="1" t="n">
        <v>10</v>
      </c>
      <c r="K304" s="1" t="s">
        <v>186</v>
      </c>
    </row>
    <row r="305" customFormat="false" ht="15" hidden="false" customHeight="true" outlineLevel="0" collapsed="false">
      <c r="A305" s="1" t="s">
        <v>719</v>
      </c>
      <c r="B305" s="1" t="s">
        <v>93</v>
      </c>
      <c r="C305" s="1" t="s">
        <v>720</v>
      </c>
      <c r="D305" s="1" t="n">
        <v>27.39</v>
      </c>
      <c r="E305" s="1" t="s">
        <v>14</v>
      </c>
      <c r="F305" s="1" t="s">
        <v>28</v>
      </c>
      <c r="G305" s="1" t="s">
        <v>70</v>
      </c>
      <c r="H305" s="1" t="s">
        <v>24</v>
      </c>
      <c r="I305" s="1" t="s">
        <v>708</v>
      </c>
      <c r="J305" s="1" t="n">
        <v>11</v>
      </c>
      <c r="K305" s="1" t="s">
        <v>186</v>
      </c>
    </row>
    <row r="306" customFormat="false" ht="15" hidden="false" customHeight="true" outlineLevel="0" collapsed="false">
      <c r="A306" s="1" t="s">
        <v>721</v>
      </c>
      <c r="B306" s="1" t="s">
        <v>106</v>
      </c>
      <c r="C306" s="1" t="s">
        <v>722</v>
      </c>
      <c r="D306" s="1" t="n">
        <v>132.06</v>
      </c>
      <c r="E306" s="1" t="s">
        <v>14</v>
      </c>
      <c r="F306" s="1" t="s">
        <v>15</v>
      </c>
      <c r="G306" s="1" t="s">
        <v>42</v>
      </c>
      <c r="H306" s="1" t="s">
        <v>37</v>
      </c>
      <c r="I306" s="1" t="s">
        <v>708</v>
      </c>
      <c r="J306" s="1" t="n">
        <v>12</v>
      </c>
      <c r="K306" s="1" t="s">
        <v>186</v>
      </c>
    </row>
    <row r="307" customFormat="false" ht="15" hidden="false" customHeight="true" outlineLevel="0" collapsed="false">
      <c r="A307" s="1" t="s">
        <v>723</v>
      </c>
      <c r="B307" s="1" t="s">
        <v>344</v>
      </c>
      <c r="C307" s="1" t="s">
        <v>724</v>
      </c>
      <c r="D307" s="1" t="n">
        <v>69.68</v>
      </c>
      <c r="E307" s="1" t="s">
        <v>14</v>
      </c>
      <c r="F307" s="1" t="s">
        <v>49</v>
      </c>
      <c r="G307" s="1" t="s">
        <v>36</v>
      </c>
      <c r="H307" s="1" t="s">
        <v>37</v>
      </c>
      <c r="I307" s="1" t="s">
        <v>708</v>
      </c>
      <c r="J307" s="1" t="n">
        <v>14</v>
      </c>
      <c r="K307" s="1" t="s">
        <v>186</v>
      </c>
    </row>
    <row r="308" customFormat="false" ht="15" hidden="false" customHeight="true" outlineLevel="0" collapsed="false">
      <c r="A308" s="1" t="s">
        <v>725</v>
      </c>
      <c r="B308" s="1" t="s">
        <v>21</v>
      </c>
      <c r="C308" s="1" t="s">
        <v>726</v>
      </c>
      <c r="D308" s="1" t="n">
        <v>27.57</v>
      </c>
      <c r="E308" s="1" t="s">
        <v>14</v>
      </c>
      <c r="F308" s="1" t="s">
        <v>15</v>
      </c>
      <c r="G308" s="1" t="s">
        <v>16</v>
      </c>
      <c r="H308" s="1" t="s">
        <v>17</v>
      </c>
      <c r="I308" s="1" t="s">
        <v>708</v>
      </c>
      <c r="J308" s="1" t="n">
        <v>15</v>
      </c>
      <c r="K308" s="1" t="s">
        <v>186</v>
      </c>
    </row>
    <row r="309" customFormat="false" ht="15" hidden="false" customHeight="true" outlineLevel="0" collapsed="false">
      <c r="A309" s="1" t="s">
        <v>727</v>
      </c>
      <c r="B309" s="1" t="s">
        <v>84</v>
      </c>
      <c r="C309" s="1" t="s">
        <v>728</v>
      </c>
      <c r="D309" s="1" t="n">
        <v>49.35</v>
      </c>
      <c r="E309" s="1" t="s">
        <v>14</v>
      </c>
      <c r="F309" s="1" t="s">
        <v>56</v>
      </c>
      <c r="G309" s="1" t="s">
        <v>42</v>
      </c>
      <c r="H309" s="1" t="s">
        <v>37</v>
      </c>
      <c r="I309" s="1" t="s">
        <v>708</v>
      </c>
      <c r="J309" s="1" t="n">
        <v>16</v>
      </c>
      <c r="K309" s="1" t="s">
        <v>186</v>
      </c>
    </row>
    <row r="310" customFormat="false" ht="15" hidden="false" customHeight="true" outlineLevel="0" collapsed="false">
      <c r="A310" s="1" t="s">
        <v>729</v>
      </c>
      <c r="B310" s="1" t="s">
        <v>240</v>
      </c>
      <c r="C310" s="1" t="s">
        <v>730</v>
      </c>
      <c r="D310" s="1" t="n">
        <v>153.48</v>
      </c>
      <c r="E310" s="1" t="s">
        <v>14</v>
      </c>
      <c r="F310" s="1" t="s">
        <v>56</v>
      </c>
      <c r="G310" s="1" t="s">
        <v>42</v>
      </c>
      <c r="H310" s="1" t="s">
        <v>17</v>
      </c>
      <c r="I310" s="1" t="s">
        <v>708</v>
      </c>
      <c r="J310" s="1" t="n">
        <v>16</v>
      </c>
      <c r="K310" s="1" t="s">
        <v>186</v>
      </c>
    </row>
    <row r="311" customFormat="false" ht="15" hidden="false" customHeight="true" outlineLevel="0" collapsed="false">
      <c r="A311" s="1" t="s">
        <v>731</v>
      </c>
      <c r="B311" s="1" t="s">
        <v>39</v>
      </c>
      <c r="C311" s="1" t="s">
        <v>732</v>
      </c>
      <c r="D311" s="1" t="n">
        <v>39.51</v>
      </c>
      <c r="E311" s="1" t="s">
        <v>14</v>
      </c>
      <c r="F311" s="1" t="s">
        <v>41</v>
      </c>
      <c r="G311" s="1" t="s">
        <v>29</v>
      </c>
      <c r="H311" s="1" t="s">
        <v>37</v>
      </c>
      <c r="I311" s="1" t="s">
        <v>708</v>
      </c>
      <c r="J311" s="1" t="n">
        <v>17</v>
      </c>
      <c r="K311" s="1" t="s">
        <v>186</v>
      </c>
    </row>
    <row r="312" customFormat="false" ht="15" hidden="false" customHeight="true" outlineLevel="0" collapsed="false">
      <c r="A312" s="1" t="s">
        <v>733</v>
      </c>
      <c r="B312" s="1" t="s">
        <v>487</v>
      </c>
      <c r="C312" s="1" t="s">
        <v>734</v>
      </c>
      <c r="D312" s="1" t="n">
        <v>67.45</v>
      </c>
      <c r="E312" s="1" t="s">
        <v>14</v>
      </c>
      <c r="F312" s="1" t="s">
        <v>49</v>
      </c>
      <c r="G312" s="1" t="s">
        <v>86</v>
      </c>
      <c r="H312" s="1" t="s">
        <v>24</v>
      </c>
      <c r="I312" s="1" t="s">
        <v>708</v>
      </c>
      <c r="J312" s="1" t="n">
        <v>17</v>
      </c>
      <c r="K312" s="1" t="s">
        <v>186</v>
      </c>
    </row>
    <row r="313" customFormat="false" ht="15" hidden="false" customHeight="true" outlineLevel="0" collapsed="false">
      <c r="A313" s="1" t="s">
        <v>735</v>
      </c>
      <c r="B313" s="1" t="s">
        <v>84</v>
      </c>
      <c r="C313" s="1" t="s">
        <v>736</v>
      </c>
      <c r="D313" s="1" t="n">
        <v>43.49</v>
      </c>
      <c r="E313" s="1" t="s">
        <v>14</v>
      </c>
      <c r="F313" s="1" t="s">
        <v>56</v>
      </c>
      <c r="G313" s="1" t="s">
        <v>29</v>
      </c>
      <c r="H313" s="1" t="s">
        <v>24</v>
      </c>
      <c r="I313" s="1" t="s">
        <v>708</v>
      </c>
      <c r="J313" s="1" t="n">
        <v>23</v>
      </c>
      <c r="K313" s="1" t="s">
        <v>186</v>
      </c>
    </row>
    <row r="314" customFormat="false" ht="15" hidden="false" customHeight="true" outlineLevel="0" collapsed="false">
      <c r="A314" s="1" t="s">
        <v>737</v>
      </c>
      <c r="B314" s="1" t="s">
        <v>140</v>
      </c>
      <c r="C314" s="1" t="s">
        <v>738</v>
      </c>
      <c r="D314" s="1" t="n">
        <v>36.73</v>
      </c>
      <c r="E314" s="1" t="s">
        <v>14</v>
      </c>
      <c r="F314" s="1" t="s">
        <v>41</v>
      </c>
      <c r="G314" s="1" t="s">
        <v>86</v>
      </c>
      <c r="H314" s="1" t="s">
        <v>37</v>
      </c>
      <c r="I314" s="1" t="s">
        <v>739</v>
      </c>
      <c r="J314" s="1" t="n">
        <v>0</v>
      </c>
      <c r="K314" s="1" t="s">
        <v>219</v>
      </c>
    </row>
    <row r="315" customFormat="false" ht="15" hidden="false" customHeight="true" outlineLevel="0" collapsed="false">
      <c r="A315" s="1" t="s">
        <v>740</v>
      </c>
      <c r="B315" s="1" t="s">
        <v>291</v>
      </c>
      <c r="C315" s="1" t="s">
        <v>741</v>
      </c>
      <c r="D315" s="1" t="n">
        <v>79.41</v>
      </c>
      <c r="E315" s="1" t="s">
        <v>14</v>
      </c>
      <c r="F315" s="1" t="s">
        <v>28</v>
      </c>
      <c r="G315" s="1" t="s">
        <v>82</v>
      </c>
      <c r="H315" s="1" t="s">
        <v>17</v>
      </c>
      <c r="I315" s="1" t="s">
        <v>739</v>
      </c>
      <c r="J315" s="1" t="n">
        <v>1</v>
      </c>
      <c r="K315" s="1" t="s">
        <v>219</v>
      </c>
    </row>
    <row r="316" customFormat="false" ht="15" hidden="false" customHeight="true" outlineLevel="0" collapsed="false">
      <c r="A316" s="1" t="s">
        <v>742</v>
      </c>
      <c r="B316" s="1" t="s">
        <v>34</v>
      </c>
      <c r="C316" s="1" t="s">
        <v>743</v>
      </c>
      <c r="D316" s="1" t="n">
        <v>4.92</v>
      </c>
      <c r="E316" s="1" t="s">
        <v>14</v>
      </c>
      <c r="F316" s="1" t="s">
        <v>15</v>
      </c>
      <c r="G316" s="1" t="s">
        <v>42</v>
      </c>
      <c r="H316" s="1" t="s">
        <v>24</v>
      </c>
      <c r="I316" s="1" t="s">
        <v>739</v>
      </c>
      <c r="J316" s="1" t="n">
        <v>2</v>
      </c>
      <c r="K316" s="1" t="s">
        <v>219</v>
      </c>
    </row>
    <row r="317" customFormat="false" ht="15" hidden="false" customHeight="true" outlineLevel="0" collapsed="false">
      <c r="A317" s="1" t="s">
        <v>744</v>
      </c>
      <c r="B317" s="1" t="s">
        <v>80</v>
      </c>
      <c r="C317" s="1" t="s">
        <v>745</v>
      </c>
      <c r="D317" s="1" t="n">
        <v>47.74</v>
      </c>
      <c r="E317" s="1" t="s">
        <v>14</v>
      </c>
      <c r="F317" s="1" t="s">
        <v>56</v>
      </c>
      <c r="G317" s="1" t="s">
        <v>42</v>
      </c>
      <c r="H317" s="1" t="s">
        <v>17</v>
      </c>
      <c r="I317" s="1" t="s">
        <v>739</v>
      </c>
      <c r="J317" s="1" t="n">
        <v>6</v>
      </c>
      <c r="K317" s="1" t="s">
        <v>219</v>
      </c>
    </row>
    <row r="318" customFormat="false" ht="15" hidden="false" customHeight="true" outlineLevel="0" collapsed="false">
      <c r="A318" s="1" t="s">
        <v>746</v>
      </c>
      <c r="B318" s="1" t="s">
        <v>140</v>
      </c>
      <c r="C318" s="1" t="s">
        <v>747</v>
      </c>
      <c r="D318" s="1" t="n">
        <v>131.61</v>
      </c>
      <c r="E318" s="1" t="s">
        <v>14</v>
      </c>
      <c r="F318" s="1" t="s">
        <v>41</v>
      </c>
      <c r="G318" s="1" t="s">
        <v>23</v>
      </c>
      <c r="H318" s="1" t="s">
        <v>17</v>
      </c>
      <c r="I318" s="1" t="s">
        <v>739</v>
      </c>
      <c r="J318" s="1" t="n">
        <v>7</v>
      </c>
      <c r="K318" s="1" t="s">
        <v>219</v>
      </c>
    </row>
    <row r="319" customFormat="false" ht="15" hidden="false" customHeight="true" outlineLevel="0" collapsed="false">
      <c r="A319" s="1" t="s">
        <v>748</v>
      </c>
      <c r="B319" s="1" t="s">
        <v>12</v>
      </c>
      <c r="C319" s="1" t="s">
        <v>749</v>
      </c>
      <c r="D319" s="1" t="n">
        <v>29.56</v>
      </c>
      <c r="E319" s="1" t="s">
        <v>14</v>
      </c>
      <c r="F319" s="1" t="s">
        <v>15</v>
      </c>
      <c r="G319" s="1" t="s">
        <v>82</v>
      </c>
      <c r="H319" s="1" t="s">
        <v>37</v>
      </c>
      <c r="I319" s="1" t="s">
        <v>739</v>
      </c>
      <c r="J319" s="1" t="n">
        <v>8</v>
      </c>
      <c r="K319" s="1" t="s">
        <v>219</v>
      </c>
    </row>
    <row r="320" customFormat="false" ht="15" hidden="false" customHeight="true" outlineLevel="0" collapsed="false">
      <c r="A320" s="1" t="s">
        <v>750</v>
      </c>
      <c r="B320" s="1" t="s">
        <v>64</v>
      </c>
      <c r="C320" s="1" t="s">
        <v>751</v>
      </c>
      <c r="D320" s="1" t="n">
        <v>107.42</v>
      </c>
      <c r="E320" s="1" t="s">
        <v>14</v>
      </c>
      <c r="F320" s="1" t="s">
        <v>41</v>
      </c>
      <c r="G320" s="1" t="s">
        <v>36</v>
      </c>
      <c r="H320" s="1" t="s">
        <v>24</v>
      </c>
      <c r="I320" s="1" t="s">
        <v>739</v>
      </c>
      <c r="J320" s="1" t="n">
        <v>8</v>
      </c>
      <c r="K320" s="1" t="s">
        <v>219</v>
      </c>
    </row>
    <row r="321" customFormat="false" ht="15" hidden="false" customHeight="true" outlineLevel="0" collapsed="false">
      <c r="A321" s="1" t="s">
        <v>752</v>
      </c>
      <c r="B321" s="1" t="s">
        <v>332</v>
      </c>
      <c r="C321" s="1" t="s">
        <v>753</v>
      </c>
      <c r="D321" s="1" t="n">
        <v>25.19</v>
      </c>
      <c r="E321" s="1" t="s">
        <v>14</v>
      </c>
      <c r="F321" s="1" t="s">
        <v>49</v>
      </c>
      <c r="G321" s="1" t="s">
        <v>16</v>
      </c>
      <c r="H321" s="1" t="s">
        <v>24</v>
      </c>
      <c r="I321" s="1" t="s">
        <v>739</v>
      </c>
      <c r="J321" s="1" t="n">
        <v>8</v>
      </c>
      <c r="K321" s="1" t="s">
        <v>219</v>
      </c>
    </row>
    <row r="322" customFormat="false" ht="15" hidden="false" customHeight="true" outlineLevel="0" collapsed="false">
      <c r="A322" s="1" t="s">
        <v>754</v>
      </c>
      <c r="B322" s="1" t="s">
        <v>235</v>
      </c>
      <c r="C322" s="1" t="s">
        <v>755</v>
      </c>
      <c r="D322" s="1" t="n">
        <v>16.52</v>
      </c>
      <c r="E322" s="1" t="s">
        <v>14</v>
      </c>
      <c r="F322" s="1" t="s">
        <v>41</v>
      </c>
      <c r="G322" s="1" t="s">
        <v>29</v>
      </c>
      <c r="H322" s="1" t="s">
        <v>17</v>
      </c>
      <c r="I322" s="1" t="s">
        <v>739</v>
      </c>
      <c r="J322" s="1" t="n">
        <v>10</v>
      </c>
      <c r="K322" s="1" t="s">
        <v>219</v>
      </c>
    </row>
    <row r="323" customFormat="false" ht="15" hidden="false" customHeight="true" outlineLevel="0" collapsed="false">
      <c r="A323" s="1" t="s">
        <v>756</v>
      </c>
      <c r="B323" s="1" t="s">
        <v>167</v>
      </c>
      <c r="C323" s="1" t="s">
        <v>757</v>
      </c>
      <c r="D323" s="1" t="n">
        <v>206.48</v>
      </c>
      <c r="E323" s="1" t="s">
        <v>14</v>
      </c>
      <c r="F323" s="1" t="s">
        <v>28</v>
      </c>
      <c r="G323" s="1" t="s">
        <v>42</v>
      </c>
      <c r="H323" s="1" t="s">
        <v>17</v>
      </c>
      <c r="I323" s="1" t="s">
        <v>739</v>
      </c>
      <c r="J323" s="1" t="n">
        <v>12</v>
      </c>
      <c r="K323" s="1" t="s">
        <v>219</v>
      </c>
    </row>
    <row r="324" customFormat="false" ht="15" hidden="false" customHeight="true" outlineLevel="0" collapsed="false">
      <c r="A324" s="1" t="s">
        <v>758</v>
      </c>
      <c r="B324" s="1" t="s">
        <v>51</v>
      </c>
      <c r="C324" s="1" t="s">
        <v>759</v>
      </c>
      <c r="D324" s="1" t="n">
        <v>31.82</v>
      </c>
      <c r="E324" s="1" t="s">
        <v>14</v>
      </c>
      <c r="F324" s="1" t="s">
        <v>41</v>
      </c>
      <c r="G324" s="1" t="s">
        <v>23</v>
      </c>
      <c r="H324" s="1" t="s">
        <v>24</v>
      </c>
      <c r="I324" s="1" t="s">
        <v>739</v>
      </c>
      <c r="J324" s="1" t="n">
        <v>12</v>
      </c>
      <c r="K324" s="1" t="s">
        <v>219</v>
      </c>
    </row>
    <row r="325" customFormat="false" ht="15" hidden="false" customHeight="true" outlineLevel="0" collapsed="false">
      <c r="A325" s="1" t="s">
        <v>760</v>
      </c>
      <c r="B325" s="1" t="s">
        <v>148</v>
      </c>
      <c r="C325" s="1" t="s">
        <v>761</v>
      </c>
      <c r="D325" s="1" t="n">
        <v>95.93</v>
      </c>
      <c r="E325" s="1" t="s">
        <v>14</v>
      </c>
      <c r="F325" s="1" t="s">
        <v>41</v>
      </c>
      <c r="G325" s="1" t="s">
        <v>23</v>
      </c>
      <c r="H325" s="1" t="s">
        <v>37</v>
      </c>
      <c r="I325" s="1" t="s">
        <v>739</v>
      </c>
      <c r="J325" s="1" t="n">
        <v>15</v>
      </c>
      <c r="K325" s="1" t="s">
        <v>219</v>
      </c>
    </row>
    <row r="326" customFormat="false" ht="15" hidden="false" customHeight="true" outlineLevel="0" collapsed="false">
      <c r="A326" s="1" t="s">
        <v>762</v>
      </c>
      <c r="B326" s="1" t="s">
        <v>98</v>
      </c>
      <c r="C326" s="1" t="s">
        <v>763</v>
      </c>
      <c r="D326" s="1" t="n">
        <v>5000</v>
      </c>
      <c r="E326" s="1" t="s">
        <v>14</v>
      </c>
      <c r="F326" s="1" t="s">
        <v>15</v>
      </c>
      <c r="G326" s="1" t="s">
        <v>23</v>
      </c>
      <c r="H326" s="1" t="s">
        <v>276</v>
      </c>
      <c r="I326" s="1" t="s">
        <v>739</v>
      </c>
      <c r="J326" s="1" t="n">
        <v>16</v>
      </c>
      <c r="K326" s="1" t="s">
        <v>219</v>
      </c>
    </row>
    <row r="327" customFormat="false" ht="15" hidden="false" customHeight="true" outlineLevel="0" collapsed="false">
      <c r="A327" s="1" t="s">
        <v>764</v>
      </c>
      <c r="B327" s="1" t="s">
        <v>98</v>
      </c>
      <c r="C327" s="1" t="s">
        <v>765</v>
      </c>
      <c r="D327" s="1" t="n">
        <v>82.19</v>
      </c>
      <c r="E327" s="1" t="s">
        <v>14</v>
      </c>
      <c r="F327" s="1" t="s">
        <v>15</v>
      </c>
      <c r="G327" s="1" t="s">
        <v>16</v>
      </c>
      <c r="H327" s="1" t="s">
        <v>24</v>
      </c>
      <c r="I327" s="1" t="s">
        <v>739</v>
      </c>
      <c r="J327" s="1" t="n">
        <v>16</v>
      </c>
      <c r="K327" s="1" t="s">
        <v>219</v>
      </c>
    </row>
    <row r="328" customFormat="false" ht="15" hidden="false" customHeight="true" outlineLevel="0" collapsed="false">
      <c r="A328" s="1" t="s">
        <v>766</v>
      </c>
      <c r="B328" s="1" t="s">
        <v>84</v>
      </c>
      <c r="C328" s="1" t="s">
        <v>767</v>
      </c>
      <c r="D328" s="1" t="n">
        <v>78.87</v>
      </c>
      <c r="E328" s="1" t="s">
        <v>14</v>
      </c>
      <c r="F328" s="1" t="s">
        <v>56</v>
      </c>
      <c r="G328" s="1" t="s">
        <v>16</v>
      </c>
      <c r="H328" s="1" t="s">
        <v>37</v>
      </c>
      <c r="I328" s="1" t="s">
        <v>739</v>
      </c>
      <c r="J328" s="1" t="n">
        <v>18</v>
      </c>
      <c r="K328" s="1" t="s">
        <v>219</v>
      </c>
    </row>
    <row r="329" customFormat="false" ht="15" hidden="false" customHeight="true" outlineLevel="0" collapsed="false">
      <c r="A329" s="1" t="s">
        <v>768</v>
      </c>
      <c r="B329" s="1" t="s">
        <v>321</v>
      </c>
      <c r="C329" s="1" t="s">
        <v>769</v>
      </c>
      <c r="D329" s="1" t="n">
        <v>39.16</v>
      </c>
      <c r="E329" s="1" t="s">
        <v>14</v>
      </c>
      <c r="F329" s="1" t="s">
        <v>15</v>
      </c>
      <c r="G329" s="1" t="s">
        <v>16</v>
      </c>
      <c r="H329" s="1" t="s">
        <v>37</v>
      </c>
      <c r="I329" s="1" t="s">
        <v>739</v>
      </c>
      <c r="J329" s="1" t="n">
        <v>21</v>
      </c>
      <c r="K329" s="1" t="s">
        <v>219</v>
      </c>
    </row>
    <row r="330" customFormat="false" ht="15" hidden="false" customHeight="true" outlineLevel="0" collapsed="false">
      <c r="A330" s="1" t="s">
        <v>770</v>
      </c>
      <c r="B330" s="1" t="s">
        <v>167</v>
      </c>
      <c r="C330" s="1" t="s">
        <v>771</v>
      </c>
      <c r="D330" s="1" t="n">
        <v>62.61</v>
      </c>
      <c r="E330" s="1" t="s">
        <v>14</v>
      </c>
      <c r="F330" s="1" t="s">
        <v>28</v>
      </c>
      <c r="G330" s="1" t="s">
        <v>23</v>
      </c>
      <c r="H330" s="1" t="s">
        <v>24</v>
      </c>
      <c r="I330" s="1" t="s">
        <v>772</v>
      </c>
      <c r="J330" s="1" t="n">
        <v>3</v>
      </c>
      <c r="K330" s="1" t="s">
        <v>263</v>
      </c>
    </row>
    <row r="331" customFormat="false" ht="15" hidden="false" customHeight="true" outlineLevel="0" collapsed="false">
      <c r="A331" s="1" t="s">
        <v>773</v>
      </c>
      <c r="B331" s="1" t="s">
        <v>180</v>
      </c>
      <c r="C331" s="1" t="s">
        <v>774</v>
      </c>
      <c r="D331" s="1" t="n">
        <v>25.44</v>
      </c>
      <c r="E331" s="1" t="s">
        <v>14</v>
      </c>
      <c r="F331" s="1" t="s">
        <v>49</v>
      </c>
      <c r="G331" s="1" t="s">
        <v>23</v>
      </c>
      <c r="H331" s="1" t="s">
        <v>24</v>
      </c>
      <c r="I331" s="1" t="s">
        <v>772</v>
      </c>
      <c r="J331" s="1" t="n">
        <v>8</v>
      </c>
      <c r="K331" s="1" t="s">
        <v>263</v>
      </c>
    </row>
    <row r="332" customFormat="false" ht="15" hidden="false" customHeight="true" outlineLevel="0" collapsed="false">
      <c r="A332" s="1" t="s">
        <v>775</v>
      </c>
      <c r="B332" s="1" t="s">
        <v>291</v>
      </c>
      <c r="C332" s="1" t="s">
        <v>776</v>
      </c>
      <c r="D332" s="1" t="n">
        <v>1000</v>
      </c>
      <c r="E332" s="1" t="s">
        <v>14</v>
      </c>
      <c r="F332" s="1" t="s">
        <v>28</v>
      </c>
      <c r="G332" s="1" t="s">
        <v>23</v>
      </c>
      <c r="H332" s="1" t="s">
        <v>276</v>
      </c>
      <c r="I332" s="1" t="s">
        <v>772</v>
      </c>
      <c r="J332" s="1" t="n">
        <v>9</v>
      </c>
      <c r="K332" s="1" t="s">
        <v>263</v>
      </c>
    </row>
    <row r="333" customFormat="false" ht="15" hidden="false" customHeight="true" outlineLevel="0" collapsed="false">
      <c r="A333" s="1" t="s">
        <v>777</v>
      </c>
      <c r="B333" s="1" t="s">
        <v>12</v>
      </c>
      <c r="C333" s="1" t="s">
        <v>776</v>
      </c>
      <c r="D333" s="1" t="n">
        <v>5000</v>
      </c>
      <c r="E333" s="1" t="s">
        <v>14</v>
      </c>
      <c r="F333" s="1" t="s">
        <v>15</v>
      </c>
      <c r="G333" s="1" t="s">
        <v>23</v>
      </c>
      <c r="H333" s="1" t="s">
        <v>276</v>
      </c>
      <c r="I333" s="1" t="s">
        <v>772</v>
      </c>
      <c r="J333" s="1" t="n">
        <v>9</v>
      </c>
      <c r="K333" s="1" t="s">
        <v>263</v>
      </c>
    </row>
    <row r="334" customFormat="false" ht="15" hidden="false" customHeight="true" outlineLevel="0" collapsed="false">
      <c r="A334" s="1" t="s">
        <v>778</v>
      </c>
      <c r="B334" s="1" t="s">
        <v>21</v>
      </c>
      <c r="C334" s="1" t="s">
        <v>779</v>
      </c>
      <c r="D334" s="1" t="n">
        <v>79.77</v>
      </c>
      <c r="E334" s="1" t="s">
        <v>14</v>
      </c>
      <c r="F334" s="1" t="s">
        <v>15</v>
      </c>
      <c r="G334" s="1" t="s">
        <v>82</v>
      </c>
      <c r="H334" s="1" t="s">
        <v>17</v>
      </c>
      <c r="I334" s="1" t="s">
        <v>772</v>
      </c>
      <c r="J334" s="1" t="n">
        <v>9</v>
      </c>
      <c r="K334" s="1" t="s">
        <v>263</v>
      </c>
    </row>
    <row r="335" customFormat="false" ht="15" hidden="false" customHeight="true" outlineLevel="0" collapsed="false">
      <c r="A335" s="1" t="s">
        <v>780</v>
      </c>
      <c r="B335" s="1" t="s">
        <v>291</v>
      </c>
      <c r="C335" s="1" t="s">
        <v>781</v>
      </c>
      <c r="D335" s="1" t="n">
        <v>35.51</v>
      </c>
      <c r="E335" s="1" t="s">
        <v>14</v>
      </c>
      <c r="F335" s="1" t="s">
        <v>28</v>
      </c>
      <c r="G335" s="1" t="s">
        <v>23</v>
      </c>
      <c r="H335" s="1" t="s">
        <v>24</v>
      </c>
      <c r="I335" s="1" t="s">
        <v>772</v>
      </c>
      <c r="J335" s="1" t="n">
        <v>10</v>
      </c>
      <c r="K335" s="1" t="s">
        <v>263</v>
      </c>
    </row>
    <row r="336" customFormat="false" ht="15" hidden="false" customHeight="true" outlineLevel="0" collapsed="false">
      <c r="A336" s="1" t="s">
        <v>782</v>
      </c>
      <c r="B336" s="1" t="s">
        <v>72</v>
      </c>
      <c r="C336" s="1" t="s">
        <v>783</v>
      </c>
      <c r="D336" s="1" t="n">
        <v>79.92</v>
      </c>
      <c r="E336" s="1" t="s">
        <v>14</v>
      </c>
      <c r="F336" s="1" t="s">
        <v>49</v>
      </c>
      <c r="G336" s="1" t="s">
        <v>82</v>
      </c>
      <c r="H336" s="1" t="s">
        <v>17</v>
      </c>
      <c r="I336" s="1" t="s">
        <v>772</v>
      </c>
      <c r="J336" s="1" t="n">
        <v>11</v>
      </c>
      <c r="K336" s="1" t="s">
        <v>263</v>
      </c>
    </row>
    <row r="337" customFormat="false" ht="15" hidden="false" customHeight="true" outlineLevel="0" collapsed="false">
      <c r="A337" s="1" t="s">
        <v>784</v>
      </c>
      <c r="B337" s="1" t="s">
        <v>216</v>
      </c>
      <c r="C337" s="1" t="s">
        <v>785</v>
      </c>
      <c r="D337" s="1" t="n">
        <v>25.46</v>
      </c>
      <c r="E337" s="1" t="s">
        <v>14</v>
      </c>
      <c r="F337" s="1" t="s">
        <v>49</v>
      </c>
      <c r="G337" s="1" t="s">
        <v>23</v>
      </c>
      <c r="H337" s="1" t="s">
        <v>17</v>
      </c>
      <c r="I337" s="1" t="s">
        <v>772</v>
      </c>
      <c r="J337" s="1" t="n">
        <v>12</v>
      </c>
      <c r="K337" s="1" t="s">
        <v>263</v>
      </c>
    </row>
    <row r="338" customFormat="false" ht="15" hidden="false" customHeight="true" outlineLevel="0" collapsed="false">
      <c r="A338" s="1" t="s">
        <v>786</v>
      </c>
      <c r="B338" s="1" t="s">
        <v>44</v>
      </c>
      <c r="C338" s="1" t="s">
        <v>787</v>
      </c>
      <c r="D338" s="1" t="n">
        <v>18.25</v>
      </c>
      <c r="E338" s="1" t="s">
        <v>14</v>
      </c>
      <c r="F338" s="1" t="s">
        <v>28</v>
      </c>
      <c r="G338" s="1" t="s">
        <v>86</v>
      </c>
      <c r="H338" s="1" t="s">
        <v>37</v>
      </c>
      <c r="I338" s="1" t="s">
        <v>772</v>
      </c>
      <c r="J338" s="1" t="n">
        <v>12</v>
      </c>
      <c r="K338" s="1" t="s">
        <v>263</v>
      </c>
    </row>
    <row r="339" customFormat="false" ht="15" hidden="false" customHeight="true" outlineLevel="0" collapsed="false">
      <c r="A339" s="1" t="s">
        <v>788</v>
      </c>
      <c r="B339" s="1" t="s">
        <v>54</v>
      </c>
      <c r="C339" s="1" t="s">
        <v>789</v>
      </c>
      <c r="D339" s="1" t="n">
        <v>39.68</v>
      </c>
      <c r="E339" s="1" t="s">
        <v>14</v>
      </c>
      <c r="F339" s="1" t="s">
        <v>56</v>
      </c>
      <c r="G339" s="1" t="s">
        <v>23</v>
      </c>
      <c r="H339" s="1" t="s">
        <v>17</v>
      </c>
      <c r="I339" s="1" t="s">
        <v>772</v>
      </c>
      <c r="J339" s="1" t="n">
        <v>13</v>
      </c>
      <c r="K339" s="1" t="s">
        <v>263</v>
      </c>
    </row>
    <row r="340" customFormat="false" ht="15" hidden="false" customHeight="true" outlineLevel="0" collapsed="false">
      <c r="A340" s="1" t="s">
        <v>790</v>
      </c>
      <c r="B340" s="1" t="s">
        <v>34</v>
      </c>
      <c r="C340" s="1" t="s">
        <v>791</v>
      </c>
      <c r="D340" s="1" t="n">
        <v>128.94</v>
      </c>
      <c r="E340" s="1" t="s">
        <v>14</v>
      </c>
      <c r="F340" s="1" t="s">
        <v>15</v>
      </c>
      <c r="G340" s="1" t="s">
        <v>23</v>
      </c>
      <c r="H340" s="1" t="s">
        <v>37</v>
      </c>
      <c r="I340" s="1" t="s">
        <v>772</v>
      </c>
      <c r="J340" s="1" t="n">
        <v>15</v>
      </c>
      <c r="K340" s="1" t="s">
        <v>263</v>
      </c>
    </row>
    <row r="341" customFormat="false" ht="15" hidden="false" customHeight="true" outlineLevel="0" collapsed="false">
      <c r="A341" s="1" t="s">
        <v>792</v>
      </c>
      <c r="B341" s="1" t="s">
        <v>90</v>
      </c>
      <c r="C341" s="1" t="s">
        <v>791</v>
      </c>
      <c r="D341" s="1" t="n">
        <v>60.56</v>
      </c>
      <c r="E341" s="1" t="s">
        <v>14</v>
      </c>
      <c r="F341" s="1" t="s">
        <v>41</v>
      </c>
      <c r="G341" s="1" t="s">
        <v>29</v>
      </c>
      <c r="H341" s="1" t="s">
        <v>17</v>
      </c>
      <c r="I341" s="1" t="s">
        <v>772</v>
      </c>
      <c r="J341" s="1" t="n">
        <v>15</v>
      </c>
      <c r="K341" s="1" t="s">
        <v>263</v>
      </c>
    </row>
    <row r="342" customFormat="false" ht="15" hidden="false" customHeight="true" outlineLevel="0" collapsed="false">
      <c r="A342" s="1" t="s">
        <v>793</v>
      </c>
      <c r="B342" s="1" t="s">
        <v>170</v>
      </c>
      <c r="C342" s="1" t="s">
        <v>794</v>
      </c>
      <c r="D342" s="1" t="n">
        <v>266.2</v>
      </c>
      <c r="E342" s="1" t="s">
        <v>14</v>
      </c>
      <c r="F342" s="1" t="s">
        <v>41</v>
      </c>
      <c r="G342" s="1" t="s">
        <v>23</v>
      </c>
      <c r="H342" s="1" t="s">
        <v>24</v>
      </c>
      <c r="I342" s="1" t="s">
        <v>772</v>
      </c>
      <c r="J342" s="1" t="n">
        <v>16</v>
      </c>
      <c r="K342" s="1" t="s">
        <v>263</v>
      </c>
    </row>
    <row r="343" customFormat="false" ht="15" hidden="false" customHeight="true" outlineLevel="0" collapsed="false">
      <c r="A343" s="1" t="s">
        <v>795</v>
      </c>
      <c r="B343" s="1" t="s">
        <v>106</v>
      </c>
      <c r="C343" s="1" t="s">
        <v>796</v>
      </c>
      <c r="D343" s="1" t="n">
        <v>30.07</v>
      </c>
      <c r="E343" s="1" t="s">
        <v>14</v>
      </c>
      <c r="F343" s="1" t="s">
        <v>15</v>
      </c>
      <c r="G343" s="1" t="s">
        <v>42</v>
      </c>
      <c r="H343" s="1" t="s">
        <v>37</v>
      </c>
      <c r="I343" s="1" t="s">
        <v>772</v>
      </c>
      <c r="J343" s="1" t="n">
        <v>16</v>
      </c>
      <c r="K343" s="1" t="s">
        <v>263</v>
      </c>
    </row>
    <row r="344" customFormat="false" ht="15" hidden="false" customHeight="true" outlineLevel="0" collapsed="false">
      <c r="A344" s="1" t="s">
        <v>797</v>
      </c>
      <c r="B344" s="1" t="s">
        <v>258</v>
      </c>
      <c r="C344" s="1" t="s">
        <v>798</v>
      </c>
      <c r="D344" s="1" t="n">
        <v>153.18</v>
      </c>
      <c r="E344" s="1" t="s">
        <v>14</v>
      </c>
      <c r="F344" s="1" t="s">
        <v>28</v>
      </c>
      <c r="G344" s="1" t="s">
        <v>42</v>
      </c>
      <c r="H344" s="1" t="s">
        <v>24</v>
      </c>
      <c r="I344" s="1" t="s">
        <v>772</v>
      </c>
      <c r="J344" s="1" t="n">
        <v>16</v>
      </c>
      <c r="K344" s="1" t="s">
        <v>263</v>
      </c>
    </row>
    <row r="345" customFormat="false" ht="15" hidden="false" customHeight="true" outlineLevel="0" collapsed="false">
      <c r="A345" s="1" t="s">
        <v>799</v>
      </c>
      <c r="B345" s="1" t="s">
        <v>167</v>
      </c>
      <c r="C345" s="1" t="s">
        <v>800</v>
      </c>
      <c r="D345" s="1" t="n">
        <v>123.14</v>
      </c>
      <c r="E345" s="1" t="s">
        <v>14</v>
      </c>
      <c r="F345" s="1" t="s">
        <v>28</v>
      </c>
      <c r="G345" s="1" t="s">
        <v>70</v>
      </c>
      <c r="H345" s="1" t="s">
        <v>24</v>
      </c>
      <c r="I345" s="1" t="s">
        <v>772</v>
      </c>
      <c r="J345" s="1" t="n">
        <v>17</v>
      </c>
      <c r="K345" s="1" t="s">
        <v>263</v>
      </c>
    </row>
    <row r="346" customFormat="false" ht="15" hidden="false" customHeight="true" outlineLevel="0" collapsed="false">
      <c r="A346" s="1" t="s">
        <v>801</v>
      </c>
      <c r="B346" s="1" t="s">
        <v>302</v>
      </c>
      <c r="C346" s="1" t="s">
        <v>802</v>
      </c>
      <c r="D346" s="1" t="n">
        <v>47.02</v>
      </c>
      <c r="E346" s="1" t="s">
        <v>14</v>
      </c>
      <c r="F346" s="1" t="s">
        <v>28</v>
      </c>
      <c r="G346" s="1" t="s">
        <v>29</v>
      </c>
      <c r="H346" s="1" t="s">
        <v>17</v>
      </c>
      <c r="I346" s="1" t="s">
        <v>803</v>
      </c>
      <c r="J346" s="1" t="n">
        <v>1</v>
      </c>
      <c r="K346" s="1" t="s">
        <v>19</v>
      </c>
    </row>
    <row r="347" customFormat="false" ht="15" hidden="false" customHeight="true" outlineLevel="0" collapsed="false">
      <c r="A347" s="1" t="s">
        <v>804</v>
      </c>
      <c r="B347" s="1" t="s">
        <v>93</v>
      </c>
      <c r="C347" s="1" t="s">
        <v>805</v>
      </c>
      <c r="D347" s="1" t="n">
        <v>27.54</v>
      </c>
      <c r="E347" s="1" t="s">
        <v>14</v>
      </c>
      <c r="F347" s="1" t="s">
        <v>28</v>
      </c>
      <c r="G347" s="1" t="s">
        <v>29</v>
      </c>
      <c r="H347" s="1" t="s">
        <v>24</v>
      </c>
      <c r="I347" s="1" t="s">
        <v>803</v>
      </c>
      <c r="J347" s="1" t="n">
        <v>2</v>
      </c>
      <c r="K347" s="1" t="s">
        <v>19</v>
      </c>
    </row>
    <row r="348" customFormat="false" ht="15" hidden="false" customHeight="true" outlineLevel="0" collapsed="false">
      <c r="A348" s="1" t="s">
        <v>806</v>
      </c>
      <c r="B348" s="1" t="s">
        <v>475</v>
      </c>
      <c r="C348" s="1" t="s">
        <v>807</v>
      </c>
      <c r="D348" s="1" t="n">
        <v>19.27</v>
      </c>
      <c r="E348" s="1" t="s">
        <v>14</v>
      </c>
      <c r="F348" s="1" t="s">
        <v>56</v>
      </c>
      <c r="G348" s="1" t="s">
        <v>82</v>
      </c>
      <c r="H348" s="1" t="s">
        <v>24</v>
      </c>
      <c r="I348" s="1" t="s">
        <v>803</v>
      </c>
      <c r="J348" s="1" t="n">
        <v>3</v>
      </c>
      <c r="K348" s="1" t="s">
        <v>19</v>
      </c>
    </row>
    <row r="349" customFormat="false" ht="15" hidden="false" customHeight="true" outlineLevel="0" collapsed="false">
      <c r="A349" s="1" t="s">
        <v>808</v>
      </c>
      <c r="B349" s="1" t="s">
        <v>394</v>
      </c>
      <c r="C349" s="1" t="s">
        <v>809</v>
      </c>
      <c r="D349" s="1" t="n">
        <v>42.76</v>
      </c>
      <c r="E349" s="1" t="s">
        <v>14</v>
      </c>
      <c r="F349" s="1" t="s">
        <v>56</v>
      </c>
      <c r="G349" s="1" t="s">
        <v>36</v>
      </c>
      <c r="H349" s="1" t="s">
        <v>17</v>
      </c>
      <c r="I349" s="1" t="s">
        <v>803</v>
      </c>
      <c r="J349" s="1" t="n">
        <v>6</v>
      </c>
      <c r="K349" s="1" t="s">
        <v>19</v>
      </c>
    </row>
    <row r="350" customFormat="false" ht="15" hidden="false" customHeight="true" outlineLevel="0" collapsed="false">
      <c r="A350" s="1" t="s">
        <v>810</v>
      </c>
      <c r="B350" s="1" t="s">
        <v>80</v>
      </c>
      <c r="C350" s="1" t="s">
        <v>811</v>
      </c>
      <c r="D350" s="1" t="n">
        <v>204.69</v>
      </c>
      <c r="E350" s="1" t="s">
        <v>14</v>
      </c>
      <c r="F350" s="1" t="s">
        <v>56</v>
      </c>
      <c r="G350" s="1" t="s">
        <v>16</v>
      </c>
      <c r="H350" s="1" t="s">
        <v>17</v>
      </c>
      <c r="I350" s="1" t="s">
        <v>803</v>
      </c>
      <c r="J350" s="1" t="n">
        <v>9</v>
      </c>
      <c r="K350" s="1" t="s">
        <v>19</v>
      </c>
    </row>
    <row r="351" customFormat="false" ht="15" hidden="false" customHeight="true" outlineLevel="0" collapsed="false">
      <c r="A351" s="1" t="s">
        <v>812</v>
      </c>
      <c r="B351" s="1" t="s">
        <v>394</v>
      </c>
      <c r="C351" s="1" t="s">
        <v>813</v>
      </c>
      <c r="D351" s="1" t="n">
        <v>45.36</v>
      </c>
      <c r="E351" s="1" t="s">
        <v>14</v>
      </c>
      <c r="F351" s="1" t="s">
        <v>56</v>
      </c>
      <c r="G351" s="1" t="s">
        <v>16</v>
      </c>
      <c r="H351" s="1" t="s">
        <v>37</v>
      </c>
      <c r="I351" s="1" t="s">
        <v>803</v>
      </c>
      <c r="J351" s="1" t="n">
        <v>10</v>
      </c>
      <c r="K351" s="1" t="s">
        <v>19</v>
      </c>
    </row>
    <row r="352" customFormat="false" ht="15" hidden="false" customHeight="true" outlineLevel="0" collapsed="false">
      <c r="A352" s="1" t="s">
        <v>814</v>
      </c>
      <c r="B352" s="1" t="s">
        <v>173</v>
      </c>
      <c r="C352" s="1" t="s">
        <v>815</v>
      </c>
      <c r="D352" s="1" t="n">
        <v>145.86</v>
      </c>
      <c r="E352" s="1" t="s">
        <v>14</v>
      </c>
      <c r="F352" s="1" t="s">
        <v>28</v>
      </c>
      <c r="G352" s="1" t="s">
        <v>36</v>
      </c>
      <c r="H352" s="1" t="s">
        <v>37</v>
      </c>
      <c r="I352" s="1" t="s">
        <v>803</v>
      </c>
      <c r="J352" s="1" t="n">
        <v>11</v>
      </c>
      <c r="K352" s="1" t="s">
        <v>19</v>
      </c>
    </row>
    <row r="353" customFormat="false" ht="15" hidden="false" customHeight="true" outlineLevel="0" collapsed="false">
      <c r="A353" s="1" t="s">
        <v>816</v>
      </c>
      <c r="B353" s="1" t="s">
        <v>302</v>
      </c>
      <c r="C353" s="1" t="s">
        <v>817</v>
      </c>
      <c r="D353" s="1" t="n">
        <v>13.17</v>
      </c>
      <c r="E353" s="1" t="s">
        <v>14</v>
      </c>
      <c r="F353" s="1" t="s">
        <v>28</v>
      </c>
      <c r="G353" s="1" t="s">
        <v>29</v>
      </c>
      <c r="H353" s="1" t="s">
        <v>37</v>
      </c>
      <c r="I353" s="1" t="s">
        <v>803</v>
      </c>
      <c r="J353" s="1" t="n">
        <v>11</v>
      </c>
      <c r="K353" s="1" t="s">
        <v>19</v>
      </c>
    </row>
    <row r="354" customFormat="false" ht="15" hidden="false" customHeight="true" outlineLevel="0" collapsed="false">
      <c r="A354" s="1" t="s">
        <v>818</v>
      </c>
      <c r="B354" s="1" t="s">
        <v>31</v>
      </c>
      <c r="C354" s="1" t="s">
        <v>819</v>
      </c>
      <c r="D354" s="1" t="n">
        <v>351.44</v>
      </c>
      <c r="E354" s="1" t="s">
        <v>14</v>
      </c>
      <c r="F354" s="1" t="s">
        <v>15</v>
      </c>
      <c r="G354" s="1" t="s">
        <v>23</v>
      </c>
      <c r="H354" s="1" t="s">
        <v>24</v>
      </c>
      <c r="I354" s="1" t="s">
        <v>803</v>
      </c>
      <c r="J354" s="1" t="n">
        <v>11</v>
      </c>
      <c r="K354" s="1" t="s">
        <v>19</v>
      </c>
    </row>
    <row r="355" customFormat="false" ht="15" hidden="false" customHeight="true" outlineLevel="0" collapsed="false">
      <c r="A355" s="1" t="s">
        <v>820</v>
      </c>
      <c r="B355" s="1" t="s">
        <v>302</v>
      </c>
      <c r="C355" s="1" t="s">
        <v>821</v>
      </c>
      <c r="D355" s="1" t="n">
        <v>77.05</v>
      </c>
      <c r="E355" s="1" t="s">
        <v>14</v>
      </c>
      <c r="F355" s="1" t="s">
        <v>28</v>
      </c>
      <c r="G355" s="1" t="s">
        <v>29</v>
      </c>
      <c r="H355" s="1" t="s">
        <v>17</v>
      </c>
      <c r="I355" s="1" t="s">
        <v>803</v>
      </c>
      <c r="J355" s="1" t="n">
        <v>13</v>
      </c>
      <c r="K355" s="1" t="s">
        <v>19</v>
      </c>
    </row>
    <row r="356" customFormat="false" ht="15" hidden="false" customHeight="true" outlineLevel="0" collapsed="false">
      <c r="A356" s="1" t="s">
        <v>822</v>
      </c>
      <c r="B356" s="1" t="s">
        <v>148</v>
      </c>
      <c r="C356" s="1" t="s">
        <v>823</v>
      </c>
      <c r="D356" s="1" t="n">
        <v>72.77</v>
      </c>
      <c r="E356" s="1" t="s">
        <v>14</v>
      </c>
      <c r="F356" s="1" t="s">
        <v>41</v>
      </c>
      <c r="G356" s="1" t="s">
        <v>82</v>
      </c>
      <c r="H356" s="1" t="s">
        <v>24</v>
      </c>
      <c r="I356" s="1" t="s">
        <v>803</v>
      </c>
      <c r="J356" s="1" t="n">
        <v>14</v>
      </c>
      <c r="K356" s="1" t="s">
        <v>19</v>
      </c>
    </row>
    <row r="357" customFormat="false" ht="15" hidden="false" customHeight="true" outlineLevel="0" collapsed="false">
      <c r="A357" s="1" t="s">
        <v>824</v>
      </c>
      <c r="B357" s="1" t="s">
        <v>61</v>
      </c>
      <c r="C357" s="1" t="s">
        <v>825</v>
      </c>
      <c r="D357" s="1" t="n">
        <v>98.76</v>
      </c>
      <c r="E357" s="1" t="s">
        <v>14</v>
      </c>
      <c r="F357" s="1" t="s">
        <v>56</v>
      </c>
      <c r="G357" s="1" t="s">
        <v>70</v>
      </c>
      <c r="H357" s="1" t="s">
        <v>17</v>
      </c>
      <c r="I357" s="1" t="s">
        <v>803</v>
      </c>
      <c r="J357" s="1" t="n">
        <v>14</v>
      </c>
      <c r="K357" s="1" t="s">
        <v>19</v>
      </c>
    </row>
    <row r="358" customFormat="false" ht="15" hidden="false" customHeight="true" outlineLevel="0" collapsed="false">
      <c r="A358" s="1" t="s">
        <v>826</v>
      </c>
      <c r="B358" s="1" t="s">
        <v>140</v>
      </c>
      <c r="C358" s="1" t="s">
        <v>827</v>
      </c>
      <c r="D358" s="1" t="n">
        <v>72.92</v>
      </c>
      <c r="E358" s="1" t="s">
        <v>14</v>
      </c>
      <c r="F358" s="1" t="s">
        <v>41</v>
      </c>
      <c r="G358" s="1" t="s">
        <v>36</v>
      </c>
      <c r="H358" s="1" t="s">
        <v>24</v>
      </c>
      <c r="I358" s="1" t="s">
        <v>803</v>
      </c>
      <c r="J358" s="1" t="n">
        <v>15</v>
      </c>
      <c r="K358" s="1" t="s">
        <v>19</v>
      </c>
    </row>
    <row r="359" customFormat="false" ht="15" hidden="false" customHeight="true" outlineLevel="0" collapsed="false">
      <c r="A359" s="1" t="s">
        <v>828</v>
      </c>
      <c r="B359" s="1" t="s">
        <v>183</v>
      </c>
      <c r="C359" s="1" t="s">
        <v>829</v>
      </c>
      <c r="D359" s="1" t="n">
        <v>19.3</v>
      </c>
      <c r="E359" s="1" t="s">
        <v>14</v>
      </c>
      <c r="F359" s="1" t="s">
        <v>15</v>
      </c>
      <c r="G359" s="1" t="s">
        <v>42</v>
      </c>
      <c r="H359" s="1" t="s">
        <v>24</v>
      </c>
      <c r="I359" s="1" t="s">
        <v>803</v>
      </c>
      <c r="J359" s="1" t="n">
        <v>15</v>
      </c>
      <c r="K359" s="1" t="s">
        <v>19</v>
      </c>
    </row>
    <row r="360" customFormat="false" ht="15" hidden="false" customHeight="true" outlineLevel="0" collapsed="false">
      <c r="A360" s="1" t="s">
        <v>830</v>
      </c>
      <c r="B360" s="1" t="s">
        <v>148</v>
      </c>
      <c r="C360" s="1" t="s">
        <v>831</v>
      </c>
      <c r="D360" s="1" t="n">
        <v>70.4</v>
      </c>
      <c r="E360" s="1" t="s">
        <v>14</v>
      </c>
      <c r="F360" s="1" t="s">
        <v>41</v>
      </c>
      <c r="G360" s="1" t="s">
        <v>36</v>
      </c>
      <c r="H360" s="1" t="s">
        <v>17</v>
      </c>
      <c r="I360" s="1" t="s">
        <v>803</v>
      </c>
      <c r="J360" s="1" t="n">
        <v>17</v>
      </c>
      <c r="K360" s="1" t="s">
        <v>19</v>
      </c>
    </row>
    <row r="361" customFormat="false" ht="15" hidden="false" customHeight="true" outlineLevel="0" collapsed="false">
      <c r="A361" s="1" t="s">
        <v>832</v>
      </c>
      <c r="B361" s="1" t="s">
        <v>132</v>
      </c>
      <c r="C361" s="1" t="s">
        <v>833</v>
      </c>
      <c r="D361" s="1" t="n">
        <v>18.8</v>
      </c>
      <c r="E361" s="1" t="s">
        <v>14</v>
      </c>
      <c r="F361" s="1" t="s">
        <v>41</v>
      </c>
      <c r="G361" s="1" t="s">
        <v>16</v>
      </c>
      <c r="H361" s="1" t="s">
        <v>17</v>
      </c>
      <c r="I361" s="1" t="s">
        <v>803</v>
      </c>
      <c r="J361" s="1" t="n">
        <v>18</v>
      </c>
      <c r="K361" s="1" t="s">
        <v>19</v>
      </c>
    </row>
    <row r="362" customFormat="false" ht="15" hidden="false" customHeight="true" outlineLevel="0" collapsed="false">
      <c r="A362" s="1" t="s">
        <v>834</v>
      </c>
      <c r="B362" s="1" t="s">
        <v>162</v>
      </c>
      <c r="C362" s="1" t="s">
        <v>835</v>
      </c>
      <c r="D362" s="1" t="n">
        <v>44.11</v>
      </c>
      <c r="E362" s="1" t="s">
        <v>14</v>
      </c>
      <c r="F362" s="1" t="s">
        <v>49</v>
      </c>
      <c r="G362" s="1" t="s">
        <v>70</v>
      </c>
      <c r="H362" s="1" t="s">
        <v>17</v>
      </c>
      <c r="I362" s="1" t="s">
        <v>803</v>
      </c>
      <c r="J362" s="1" t="n">
        <v>20</v>
      </c>
      <c r="K362" s="1" t="s">
        <v>19</v>
      </c>
    </row>
    <row r="363" customFormat="false" ht="15" hidden="false" customHeight="true" outlineLevel="0" collapsed="false">
      <c r="A363" s="1" t="s">
        <v>836</v>
      </c>
      <c r="B363" s="1" t="s">
        <v>93</v>
      </c>
      <c r="C363" s="1" t="s">
        <v>837</v>
      </c>
      <c r="D363" s="1" t="n">
        <v>61.04</v>
      </c>
      <c r="E363" s="1" t="s">
        <v>14</v>
      </c>
      <c r="F363" s="1" t="s">
        <v>28</v>
      </c>
      <c r="G363" s="1" t="s">
        <v>86</v>
      </c>
      <c r="H363" s="1" t="s">
        <v>17</v>
      </c>
      <c r="I363" s="1" t="s">
        <v>803</v>
      </c>
      <c r="J363" s="1" t="n">
        <v>23</v>
      </c>
      <c r="K363" s="1" t="s">
        <v>19</v>
      </c>
    </row>
    <row r="364" customFormat="false" ht="15" hidden="false" customHeight="true" outlineLevel="0" collapsed="false">
      <c r="A364" s="1" t="s">
        <v>838</v>
      </c>
      <c r="B364" s="1" t="s">
        <v>258</v>
      </c>
      <c r="C364" s="1" t="s">
        <v>839</v>
      </c>
      <c r="D364" s="1" t="n">
        <v>171.42</v>
      </c>
      <c r="E364" s="1" t="s">
        <v>14</v>
      </c>
      <c r="F364" s="1" t="s">
        <v>28</v>
      </c>
      <c r="G364" s="1" t="s">
        <v>86</v>
      </c>
      <c r="H364" s="1" t="s">
        <v>17</v>
      </c>
      <c r="I364" s="1" t="s">
        <v>840</v>
      </c>
      <c r="J364" s="1" t="n">
        <v>1</v>
      </c>
      <c r="K364" s="1" t="s">
        <v>67</v>
      </c>
    </row>
    <row r="365" customFormat="false" ht="15" hidden="false" customHeight="true" outlineLevel="0" collapsed="false">
      <c r="A365" s="1" t="s">
        <v>841</v>
      </c>
      <c r="B365" s="1" t="s">
        <v>125</v>
      </c>
      <c r="C365" s="1" t="s">
        <v>842</v>
      </c>
      <c r="D365" s="1" t="n">
        <v>19.82</v>
      </c>
      <c r="E365" s="1" t="s">
        <v>14</v>
      </c>
      <c r="F365" s="1" t="s">
        <v>28</v>
      </c>
      <c r="G365" s="1" t="s">
        <v>82</v>
      </c>
      <c r="H365" s="1" t="s">
        <v>17</v>
      </c>
      <c r="I365" s="1" t="s">
        <v>840</v>
      </c>
      <c r="J365" s="1" t="n">
        <v>6</v>
      </c>
      <c r="K365" s="1" t="s">
        <v>67</v>
      </c>
    </row>
    <row r="366" customFormat="false" ht="15" hidden="false" customHeight="true" outlineLevel="0" collapsed="false">
      <c r="A366" s="1" t="s">
        <v>843</v>
      </c>
      <c r="B366" s="1" t="s">
        <v>84</v>
      </c>
      <c r="C366" s="1" t="s">
        <v>844</v>
      </c>
      <c r="D366" s="1" t="n">
        <v>96.01</v>
      </c>
      <c r="E366" s="1" t="s">
        <v>14</v>
      </c>
      <c r="F366" s="1" t="s">
        <v>56</v>
      </c>
      <c r="G366" s="1" t="s">
        <v>23</v>
      </c>
      <c r="H366" s="1" t="s">
        <v>17</v>
      </c>
      <c r="I366" s="1" t="s">
        <v>840</v>
      </c>
      <c r="J366" s="1" t="n">
        <v>8</v>
      </c>
      <c r="K366" s="1" t="s">
        <v>67</v>
      </c>
    </row>
    <row r="367" customFormat="false" ht="15" hidden="false" customHeight="true" outlineLevel="0" collapsed="false">
      <c r="A367" s="1" t="s">
        <v>845</v>
      </c>
      <c r="B367" s="1" t="s">
        <v>64</v>
      </c>
      <c r="C367" s="1" t="s">
        <v>846</v>
      </c>
      <c r="D367" s="1" t="n">
        <v>68.4</v>
      </c>
      <c r="E367" s="1" t="s">
        <v>14</v>
      </c>
      <c r="F367" s="1" t="s">
        <v>41</v>
      </c>
      <c r="G367" s="1" t="s">
        <v>16</v>
      </c>
      <c r="H367" s="1" t="s">
        <v>17</v>
      </c>
      <c r="I367" s="1" t="s">
        <v>840</v>
      </c>
      <c r="J367" s="1" t="n">
        <v>8</v>
      </c>
      <c r="K367" s="1" t="s">
        <v>67</v>
      </c>
    </row>
    <row r="368" customFormat="false" ht="15" hidden="false" customHeight="true" outlineLevel="0" collapsed="false">
      <c r="A368" s="1" t="s">
        <v>847</v>
      </c>
      <c r="B368" s="1" t="s">
        <v>106</v>
      </c>
      <c r="C368" s="1" t="s">
        <v>848</v>
      </c>
      <c r="D368" s="1" t="n">
        <v>311.23</v>
      </c>
      <c r="E368" s="1" t="s">
        <v>14</v>
      </c>
      <c r="F368" s="1" t="s">
        <v>15</v>
      </c>
      <c r="G368" s="1" t="s">
        <v>70</v>
      </c>
      <c r="H368" s="1" t="s">
        <v>17</v>
      </c>
      <c r="I368" s="1" t="s">
        <v>840</v>
      </c>
      <c r="J368" s="1" t="n">
        <v>11</v>
      </c>
      <c r="K368" s="1" t="s">
        <v>67</v>
      </c>
    </row>
    <row r="369" customFormat="false" ht="15" hidden="false" customHeight="true" outlineLevel="0" collapsed="false">
      <c r="A369" s="1" t="s">
        <v>849</v>
      </c>
      <c r="B369" s="1" t="s">
        <v>137</v>
      </c>
      <c r="C369" s="1" t="s">
        <v>850</v>
      </c>
      <c r="D369" s="1" t="n">
        <v>52.33</v>
      </c>
      <c r="E369" s="1" t="s">
        <v>14</v>
      </c>
      <c r="F369" s="1" t="s">
        <v>49</v>
      </c>
      <c r="G369" s="1" t="s">
        <v>82</v>
      </c>
      <c r="H369" s="1" t="s">
        <v>17</v>
      </c>
      <c r="I369" s="1" t="s">
        <v>840</v>
      </c>
      <c r="J369" s="1" t="n">
        <v>11</v>
      </c>
      <c r="K369" s="1" t="s">
        <v>67</v>
      </c>
    </row>
    <row r="370" customFormat="false" ht="15" hidden="false" customHeight="true" outlineLevel="0" collapsed="false">
      <c r="A370" s="1" t="s">
        <v>851</v>
      </c>
      <c r="B370" s="1" t="s">
        <v>58</v>
      </c>
      <c r="C370" s="1" t="s">
        <v>852</v>
      </c>
      <c r="D370" s="1" t="n">
        <v>88.48</v>
      </c>
      <c r="E370" s="1" t="s">
        <v>14</v>
      </c>
      <c r="F370" s="1" t="s">
        <v>15</v>
      </c>
      <c r="G370" s="1" t="s">
        <v>29</v>
      </c>
      <c r="H370" s="1" t="s">
        <v>17</v>
      </c>
      <c r="I370" s="1" t="s">
        <v>840</v>
      </c>
      <c r="J370" s="1" t="n">
        <v>12</v>
      </c>
      <c r="K370" s="1" t="s">
        <v>67</v>
      </c>
    </row>
    <row r="371" customFormat="false" ht="15" hidden="false" customHeight="true" outlineLevel="0" collapsed="false">
      <c r="A371" s="1" t="s">
        <v>853</v>
      </c>
      <c r="B371" s="1" t="s">
        <v>162</v>
      </c>
      <c r="C371" s="1" t="s">
        <v>854</v>
      </c>
      <c r="D371" s="1" t="n">
        <v>31.04</v>
      </c>
      <c r="E371" s="1" t="s">
        <v>14</v>
      </c>
      <c r="F371" s="1" t="s">
        <v>49</v>
      </c>
      <c r="G371" s="1" t="s">
        <v>23</v>
      </c>
      <c r="H371" s="1" t="s">
        <v>37</v>
      </c>
      <c r="I371" s="1" t="s">
        <v>840</v>
      </c>
      <c r="J371" s="1" t="n">
        <v>12</v>
      </c>
      <c r="K371" s="1" t="s">
        <v>67</v>
      </c>
    </row>
    <row r="372" customFormat="false" ht="15" hidden="false" customHeight="true" outlineLevel="0" collapsed="false">
      <c r="A372" s="1" t="s">
        <v>855</v>
      </c>
      <c r="B372" s="1" t="s">
        <v>291</v>
      </c>
      <c r="C372" s="1" t="s">
        <v>856</v>
      </c>
      <c r="D372" s="1" t="n">
        <v>115.25</v>
      </c>
      <c r="E372" s="1" t="s">
        <v>14</v>
      </c>
      <c r="F372" s="1" t="s">
        <v>28</v>
      </c>
      <c r="G372" s="1" t="s">
        <v>23</v>
      </c>
      <c r="H372" s="1" t="s">
        <v>24</v>
      </c>
      <c r="I372" s="1" t="s">
        <v>840</v>
      </c>
      <c r="J372" s="1" t="n">
        <v>15</v>
      </c>
      <c r="K372" s="1" t="s">
        <v>67</v>
      </c>
    </row>
    <row r="373" customFormat="false" ht="15" hidden="false" customHeight="true" outlineLevel="0" collapsed="false">
      <c r="A373" s="1" t="s">
        <v>857</v>
      </c>
      <c r="B373" s="1" t="s">
        <v>44</v>
      </c>
      <c r="C373" s="1" t="s">
        <v>858</v>
      </c>
      <c r="D373" s="1" t="n">
        <v>53.53</v>
      </c>
      <c r="E373" s="1" t="s">
        <v>14</v>
      </c>
      <c r="F373" s="1" t="s">
        <v>28</v>
      </c>
      <c r="G373" s="1" t="s">
        <v>16</v>
      </c>
      <c r="H373" s="1" t="s">
        <v>37</v>
      </c>
      <c r="I373" s="1" t="s">
        <v>840</v>
      </c>
      <c r="J373" s="1" t="n">
        <v>17</v>
      </c>
      <c r="K373" s="1" t="s">
        <v>67</v>
      </c>
    </row>
    <row r="374" customFormat="false" ht="15" hidden="false" customHeight="true" outlineLevel="0" collapsed="false">
      <c r="A374" s="1" t="s">
        <v>859</v>
      </c>
      <c r="B374" s="1" t="s">
        <v>170</v>
      </c>
      <c r="C374" s="1" t="s">
        <v>860</v>
      </c>
      <c r="D374" s="1" t="n">
        <v>37.31</v>
      </c>
      <c r="E374" s="1" t="s">
        <v>14</v>
      </c>
      <c r="F374" s="1" t="s">
        <v>41</v>
      </c>
      <c r="G374" s="1" t="s">
        <v>36</v>
      </c>
      <c r="H374" s="1" t="s">
        <v>17</v>
      </c>
      <c r="I374" s="1" t="s">
        <v>840</v>
      </c>
      <c r="J374" s="1" t="n">
        <v>18</v>
      </c>
      <c r="K374" s="1" t="s">
        <v>67</v>
      </c>
    </row>
    <row r="375" customFormat="false" ht="15" hidden="false" customHeight="true" outlineLevel="0" collapsed="false">
      <c r="A375" s="1" t="s">
        <v>861</v>
      </c>
      <c r="B375" s="1" t="s">
        <v>487</v>
      </c>
      <c r="C375" s="1" t="s">
        <v>862</v>
      </c>
      <c r="D375" s="1" t="n">
        <v>146.22</v>
      </c>
      <c r="E375" s="1" t="s">
        <v>14</v>
      </c>
      <c r="F375" s="1" t="s">
        <v>49</v>
      </c>
      <c r="G375" s="1" t="s">
        <v>16</v>
      </c>
      <c r="H375" s="1" t="s">
        <v>17</v>
      </c>
      <c r="I375" s="1" t="s">
        <v>840</v>
      </c>
      <c r="J375" s="1" t="n">
        <v>19</v>
      </c>
      <c r="K375" s="1" t="s">
        <v>67</v>
      </c>
    </row>
    <row r="376" customFormat="false" ht="15" hidden="false" customHeight="true" outlineLevel="0" collapsed="false">
      <c r="A376" s="1" t="s">
        <v>863</v>
      </c>
      <c r="B376" s="1" t="s">
        <v>125</v>
      </c>
      <c r="C376" s="1" t="s">
        <v>864</v>
      </c>
      <c r="D376" s="1" t="n">
        <v>33.1</v>
      </c>
      <c r="E376" s="1" t="s">
        <v>14</v>
      </c>
      <c r="F376" s="1" t="s">
        <v>28</v>
      </c>
      <c r="G376" s="1" t="s">
        <v>82</v>
      </c>
      <c r="H376" s="1" t="s">
        <v>24</v>
      </c>
      <c r="I376" s="1" t="s">
        <v>840</v>
      </c>
      <c r="J376" s="1" t="n">
        <v>20</v>
      </c>
      <c r="K376" s="1" t="s">
        <v>67</v>
      </c>
    </row>
    <row r="377" customFormat="false" ht="15" hidden="false" customHeight="true" outlineLevel="0" collapsed="false">
      <c r="A377" s="1" t="s">
        <v>865</v>
      </c>
      <c r="B377" s="1" t="s">
        <v>162</v>
      </c>
      <c r="C377" s="1" t="s">
        <v>866</v>
      </c>
      <c r="D377" s="1" t="n">
        <v>196.58</v>
      </c>
      <c r="E377" s="1" t="s">
        <v>14</v>
      </c>
      <c r="F377" s="1" t="s">
        <v>49</v>
      </c>
      <c r="G377" s="1" t="s">
        <v>29</v>
      </c>
      <c r="H377" s="1" t="s">
        <v>17</v>
      </c>
      <c r="I377" s="1" t="s">
        <v>840</v>
      </c>
      <c r="J377" s="1" t="n">
        <v>22</v>
      </c>
      <c r="K377" s="1" t="s">
        <v>67</v>
      </c>
    </row>
    <row r="378" customFormat="false" ht="15" hidden="false" customHeight="true" outlineLevel="0" collapsed="false">
      <c r="A378" s="1" t="s">
        <v>867</v>
      </c>
      <c r="B378" s="1" t="s">
        <v>90</v>
      </c>
      <c r="C378" s="1" t="s">
        <v>868</v>
      </c>
      <c r="D378" s="1" t="n">
        <v>26.27</v>
      </c>
      <c r="E378" s="1" t="s">
        <v>14</v>
      </c>
      <c r="F378" s="1" t="s">
        <v>41</v>
      </c>
      <c r="G378" s="1" t="s">
        <v>29</v>
      </c>
      <c r="H378" s="1" t="s">
        <v>17</v>
      </c>
      <c r="I378" s="1" t="s">
        <v>869</v>
      </c>
      <c r="J378" s="1" t="n">
        <v>0</v>
      </c>
      <c r="K378" s="1" t="s">
        <v>123</v>
      </c>
    </row>
    <row r="379" customFormat="false" ht="15" hidden="false" customHeight="true" outlineLevel="0" collapsed="false">
      <c r="A379" s="1" t="s">
        <v>870</v>
      </c>
      <c r="B379" s="1" t="s">
        <v>39</v>
      </c>
      <c r="C379" s="1" t="s">
        <v>871</v>
      </c>
      <c r="D379" s="1" t="n">
        <v>55.52</v>
      </c>
      <c r="E379" s="1" t="s">
        <v>14</v>
      </c>
      <c r="F379" s="1" t="s">
        <v>41</v>
      </c>
      <c r="G379" s="1" t="s">
        <v>82</v>
      </c>
      <c r="H379" s="1" t="s">
        <v>24</v>
      </c>
      <c r="I379" s="1" t="s">
        <v>869</v>
      </c>
      <c r="J379" s="1" t="n">
        <v>6</v>
      </c>
      <c r="K379" s="1" t="s">
        <v>123</v>
      </c>
    </row>
    <row r="380" customFormat="false" ht="15" hidden="false" customHeight="true" outlineLevel="0" collapsed="false">
      <c r="A380" s="1" t="s">
        <v>872</v>
      </c>
      <c r="B380" s="1" t="s">
        <v>216</v>
      </c>
      <c r="C380" s="1" t="s">
        <v>873</v>
      </c>
      <c r="D380" s="1" t="n">
        <v>91.55</v>
      </c>
      <c r="E380" s="1" t="s">
        <v>14</v>
      </c>
      <c r="F380" s="1" t="s">
        <v>49</v>
      </c>
      <c r="G380" s="1" t="s">
        <v>29</v>
      </c>
      <c r="H380" s="1" t="s">
        <v>24</v>
      </c>
      <c r="I380" s="1" t="s">
        <v>869</v>
      </c>
      <c r="J380" s="1" t="n">
        <v>7</v>
      </c>
      <c r="K380" s="1" t="s">
        <v>123</v>
      </c>
    </row>
    <row r="381" customFormat="false" ht="15" hidden="false" customHeight="true" outlineLevel="0" collapsed="false">
      <c r="A381" s="1" t="s">
        <v>874</v>
      </c>
      <c r="B381" s="1" t="s">
        <v>286</v>
      </c>
      <c r="C381" s="1" t="s">
        <v>875</v>
      </c>
      <c r="D381" s="1" t="n">
        <v>11.43</v>
      </c>
      <c r="E381" s="1" t="s">
        <v>14</v>
      </c>
      <c r="F381" s="1" t="s">
        <v>15</v>
      </c>
      <c r="G381" s="1" t="s">
        <v>16</v>
      </c>
      <c r="H381" s="1" t="s">
        <v>37</v>
      </c>
      <c r="I381" s="1" t="s">
        <v>869</v>
      </c>
      <c r="J381" s="1" t="n">
        <v>8</v>
      </c>
      <c r="K381" s="1" t="s">
        <v>123</v>
      </c>
    </row>
    <row r="382" customFormat="false" ht="15" hidden="false" customHeight="true" outlineLevel="0" collapsed="false">
      <c r="A382" s="1" t="s">
        <v>876</v>
      </c>
      <c r="B382" s="1" t="s">
        <v>258</v>
      </c>
      <c r="C382" s="1" t="s">
        <v>877</v>
      </c>
      <c r="D382" s="1" t="n">
        <v>61.13</v>
      </c>
      <c r="E382" s="1" t="s">
        <v>14</v>
      </c>
      <c r="F382" s="1" t="s">
        <v>28</v>
      </c>
      <c r="G382" s="1" t="s">
        <v>36</v>
      </c>
      <c r="H382" s="1" t="s">
        <v>24</v>
      </c>
      <c r="I382" s="1" t="s">
        <v>869</v>
      </c>
      <c r="J382" s="1" t="n">
        <v>8</v>
      </c>
      <c r="K382" s="1" t="s">
        <v>123</v>
      </c>
    </row>
    <row r="383" customFormat="false" ht="15" hidden="false" customHeight="true" outlineLevel="0" collapsed="false">
      <c r="A383" s="1" t="s">
        <v>878</v>
      </c>
      <c r="B383" s="1" t="s">
        <v>173</v>
      </c>
      <c r="C383" s="1" t="s">
        <v>879</v>
      </c>
      <c r="D383" s="1" t="n">
        <v>93.65</v>
      </c>
      <c r="E383" s="1" t="s">
        <v>14</v>
      </c>
      <c r="F383" s="1" t="s">
        <v>28</v>
      </c>
      <c r="G383" s="1" t="s">
        <v>23</v>
      </c>
      <c r="H383" s="1" t="s">
        <v>37</v>
      </c>
      <c r="I383" s="1" t="s">
        <v>869</v>
      </c>
      <c r="J383" s="1" t="n">
        <v>9</v>
      </c>
      <c r="K383" s="1" t="s">
        <v>123</v>
      </c>
    </row>
    <row r="384" customFormat="false" ht="15" hidden="false" customHeight="true" outlineLevel="0" collapsed="false">
      <c r="A384" s="1" t="s">
        <v>880</v>
      </c>
      <c r="B384" s="1" t="s">
        <v>75</v>
      </c>
      <c r="C384" s="1" t="s">
        <v>881</v>
      </c>
      <c r="D384" s="1" t="n">
        <v>65.17</v>
      </c>
      <c r="E384" s="1" t="s">
        <v>14</v>
      </c>
      <c r="F384" s="1" t="s">
        <v>15</v>
      </c>
      <c r="G384" s="1" t="s">
        <v>23</v>
      </c>
      <c r="H384" s="1" t="s">
        <v>17</v>
      </c>
      <c r="I384" s="1" t="s">
        <v>869</v>
      </c>
      <c r="J384" s="1" t="n">
        <v>11</v>
      </c>
      <c r="K384" s="1" t="s">
        <v>123</v>
      </c>
    </row>
    <row r="385" customFormat="false" ht="15" hidden="false" customHeight="true" outlineLevel="0" collapsed="false">
      <c r="A385" s="1" t="s">
        <v>882</v>
      </c>
      <c r="B385" s="1" t="s">
        <v>487</v>
      </c>
      <c r="C385" s="1" t="s">
        <v>883</v>
      </c>
      <c r="D385" s="1" t="n">
        <v>158.12</v>
      </c>
      <c r="E385" s="1" t="s">
        <v>14</v>
      </c>
      <c r="F385" s="1" t="s">
        <v>49</v>
      </c>
      <c r="G385" s="1" t="s">
        <v>16</v>
      </c>
      <c r="H385" s="1" t="s">
        <v>37</v>
      </c>
      <c r="I385" s="1" t="s">
        <v>869</v>
      </c>
      <c r="J385" s="1" t="n">
        <v>11</v>
      </c>
      <c r="K385" s="1" t="s">
        <v>123</v>
      </c>
    </row>
    <row r="386" customFormat="false" ht="15" hidden="false" customHeight="true" outlineLevel="0" collapsed="false">
      <c r="A386" s="1" t="s">
        <v>884</v>
      </c>
      <c r="B386" s="1" t="s">
        <v>44</v>
      </c>
      <c r="C386" s="1" t="s">
        <v>885</v>
      </c>
      <c r="D386" s="1" t="n">
        <v>24.86</v>
      </c>
      <c r="E386" s="1" t="s">
        <v>14</v>
      </c>
      <c r="F386" s="1" t="s">
        <v>28</v>
      </c>
      <c r="G386" s="1" t="s">
        <v>82</v>
      </c>
      <c r="H386" s="1" t="s">
        <v>17</v>
      </c>
      <c r="I386" s="1" t="s">
        <v>869</v>
      </c>
      <c r="J386" s="1" t="n">
        <v>12</v>
      </c>
      <c r="K386" s="1" t="s">
        <v>123</v>
      </c>
    </row>
    <row r="387" customFormat="false" ht="15" hidden="false" customHeight="true" outlineLevel="0" collapsed="false">
      <c r="A387" s="1" t="s">
        <v>886</v>
      </c>
      <c r="B387" s="1" t="s">
        <v>659</v>
      </c>
      <c r="C387" s="1" t="s">
        <v>887</v>
      </c>
      <c r="D387" s="1" t="n">
        <v>27.07</v>
      </c>
      <c r="E387" s="1" t="s">
        <v>14</v>
      </c>
      <c r="F387" s="1" t="s">
        <v>15</v>
      </c>
      <c r="G387" s="1" t="s">
        <v>29</v>
      </c>
      <c r="H387" s="1" t="s">
        <v>24</v>
      </c>
      <c r="I387" s="1" t="s">
        <v>869</v>
      </c>
      <c r="J387" s="1" t="n">
        <v>13</v>
      </c>
      <c r="K387" s="1" t="s">
        <v>123</v>
      </c>
    </row>
    <row r="388" customFormat="false" ht="15" hidden="false" customHeight="true" outlineLevel="0" collapsed="false">
      <c r="A388" s="1" t="s">
        <v>888</v>
      </c>
      <c r="B388" s="1" t="s">
        <v>75</v>
      </c>
      <c r="C388" s="1" t="s">
        <v>889</v>
      </c>
      <c r="D388" s="1" t="n">
        <v>108.77</v>
      </c>
      <c r="E388" s="1" t="s">
        <v>14</v>
      </c>
      <c r="F388" s="1" t="s">
        <v>15</v>
      </c>
      <c r="G388" s="1" t="s">
        <v>70</v>
      </c>
      <c r="H388" s="1" t="s">
        <v>24</v>
      </c>
      <c r="I388" s="1" t="s">
        <v>869</v>
      </c>
      <c r="J388" s="1" t="n">
        <v>13</v>
      </c>
      <c r="K388" s="1" t="s">
        <v>123</v>
      </c>
    </row>
    <row r="389" customFormat="false" ht="15" hidden="false" customHeight="true" outlineLevel="0" collapsed="false">
      <c r="A389" s="1" t="s">
        <v>890</v>
      </c>
      <c r="B389" s="1" t="s">
        <v>12</v>
      </c>
      <c r="C389" s="1" t="s">
        <v>891</v>
      </c>
      <c r="D389" s="1" t="n">
        <v>93.38</v>
      </c>
      <c r="E389" s="1" t="s">
        <v>14</v>
      </c>
      <c r="F389" s="1" t="s">
        <v>15</v>
      </c>
      <c r="G389" s="1" t="s">
        <v>29</v>
      </c>
      <c r="H389" s="1" t="s">
        <v>24</v>
      </c>
      <c r="I389" s="1" t="s">
        <v>869</v>
      </c>
      <c r="J389" s="1" t="n">
        <v>18</v>
      </c>
      <c r="K389" s="1" t="s">
        <v>123</v>
      </c>
    </row>
    <row r="390" customFormat="false" ht="15" hidden="false" customHeight="true" outlineLevel="0" collapsed="false">
      <c r="A390" s="1" t="s">
        <v>892</v>
      </c>
      <c r="B390" s="1" t="s">
        <v>44</v>
      </c>
      <c r="C390" s="1" t="s">
        <v>893</v>
      </c>
      <c r="D390" s="1" t="n">
        <v>89.65</v>
      </c>
      <c r="E390" s="1" t="s">
        <v>14</v>
      </c>
      <c r="F390" s="1" t="s">
        <v>28</v>
      </c>
      <c r="G390" s="1" t="s">
        <v>82</v>
      </c>
      <c r="H390" s="1" t="s">
        <v>17</v>
      </c>
      <c r="I390" s="1" t="s">
        <v>869</v>
      </c>
      <c r="J390" s="1" t="n">
        <v>18</v>
      </c>
      <c r="K390" s="1" t="s">
        <v>123</v>
      </c>
    </row>
    <row r="391" customFormat="false" ht="15" hidden="false" customHeight="true" outlineLevel="0" collapsed="false">
      <c r="A391" s="1" t="s">
        <v>894</v>
      </c>
      <c r="B391" s="1" t="s">
        <v>47</v>
      </c>
      <c r="C391" s="1" t="s">
        <v>895</v>
      </c>
      <c r="D391" s="1" t="n">
        <v>251.86</v>
      </c>
      <c r="E391" s="1" t="s">
        <v>14</v>
      </c>
      <c r="F391" s="1" t="s">
        <v>49</v>
      </c>
      <c r="G391" s="1" t="s">
        <v>29</v>
      </c>
      <c r="H391" s="1" t="s">
        <v>37</v>
      </c>
      <c r="I391" s="1" t="s">
        <v>869</v>
      </c>
      <c r="J391" s="1" t="n">
        <v>23</v>
      </c>
      <c r="K391" s="1" t="s">
        <v>123</v>
      </c>
    </row>
    <row r="392" customFormat="false" ht="15" hidden="false" customHeight="true" outlineLevel="0" collapsed="false">
      <c r="A392" s="1" t="s">
        <v>896</v>
      </c>
      <c r="B392" s="1" t="s">
        <v>145</v>
      </c>
      <c r="C392" s="1" t="s">
        <v>897</v>
      </c>
      <c r="D392" s="1" t="n">
        <v>19.89</v>
      </c>
      <c r="E392" s="1" t="s">
        <v>14</v>
      </c>
      <c r="F392" s="1" t="s">
        <v>15</v>
      </c>
      <c r="G392" s="1" t="s">
        <v>70</v>
      </c>
      <c r="H392" s="1" t="s">
        <v>24</v>
      </c>
      <c r="I392" s="1" t="s">
        <v>898</v>
      </c>
      <c r="J392" s="1" t="n">
        <v>0</v>
      </c>
      <c r="K392" s="1" t="s">
        <v>151</v>
      </c>
    </row>
    <row r="393" customFormat="false" ht="15" hidden="false" customHeight="true" outlineLevel="0" collapsed="false">
      <c r="A393" s="1" t="s">
        <v>899</v>
      </c>
      <c r="B393" s="1" t="s">
        <v>61</v>
      </c>
      <c r="C393" s="1" t="s">
        <v>900</v>
      </c>
      <c r="D393" s="1" t="n">
        <v>149.26</v>
      </c>
      <c r="E393" s="1" t="s">
        <v>14</v>
      </c>
      <c r="F393" s="1" t="s">
        <v>56</v>
      </c>
      <c r="G393" s="1" t="s">
        <v>42</v>
      </c>
      <c r="H393" s="1" t="s">
        <v>17</v>
      </c>
      <c r="I393" s="1" t="s">
        <v>898</v>
      </c>
      <c r="J393" s="1" t="n">
        <v>0</v>
      </c>
      <c r="K393" s="1" t="s">
        <v>151</v>
      </c>
    </row>
    <row r="394" customFormat="false" ht="15" hidden="false" customHeight="true" outlineLevel="0" collapsed="false">
      <c r="A394" s="1" t="s">
        <v>901</v>
      </c>
      <c r="B394" s="1" t="s">
        <v>72</v>
      </c>
      <c r="C394" s="1" t="s">
        <v>902</v>
      </c>
      <c r="D394" s="1" t="n">
        <v>118.49</v>
      </c>
      <c r="E394" s="1" t="s">
        <v>14</v>
      </c>
      <c r="F394" s="1" t="s">
        <v>49</v>
      </c>
      <c r="G394" s="1" t="s">
        <v>82</v>
      </c>
      <c r="H394" s="1" t="s">
        <v>17</v>
      </c>
      <c r="I394" s="1" t="s">
        <v>898</v>
      </c>
      <c r="J394" s="1" t="n">
        <v>1</v>
      </c>
      <c r="K394" s="1" t="s">
        <v>151</v>
      </c>
    </row>
    <row r="395" customFormat="false" ht="15" hidden="false" customHeight="true" outlineLevel="0" collapsed="false">
      <c r="A395" s="1" t="s">
        <v>903</v>
      </c>
      <c r="B395" s="1" t="s">
        <v>44</v>
      </c>
      <c r="C395" s="1" t="s">
        <v>904</v>
      </c>
      <c r="D395" s="1" t="n">
        <v>158.81</v>
      </c>
      <c r="E395" s="1" t="s">
        <v>14</v>
      </c>
      <c r="F395" s="1" t="s">
        <v>28</v>
      </c>
      <c r="G395" s="1" t="s">
        <v>23</v>
      </c>
      <c r="H395" s="1" t="s">
        <v>17</v>
      </c>
      <c r="I395" s="1" t="s">
        <v>898</v>
      </c>
      <c r="J395" s="1" t="n">
        <v>4</v>
      </c>
      <c r="K395" s="1" t="s">
        <v>151</v>
      </c>
    </row>
    <row r="396" customFormat="false" ht="15" hidden="false" customHeight="true" outlineLevel="0" collapsed="false">
      <c r="A396" s="1" t="s">
        <v>905</v>
      </c>
      <c r="B396" s="1" t="s">
        <v>145</v>
      </c>
      <c r="C396" s="1" t="s">
        <v>906</v>
      </c>
      <c r="D396" s="1" t="n">
        <v>269.2</v>
      </c>
      <c r="E396" s="1" t="s">
        <v>14</v>
      </c>
      <c r="F396" s="1" t="s">
        <v>15</v>
      </c>
      <c r="G396" s="1" t="s">
        <v>23</v>
      </c>
      <c r="H396" s="1" t="s">
        <v>24</v>
      </c>
      <c r="I396" s="1" t="s">
        <v>898</v>
      </c>
      <c r="J396" s="1" t="n">
        <v>6</v>
      </c>
      <c r="K396" s="1" t="s">
        <v>151</v>
      </c>
    </row>
    <row r="397" customFormat="false" ht="15" hidden="false" customHeight="true" outlineLevel="0" collapsed="false">
      <c r="A397" s="1" t="s">
        <v>907</v>
      </c>
      <c r="B397" s="1" t="s">
        <v>155</v>
      </c>
      <c r="C397" s="1" t="s">
        <v>908</v>
      </c>
      <c r="D397" s="1" t="n">
        <v>72.77</v>
      </c>
      <c r="E397" s="1" t="s">
        <v>14</v>
      </c>
      <c r="F397" s="1" t="s">
        <v>41</v>
      </c>
      <c r="G397" s="1" t="s">
        <v>36</v>
      </c>
      <c r="H397" s="1" t="s">
        <v>24</v>
      </c>
      <c r="I397" s="1" t="s">
        <v>898</v>
      </c>
      <c r="J397" s="1" t="n">
        <v>7</v>
      </c>
      <c r="K397" s="1" t="s">
        <v>151</v>
      </c>
    </row>
    <row r="398" customFormat="false" ht="15" hidden="false" customHeight="true" outlineLevel="0" collapsed="false">
      <c r="A398" s="1" t="s">
        <v>909</v>
      </c>
      <c r="B398" s="1" t="s">
        <v>286</v>
      </c>
      <c r="C398" s="1" t="s">
        <v>910</v>
      </c>
      <c r="D398" s="1" t="n">
        <v>80.48</v>
      </c>
      <c r="E398" s="1" t="s">
        <v>14</v>
      </c>
      <c r="F398" s="1" t="s">
        <v>15</v>
      </c>
      <c r="G398" s="1" t="s">
        <v>36</v>
      </c>
      <c r="H398" s="1" t="s">
        <v>37</v>
      </c>
      <c r="I398" s="1" t="s">
        <v>898</v>
      </c>
      <c r="J398" s="1" t="n">
        <v>7</v>
      </c>
      <c r="K398" s="1" t="s">
        <v>151</v>
      </c>
    </row>
    <row r="399" customFormat="false" ht="15" hidden="false" customHeight="true" outlineLevel="0" collapsed="false">
      <c r="A399" s="1" t="s">
        <v>911</v>
      </c>
      <c r="B399" s="1" t="s">
        <v>286</v>
      </c>
      <c r="C399" s="1" t="s">
        <v>912</v>
      </c>
      <c r="D399" s="1" t="n">
        <v>50.86</v>
      </c>
      <c r="E399" s="1" t="s">
        <v>14</v>
      </c>
      <c r="F399" s="1" t="s">
        <v>15</v>
      </c>
      <c r="G399" s="1" t="s">
        <v>42</v>
      </c>
      <c r="H399" s="1" t="s">
        <v>17</v>
      </c>
      <c r="I399" s="1" t="s">
        <v>898</v>
      </c>
      <c r="J399" s="1" t="n">
        <v>8</v>
      </c>
      <c r="K399" s="1" t="s">
        <v>151</v>
      </c>
    </row>
    <row r="400" customFormat="false" ht="15" hidden="false" customHeight="true" outlineLevel="0" collapsed="false">
      <c r="A400" s="1" t="s">
        <v>913</v>
      </c>
      <c r="B400" s="1" t="s">
        <v>98</v>
      </c>
      <c r="C400" s="1" t="s">
        <v>914</v>
      </c>
      <c r="D400" s="1" t="n">
        <v>21.91</v>
      </c>
      <c r="E400" s="1" t="s">
        <v>14</v>
      </c>
      <c r="F400" s="1" t="s">
        <v>15</v>
      </c>
      <c r="G400" s="1" t="s">
        <v>36</v>
      </c>
      <c r="H400" s="1" t="s">
        <v>37</v>
      </c>
      <c r="I400" s="1" t="s">
        <v>898</v>
      </c>
      <c r="J400" s="1" t="n">
        <v>8</v>
      </c>
      <c r="K400" s="1" t="s">
        <v>151</v>
      </c>
    </row>
    <row r="401" customFormat="false" ht="15" hidden="false" customHeight="true" outlineLevel="0" collapsed="false">
      <c r="A401" s="1" t="s">
        <v>915</v>
      </c>
      <c r="B401" s="1" t="s">
        <v>132</v>
      </c>
      <c r="C401" s="1" t="s">
        <v>916</v>
      </c>
      <c r="D401" s="1" t="n">
        <v>172.13</v>
      </c>
      <c r="E401" s="1" t="s">
        <v>14</v>
      </c>
      <c r="F401" s="1" t="s">
        <v>41</v>
      </c>
      <c r="G401" s="1" t="s">
        <v>29</v>
      </c>
      <c r="H401" s="1" t="s">
        <v>17</v>
      </c>
      <c r="I401" s="1" t="s">
        <v>898</v>
      </c>
      <c r="J401" s="1" t="n">
        <v>10</v>
      </c>
      <c r="K401" s="1" t="s">
        <v>151</v>
      </c>
    </row>
    <row r="402" customFormat="false" ht="15" hidden="false" customHeight="true" outlineLevel="0" collapsed="false">
      <c r="A402" s="1" t="s">
        <v>917</v>
      </c>
      <c r="B402" s="1" t="s">
        <v>44</v>
      </c>
      <c r="C402" s="1" t="s">
        <v>918</v>
      </c>
      <c r="D402" s="1" t="n">
        <v>74.67</v>
      </c>
      <c r="E402" s="1" t="s">
        <v>14</v>
      </c>
      <c r="F402" s="1" t="s">
        <v>28</v>
      </c>
      <c r="G402" s="1" t="s">
        <v>36</v>
      </c>
      <c r="H402" s="1" t="s">
        <v>17</v>
      </c>
      <c r="I402" s="1" t="s">
        <v>898</v>
      </c>
      <c r="J402" s="1" t="n">
        <v>12</v>
      </c>
      <c r="K402" s="1" t="s">
        <v>151</v>
      </c>
    </row>
    <row r="403" customFormat="false" ht="15" hidden="false" customHeight="true" outlineLevel="0" collapsed="false">
      <c r="A403" s="1" t="s">
        <v>919</v>
      </c>
      <c r="B403" s="1" t="s">
        <v>64</v>
      </c>
      <c r="C403" s="1" t="s">
        <v>920</v>
      </c>
      <c r="D403" s="1" t="n">
        <v>70.17</v>
      </c>
      <c r="E403" s="1" t="s">
        <v>14</v>
      </c>
      <c r="F403" s="1" t="s">
        <v>41</v>
      </c>
      <c r="G403" s="1" t="s">
        <v>82</v>
      </c>
      <c r="H403" s="1" t="s">
        <v>37</v>
      </c>
      <c r="I403" s="1" t="s">
        <v>898</v>
      </c>
      <c r="J403" s="1" t="n">
        <v>12</v>
      </c>
      <c r="K403" s="1" t="s">
        <v>151</v>
      </c>
    </row>
    <row r="404" customFormat="false" ht="15" hidden="false" customHeight="true" outlineLevel="0" collapsed="false">
      <c r="A404" s="1" t="s">
        <v>921</v>
      </c>
      <c r="B404" s="1" t="s">
        <v>145</v>
      </c>
      <c r="C404" s="1" t="s">
        <v>922</v>
      </c>
      <c r="D404" s="1" t="n">
        <v>41.86</v>
      </c>
      <c r="E404" s="1" t="s">
        <v>14</v>
      </c>
      <c r="F404" s="1" t="s">
        <v>15</v>
      </c>
      <c r="G404" s="1" t="s">
        <v>23</v>
      </c>
      <c r="H404" s="1" t="s">
        <v>17</v>
      </c>
      <c r="I404" s="1" t="s">
        <v>898</v>
      </c>
      <c r="J404" s="1" t="n">
        <v>12</v>
      </c>
      <c r="K404" s="1" t="s">
        <v>151</v>
      </c>
    </row>
    <row r="405" customFormat="false" ht="15" hidden="false" customHeight="true" outlineLevel="0" collapsed="false">
      <c r="A405" s="1" t="s">
        <v>923</v>
      </c>
      <c r="B405" s="1" t="s">
        <v>140</v>
      </c>
      <c r="C405" s="1" t="s">
        <v>924</v>
      </c>
      <c r="D405" s="1" t="n">
        <v>84.25</v>
      </c>
      <c r="E405" s="1" t="s">
        <v>14</v>
      </c>
      <c r="F405" s="1" t="s">
        <v>41</v>
      </c>
      <c r="G405" s="1" t="s">
        <v>82</v>
      </c>
      <c r="H405" s="1" t="s">
        <v>37</v>
      </c>
      <c r="I405" s="1" t="s">
        <v>898</v>
      </c>
      <c r="J405" s="1" t="n">
        <v>13</v>
      </c>
      <c r="K405" s="1" t="s">
        <v>151</v>
      </c>
    </row>
    <row r="406" customFormat="false" ht="15" hidden="false" customHeight="true" outlineLevel="0" collapsed="false">
      <c r="A406" s="1" t="s">
        <v>925</v>
      </c>
      <c r="B406" s="1" t="s">
        <v>240</v>
      </c>
      <c r="C406" s="1" t="s">
        <v>926</v>
      </c>
      <c r="D406" s="1" t="n">
        <v>43.02</v>
      </c>
      <c r="E406" s="1" t="s">
        <v>14</v>
      </c>
      <c r="F406" s="1" t="s">
        <v>56</v>
      </c>
      <c r="G406" s="1" t="s">
        <v>70</v>
      </c>
      <c r="H406" s="1" t="s">
        <v>37</v>
      </c>
      <c r="I406" s="1" t="s">
        <v>898</v>
      </c>
      <c r="J406" s="1" t="n">
        <v>16</v>
      </c>
      <c r="K406" s="1" t="s">
        <v>151</v>
      </c>
    </row>
    <row r="407" customFormat="false" ht="15" hidden="false" customHeight="true" outlineLevel="0" collapsed="false">
      <c r="A407" s="1" t="s">
        <v>927</v>
      </c>
      <c r="B407" s="1" t="s">
        <v>34</v>
      </c>
      <c r="C407" s="1" t="s">
        <v>928</v>
      </c>
      <c r="D407" s="1" t="n">
        <v>152.12</v>
      </c>
      <c r="E407" s="1" t="s">
        <v>14</v>
      </c>
      <c r="F407" s="1" t="s">
        <v>15</v>
      </c>
      <c r="G407" s="1" t="s">
        <v>36</v>
      </c>
      <c r="H407" s="1" t="s">
        <v>37</v>
      </c>
      <c r="I407" s="1" t="s">
        <v>898</v>
      </c>
      <c r="J407" s="1" t="n">
        <v>17</v>
      </c>
      <c r="K407" s="1" t="s">
        <v>151</v>
      </c>
    </row>
    <row r="408" customFormat="false" ht="15" hidden="false" customHeight="true" outlineLevel="0" collapsed="false">
      <c r="A408" s="1" t="s">
        <v>929</v>
      </c>
      <c r="B408" s="1" t="s">
        <v>125</v>
      </c>
      <c r="C408" s="1" t="s">
        <v>930</v>
      </c>
      <c r="D408" s="1" t="n">
        <v>56.51</v>
      </c>
      <c r="E408" s="1" t="s">
        <v>14</v>
      </c>
      <c r="F408" s="1" t="s">
        <v>28</v>
      </c>
      <c r="G408" s="1" t="s">
        <v>86</v>
      </c>
      <c r="H408" s="1" t="s">
        <v>17</v>
      </c>
      <c r="I408" s="1" t="s">
        <v>898</v>
      </c>
      <c r="J408" s="1" t="n">
        <v>17</v>
      </c>
      <c r="K408" s="1" t="s">
        <v>151</v>
      </c>
    </row>
    <row r="409" customFormat="false" ht="15" hidden="false" customHeight="true" outlineLevel="0" collapsed="false">
      <c r="A409" s="1" t="s">
        <v>931</v>
      </c>
      <c r="B409" s="1" t="s">
        <v>51</v>
      </c>
      <c r="C409" s="1" t="s">
        <v>932</v>
      </c>
      <c r="D409" s="1" t="n">
        <v>65.55</v>
      </c>
      <c r="E409" s="1" t="s">
        <v>14</v>
      </c>
      <c r="F409" s="1" t="s">
        <v>41</v>
      </c>
      <c r="G409" s="1" t="s">
        <v>42</v>
      </c>
      <c r="H409" s="1" t="s">
        <v>37</v>
      </c>
      <c r="I409" s="1" t="s">
        <v>933</v>
      </c>
      <c r="J409" s="1" t="n">
        <v>2</v>
      </c>
      <c r="K409" s="1" t="s">
        <v>186</v>
      </c>
    </row>
    <row r="410" customFormat="false" ht="15" hidden="false" customHeight="true" outlineLevel="0" collapsed="false">
      <c r="A410" s="1" t="s">
        <v>934</v>
      </c>
      <c r="B410" s="1" t="s">
        <v>235</v>
      </c>
      <c r="C410" s="1" t="s">
        <v>935</v>
      </c>
      <c r="D410" s="1" t="n">
        <v>478.86</v>
      </c>
      <c r="E410" s="1" t="s">
        <v>14</v>
      </c>
      <c r="F410" s="1" t="s">
        <v>41</v>
      </c>
      <c r="G410" s="1" t="s">
        <v>70</v>
      </c>
      <c r="H410" s="1" t="s">
        <v>24</v>
      </c>
      <c r="I410" s="1" t="s">
        <v>933</v>
      </c>
      <c r="J410" s="1" t="n">
        <v>3</v>
      </c>
      <c r="K410" s="1" t="s">
        <v>186</v>
      </c>
    </row>
    <row r="411" customFormat="false" ht="15" hidden="false" customHeight="true" outlineLevel="0" collapsed="false">
      <c r="A411" s="1" t="s">
        <v>936</v>
      </c>
      <c r="B411" s="1" t="s">
        <v>199</v>
      </c>
      <c r="C411" s="1" t="s">
        <v>937</v>
      </c>
      <c r="D411" s="1" t="n">
        <v>78.76</v>
      </c>
      <c r="E411" s="1" t="s">
        <v>14</v>
      </c>
      <c r="F411" s="1" t="s">
        <v>41</v>
      </c>
      <c r="G411" s="1" t="s">
        <v>36</v>
      </c>
      <c r="H411" s="1" t="s">
        <v>17</v>
      </c>
      <c r="I411" s="1" t="s">
        <v>933</v>
      </c>
      <c r="J411" s="1" t="n">
        <v>4</v>
      </c>
      <c r="K411" s="1" t="s">
        <v>186</v>
      </c>
    </row>
    <row r="412" customFormat="false" ht="15" hidden="false" customHeight="true" outlineLevel="0" collapsed="false">
      <c r="A412" s="1" t="s">
        <v>938</v>
      </c>
      <c r="B412" s="1" t="s">
        <v>75</v>
      </c>
      <c r="C412" s="1" t="s">
        <v>939</v>
      </c>
      <c r="D412" s="1" t="n">
        <v>133.56</v>
      </c>
      <c r="E412" s="1" t="s">
        <v>14</v>
      </c>
      <c r="F412" s="1" t="s">
        <v>15</v>
      </c>
      <c r="G412" s="1" t="s">
        <v>36</v>
      </c>
      <c r="H412" s="1" t="s">
        <v>37</v>
      </c>
      <c r="I412" s="1" t="s">
        <v>933</v>
      </c>
      <c r="J412" s="1" t="n">
        <v>6</v>
      </c>
      <c r="K412" s="1" t="s">
        <v>186</v>
      </c>
    </row>
    <row r="413" customFormat="false" ht="15" hidden="false" customHeight="true" outlineLevel="0" collapsed="false">
      <c r="A413" s="1" t="s">
        <v>940</v>
      </c>
      <c r="B413" s="1" t="s">
        <v>258</v>
      </c>
      <c r="C413" s="1" t="s">
        <v>941</v>
      </c>
      <c r="D413" s="1" t="n">
        <v>113.73</v>
      </c>
      <c r="E413" s="1" t="s">
        <v>14</v>
      </c>
      <c r="F413" s="1" t="s">
        <v>28</v>
      </c>
      <c r="G413" s="1" t="s">
        <v>16</v>
      </c>
      <c r="H413" s="1" t="s">
        <v>24</v>
      </c>
      <c r="I413" s="1" t="s">
        <v>933</v>
      </c>
      <c r="J413" s="1" t="n">
        <v>6</v>
      </c>
      <c r="K413" s="1" t="s">
        <v>186</v>
      </c>
    </row>
    <row r="414" customFormat="false" ht="15" hidden="false" customHeight="true" outlineLevel="0" collapsed="false">
      <c r="A414" s="1" t="s">
        <v>942</v>
      </c>
      <c r="B414" s="1" t="s">
        <v>47</v>
      </c>
      <c r="C414" s="1" t="s">
        <v>943</v>
      </c>
      <c r="D414" s="1" t="n">
        <v>64.41</v>
      </c>
      <c r="E414" s="1" t="s">
        <v>14</v>
      </c>
      <c r="F414" s="1" t="s">
        <v>49</v>
      </c>
      <c r="G414" s="1" t="s">
        <v>29</v>
      </c>
      <c r="H414" s="1" t="s">
        <v>24</v>
      </c>
      <c r="I414" s="1" t="s">
        <v>933</v>
      </c>
      <c r="J414" s="1" t="n">
        <v>7</v>
      </c>
      <c r="K414" s="1" t="s">
        <v>186</v>
      </c>
    </row>
    <row r="415" customFormat="false" ht="15" hidden="false" customHeight="true" outlineLevel="0" collapsed="false">
      <c r="A415" s="1" t="s">
        <v>944</v>
      </c>
      <c r="B415" s="1" t="s">
        <v>196</v>
      </c>
      <c r="C415" s="1" t="s">
        <v>945</v>
      </c>
      <c r="D415" s="1" t="n">
        <v>58.14</v>
      </c>
      <c r="E415" s="1" t="s">
        <v>14</v>
      </c>
      <c r="F415" s="1" t="s">
        <v>15</v>
      </c>
      <c r="G415" s="1" t="s">
        <v>82</v>
      </c>
      <c r="H415" s="1" t="s">
        <v>37</v>
      </c>
      <c r="I415" s="1" t="s">
        <v>933</v>
      </c>
      <c r="J415" s="1" t="n">
        <v>7</v>
      </c>
      <c r="K415" s="1" t="s">
        <v>186</v>
      </c>
    </row>
    <row r="416" customFormat="false" ht="15" hidden="false" customHeight="true" outlineLevel="0" collapsed="false">
      <c r="A416" s="1" t="s">
        <v>946</v>
      </c>
      <c r="B416" s="1" t="s">
        <v>245</v>
      </c>
      <c r="C416" s="1" t="s">
        <v>947</v>
      </c>
      <c r="D416" s="1" t="n">
        <v>37.56</v>
      </c>
      <c r="E416" s="1" t="s">
        <v>14</v>
      </c>
      <c r="F416" s="1" t="s">
        <v>15</v>
      </c>
      <c r="G416" s="1" t="s">
        <v>29</v>
      </c>
      <c r="H416" s="1" t="s">
        <v>24</v>
      </c>
      <c r="I416" s="1" t="s">
        <v>933</v>
      </c>
      <c r="J416" s="1" t="n">
        <v>9</v>
      </c>
      <c r="K416" s="1" t="s">
        <v>186</v>
      </c>
    </row>
    <row r="417" customFormat="false" ht="15" hidden="false" customHeight="true" outlineLevel="0" collapsed="false">
      <c r="A417" s="1" t="s">
        <v>948</v>
      </c>
      <c r="B417" s="1" t="s">
        <v>145</v>
      </c>
      <c r="C417" s="1" t="s">
        <v>949</v>
      </c>
      <c r="D417" s="1" t="n">
        <v>527.95</v>
      </c>
      <c r="E417" s="1" t="s">
        <v>14</v>
      </c>
      <c r="F417" s="1" t="s">
        <v>15</v>
      </c>
      <c r="G417" s="1" t="s">
        <v>86</v>
      </c>
      <c r="H417" s="1" t="s">
        <v>24</v>
      </c>
      <c r="I417" s="1" t="s">
        <v>933</v>
      </c>
      <c r="J417" s="1" t="n">
        <v>9</v>
      </c>
      <c r="K417" s="1" t="s">
        <v>186</v>
      </c>
    </row>
    <row r="418" customFormat="false" ht="15" hidden="false" customHeight="true" outlineLevel="0" collapsed="false">
      <c r="A418" s="1" t="s">
        <v>950</v>
      </c>
      <c r="B418" s="1" t="s">
        <v>93</v>
      </c>
      <c r="C418" s="1" t="s">
        <v>951</v>
      </c>
      <c r="D418" s="1" t="n">
        <v>38.81</v>
      </c>
      <c r="E418" s="1" t="s">
        <v>14</v>
      </c>
      <c r="F418" s="1" t="s">
        <v>28</v>
      </c>
      <c r="G418" s="1" t="s">
        <v>42</v>
      </c>
      <c r="H418" s="1" t="s">
        <v>24</v>
      </c>
      <c r="I418" s="1" t="s">
        <v>933</v>
      </c>
      <c r="J418" s="1" t="n">
        <v>12</v>
      </c>
      <c r="K418" s="1" t="s">
        <v>186</v>
      </c>
    </row>
    <row r="419" customFormat="false" ht="15" hidden="false" customHeight="true" outlineLevel="0" collapsed="false">
      <c r="A419" s="1" t="s">
        <v>952</v>
      </c>
      <c r="B419" s="1" t="s">
        <v>245</v>
      </c>
      <c r="C419" s="1" t="s">
        <v>953</v>
      </c>
      <c r="D419" s="1" t="n">
        <v>607.75</v>
      </c>
      <c r="E419" s="1" t="s">
        <v>14</v>
      </c>
      <c r="F419" s="1" t="s">
        <v>15</v>
      </c>
      <c r="G419" s="1" t="s">
        <v>29</v>
      </c>
      <c r="H419" s="1" t="s">
        <v>17</v>
      </c>
      <c r="I419" s="1" t="s">
        <v>933</v>
      </c>
      <c r="J419" s="1" t="n">
        <v>13</v>
      </c>
      <c r="K419" s="1" t="s">
        <v>186</v>
      </c>
    </row>
    <row r="420" customFormat="false" ht="15" hidden="false" customHeight="true" outlineLevel="0" collapsed="false">
      <c r="A420" s="1" t="s">
        <v>954</v>
      </c>
      <c r="B420" s="1" t="s">
        <v>148</v>
      </c>
      <c r="C420" s="1" t="s">
        <v>955</v>
      </c>
      <c r="D420" s="1" t="n">
        <v>158.13</v>
      </c>
      <c r="E420" s="1" t="s">
        <v>14</v>
      </c>
      <c r="F420" s="1" t="s">
        <v>41</v>
      </c>
      <c r="G420" s="1" t="s">
        <v>29</v>
      </c>
      <c r="H420" s="1" t="s">
        <v>24</v>
      </c>
      <c r="I420" s="1" t="s">
        <v>933</v>
      </c>
      <c r="J420" s="1" t="n">
        <v>14</v>
      </c>
      <c r="K420" s="1" t="s">
        <v>186</v>
      </c>
    </row>
    <row r="421" customFormat="false" ht="15" hidden="false" customHeight="true" outlineLevel="0" collapsed="false">
      <c r="A421" s="1" t="s">
        <v>956</v>
      </c>
      <c r="B421" s="1" t="s">
        <v>148</v>
      </c>
      <c r="C421" s="1" t="s">
        <v>957</v>
      </c>
      <c r="D421" s="1" t="n">
        <v>158.13</v>
      </c>
      <c r="E421" s="1" t="s">
        <v>14</v>
      </c>
      <c r="F421" s="1" t="s">
        <v>41</v>
      </c>
      <c r="G421" s="1" t="s">
        <v>29</v>
      </c>
      <c r="H421" s="1" t="s">
        <v>24</v>
      </c>
      <c r="I421" s="1" t="s">
        <v>933</v>
      </c>
      <c r="J421" s="1" t="n">
        <v>14</v>
      </c>
      <c r="K421" s="1" t="s">
        <v>186</v>
      </c>
    </row>
    <row r="422" customFormat="false" ht="15" hidden="false" customHeight="true" outlineLevel="0" collapsed="false">
      <c r="A422" s="1" t="s">
        <v>958</v>
      </c>
      <c r="B422" s="1" t="s">
        <v>155</v>
      </c>
      <c r="C422" s="1" t="s">
        <v>959</v>
      </c>
      <c r="D422" s="1" t="n">
        <v>117.39</v>
      </c>
      <c r="E422" s="1" t="s">
        <v>14</v>
      </c>
      <c r="F422" s="1" t="s">
        <v>41</v>
      </c>
      <c r="G422" s="1" t="s">
        <v>29</v>
      </c>
      <c r="H422" s="1" t="s">
        <v>24</v>
      </c>
      <c r="I422" s="1" t="s">
        <v>933</v>
      </c>
      <c r="J422" s="1" t="n">
        <v>16</v>
      </c>
      <c r="K422" s="1" t="s">
        <v>186</v>
      </c>
    </row>
    <row r="423" customFormat="false" ht="15" hidden="false" customHeight="true" outlineLevel="0" collapsed="false">
      <c r="A423" s="1" t="s">
        <v>960</v>
      </c>
      <c r="B423" s="1" t="s">
        <v>167</v>
      </c>
      <c r="C423" s="1" t="s">
        <v>961</v>
      </c>
      <c r="D423" s="1" t="n">
        <v>98.17</v>
      </c>
      <c r="E423" s="1" t="s">
        <v>14</v>
      </c>
      <c r="F423" s="1" t="s">
        <v>28</v>
      </c>
      <c r="G423" s="1" t="s">
        <v>42</v>
      </c>
      <c r="H423" s="1" t="s">
        <v>37</v>
      </c>
      <c r="I423" s="1" t="s">
        <v>933</v>
      </c>
      <c r="J423" s="1" t="n">
        <v>17</v>
      </c>
      <c r="K423" s="1" t="s">
        <v>186</v>
      </c>
    </row>
    <row r="424" customFormat="false" ht="15" hidden="false" customHeight="true" outlineLevel="0" collapsed="false">
      <c r="A424" s="1" t="s">
        <v>962</v>
      </c>
      <c r="B424" s="1" t="s">
        <v>258</v>
      </c>
      <c r="C424" s="1" t="s">
        <v>963</v>
      </c>
      <c r="D424" s="1" t="n">
        <v>16.43</v>
      </c>
      <c r="E424" s="1" t="s">
        <v>14</v>
      </c>
      <c r="F424" s="1" t="s">
        <v>28</v>
      </c>
      <c r="G424" s="1" t="s">
        <v>16</v>
      </c>
      <c r="H424" s="1" t="s">
        <v>17</v>
      </c>
      <c r="I424" s="1" t="s">
        <v>933</v>
      </c>
      <c r="J424" s="1" t="n">
        <v>17</v>
      </c>
      <c r="K424" s="1" t="s">
        <v>186</v>
      </c>
    </row>
    <row r="425" customFormat="false" ht="15" hidden="false" customHeight="true" outlineLevel="0" collapsed="false">
      <c r="A425" s="1" t="s">
        <v>964</v>
      </c>
      <c r="B425" s="1" t="s">
        <v>196</v>
      </c>
      <c r="C425" s="1" t="s">
        <v>965</v>
      </c>
      <c r="D425" s="1" t="n">
        <v>50.16</v>
      </c>
      <c r="E425" s="1" t="s">
        <v>14</v>
      </c>
      <c r="F425" s="1" t="s">
        <v>15</v>
      </c>
      <c r="G425" s="1" t="s">
        <v>42</v>
      </c>
      <c r="H425" s="1" t="s">
        <v>37</v>
      </c>
      <c r="I425" s="1" t="s">
        <v>933</v>
      </c>
      <c r="J425" s="1" t="n">
        <v>19</v>
      </c>
      <c r="K425" s="1" t="s">
        <v>186</v>
      </c>
    </row>
    <row r="426" customFormat="false" ht="15" hidden="false" customHeight="true" outlineLevel="0" collapsed="false">
      <c r="A426" s="1" t="s">
        <v>966</v>
      </c>
      <c r="B426" s="1" t="s">
        <v>120</v>
      </c>
      <c r="C426" s="1" t="s">
        <v>967</v>
      </c>
      <c r="D426" s="1" t="n">
        <v>15.88</v>
      </c>
      <c r="E426" s="1" t="s">
        <v>14</v>
      </c>
      <c r="F426" s="1" t="s">
        <v>49</v>
      </c>
      <c r="G426" s="1" t="s">
        <v>82</v>
      </c>
      <c r="H426" s="1" t="s">
        <v>17</v>
      </c>
      <c r="I426" s="1" t="s">
        <v>968</v>
      </c>
      <c r="J426" s="1" t="n">
        <v>9</v>
      </c>
      <c r="K426" s="1" t="s">
        <v>219</v>
      </c>
    </row>
    <row r="427" customFormat="false" ht="15" hidden="false" customHeight="true" outlineLevel="0" collapsed="false">
      <c r="A427" s="1" t="s">
        <v>969</v>
      </c>
      <c r="B427" s="1" t="s">
        <v>162</v>
      </c>
      <c r="C427" s="1" t="s">
        <v>970</v>
      </c>
      <c r="D427" s="1" t="n">
        <v>48.6</v>
      </c>
      <c r="E427" s="1" t="s">
        <v>14</v>
      </c>
      <c r="F427" s="1" t="s">
        <v>49</v>
      </c>
      <c r="G427" s="1" t="s">
        <v>16</v>
      </c>
      <c r="H427" s="1" t="s">
        <v>37</v>
      </c>
      <c r="I427" s="1" t="s">
        <v>968</v>
      </c>
      <c r="J427" s="1" t="n">
        <v>11</v>
      </c>
      <c r="K427" s="1" t="s">
        <v>219</v>
      </c>
    </row>
    <row r="428" customFormat="false" ht="15" hidden="false" customHeight="true" outlineLevel="0" collapsed="false">
      <c r="A428" s="1" t="s">
        <v>971</v>
      </c>
      <c r="B428" s="1" t="s">
        <v>80</v>
      </c>
      <c r="C428" s="1" t="s">
        <v>972</v>
      </c>
      <c r="D428" s="1" t="n">
        <v>53.72</v>
      </c>
      <c r="E428" s="1" t="s">
        <v>14</v>
      </c>
      <c r="F428" s="1" t="s">
        <v>56</v>
      </c>
      <c r="G428" s="1" t="s">
        <v>23</v>
      </c>
      <c r="H428" s="1" t="s">
        <v>37</v>
      </c>
      <c r="I428" s="1" t="s">
        <v>968</v>
      </c>
      <c r="J428" s="1" t="n">
        <v>12</v>
      </c>
      <c r="K428" s="1" t="s">
        <v>219</v>
      </c>
    </row>
    <row r="429" customFormat="false" ht="15" hidden="false" customHeight="true" outlineLevel="0" collapsed="false">
      <c r="A429" s="1" t="s">
        <v>973</v>
      </c>
      <c r="B429" s="1" t="s">
        <v>228</v>
      </c>
      <c r="C429" s="1" t="s">
        <v>974</v>
      </c>
      <c r="D429" s="1" t="n">
        <v>42.44</v>
      </c>
      <c r="E429" s="1" t="s">
        <v>14</v>
      </c>
      <c r="F429" s="1" t="s">
        <v>28</v>
      </c>
      <c r="G429" s="1" t="s">
        <v>23</v>
      </c>
      <c r="H429" s="1" t="s">
        <v>17</v>
      </c>
      <c r="I429" s="1" t="s">
        <v>968</v>
      </c>
      <c r="J429" s="1" t="n">
        <v>12</v>
      </c>
      <c r="K429" s="1" t="s">
        <v>219</v>
      </c>
    </row>
    <row r="430" customFormat="false" ht="15" hidden="false" customHeight="true" outlineLevel="0" collapsed="false">
      <c r="A430" s="1" t="s">
        <v>975</v>
      </c>
      <c r="B430" s="1" t="s">
        <v>12</v>
      </c>
      <c r="C430" s="1" t="s">
        <v>976</v>
      </c>
      <c r="D430" s="1" t="n">
        <v>16.44</v>
      </c>
      <c r="E430" s="1" t="s">
        <v>14</v>
      </c>
      <c r="F430" s="1" t="s">
        <v>15</v>
      </c>
      <c r="G430" s="1" t="s">
        <v>16</v>
      </c>
      <c r="H430" s="1" t="s">
        <v>37</v>
      </c>
      <c r="I430" s="1" t="s">
        <v>968</v>
      </c>
      <c r="J430" s="1" t="n">
        <v>13</v>
      </c>
      <c r="K430" s="1" t="s">
        <v>219</v>
      </c>
    </row>
    <row r="431" customFormat="false" ht="15" hidden="false" customHeight="true" outlineLevel="0" collapsed="false">
      <c r="A431" s="1" t="s">
        <v>977</v>
      </c>
      <c r="B431" s="1" t="s">
        <v>31</v>
      </c>
      <c r="C431" s="1" t="s">
        <v>978</v>
      </c>
      <c r="D431" s="1" t="n">
        <v>31.97</v>
      </c>
      <c r="E431" s="1" t="s">
        <v>14</v>
      </c>
      <c r="F431" s="1" t="s">
        <v>15</v>
      </c>
      <c r="G431" s="1" t="s">
        <v>82</v>
      </c>
      <c r="H431" s="1" t="s">
        <v>17</v>
      </c>
      <c r="I431" s="1" t="s">
        <v>968</v>
      </c>
      <c r="J431" s="1" t="n">
        <v>13</v>
      </c>
      <c r="K431" s="1" t="s">
        <v>219</v>
      </c>
    </row>
    <row r="432" customFormat="false" ht="15" hidden="false" customHeight="true" outlineLevel="0" collapsed="false">
      <c r="A432" s="1" t="s">
        <v>979</v>
      </c>
      <c r="B432" s="1" t="s">
        <v>140</v>
      </c>
      <c r="C432" s="1" t="s">
        <v>980</v>
      </c>
      <c r="D432" s="1" t="n">
        <v>164.95</v>
      </c>
      <c r="E432" s="1" t="s">
        <v>14</v>
      </c>
      <c r="F432" s="1" t="s">
        <v>41</v>
      </c>
      <c r="G432" s="1" t="s">
        <v>23</v>
      </c>
      <c r="H432" s="1" t="s">
        <v>24</v>
      </c>
      <c r="I432" s="1" t="s">
        <v>968</v>
      </c>
      <c r="J432" s="1" t="n">
        <v>13</v>
      </c>
      <c r="K432" s="1" t="s">
        <v>219</v>
      </c>
    </row>
    <row r="433" customFormat="false" ht="15" hidden="false" customHeight="true" outlineLevel="0" collapsed="false">
      <c r="A433" s="1" t="s">
        <v>981</v>
      </c>
      <c r="B433" s="1" t="s">
        <v>26</v>
      </c>
      <c r="C433" s="1" t="s">
        <v>982</v>
      </c>
      <c r="D433" s="1" t="n">
        <v>164.54</v>
      </c>
      <c r="E433" s="1" t="s">
        <v>14</v>
      </c>
      <c r="F433" s="1" t="s">
        <v>28</v>
      </c>
      <c r="G433" s="1" t="s">
        <v>16</v>
      </c>
      <c r="H433" s="1" t="s">
        <v>37</v>
      </c>
      <c r="I433" s="1" t="s">
        <v>968</v>
      </c>
      <c r="J433" s="1" t="n">
        <v>14</v>
      </c>
      <c r="K433" s="1" t="s">
        <v>219</v>
      </c>
    </row>
    <row r="434" customFormat="false" ht="15" hidden="false" customHeight="true" outlineLevel="0" collapsed="false">
      <c r="A434" s="1" t="s">
        <v>983</v>
      </c>
      <c r="B434" s="1" t="s">
        <v>44</v>
      </c>
      <c r="C434" s="1" t="s">
        <v>984</v>
      </c>
      <c r="D434" s="1" t="n">
        <v>114.17</v>
      </c>
      <c r="E434" s="1" t="s">
        <v>14</v>
      </c>
      <c r="F434" s="1" t="s">
        <v>28</v>
      </c>
      <c r="G434" s="1" t="s">
        <v>16</v>
      </c>
      <c r="H434" s="1" t="s">
        <v>37</v>
      </c>
      <c r="I434" s="1" t="s">
        <v>968</v>
      </c>
      <c r="J434" s="1" t="n">
        <v>14</v>
      </c>
      <c r="K434" s="1" t="s">
        <v>219</v>
      </c>
    </row>
    <row r="435" customFormat="false" ht="15" hidden="false" customHeight="true" outlineLevel="0" collapsed="false">
      <c r="A435" s="1" t="s">
        <v>985</v>
      </c>
      <c r="B435" s="1" t="s">
        <v>61</v>
      </c>
      <c r="C435" s="1" t="s">
        <v>986</v>
      </c>
      <c r="D435" s="1" t="n">
        <v>171.5</v>
      </c>
      <c r="E435" s="1" t="s">
        <v>14</v>
      </c>
      <c r="F435" s="1" t="s">
        <v>56</v>
      </c>
      <c r="G435" s="1" t="s">
        <v>23</v>
      </c>
      <c r="H435" s="1" t="s">
        <v>37</v>
      </c>
      <c r="I435" s="1" t="s">
        <v>968</v>
      </c>
      <c r="J435" s="1" t="n">
        <v>15</v>
      </c>
      <c r="K435" s="1" t="s">
        <v>219</v>
      </c>
    </row>
    <row r="436" customFormat="false" ht="15" hidden="false" customHeight="true" outlineLevel="0" collapsed="false">
      <c r="A436" s="1" t="s">
        <v>987</v>
      </c>
      <c r="B436" s="1" t="s">
        <v>137</v>
      </c>
      <c r="C436" s="1" t="s">
        <v>988</v>
      </c>
      <c r="D436" s="1" t="n">
        <v>288.81</v>
      </c>
      <c r="E436" s="1" t="s">
        <v>14</v>
      </c>
      <c r="F436" s="1" t="s">
        <v>49</v>
      </c>
      <c r="G436" s="1" t="s">
        <v>82</v>
      </c>
      <c r="H436" s="1" t="s">
        <v>37</v>
      </c>
      <c r="I436" s="1" t="s">
        <v>968</v>
      </c>
      <c r="J436" s="1" t="n">
        <v>15</v>
      </c>
      <c r="K436" s="1" t="s">
        <v>219</v>
      </c>
    </row>
    <row r="437" customFormat="false" ht="15" hidden="false" customHeight="true" outlineLevel="0" collapsed="false">
      <c r="A437" s="1" t="s">
        <v>989</v>
      </c>
      <c r="B437" s="1" t="s">
        <v>12</v>
      </c>
      <c r="C437" s="1" t="s">
        <v>990</v>
      </c>
      <c r="D437" s="1" t="n">
        <v>22.45</v>
      </c>
      <c r="E437" s="1" t="s">
        <v>14</v>
      </c>
      <c r="F437" s="1" t="s">
        <v>15</v>
      </c>
      <c r="G437" s="1" t="s">
        <v>23</v>
      </c>
      <c r="H437" s="1" t="s">
        <v>24</v>
      </c>
      <c r="I437" s="1" t="s">
        <v>968</v>
      </c>
      <c r="J437" s="1" t="n">
        <v>16</v>
      </c>
      <c r="K437" s="1" t="s">
        <v>219</v>
      </c>
    </row>
    <row r="438" customFormat="false" ht="15" hidden="false" customHeight="true" outlineLevel="0" collapsed="false">
      <c r="A438" s="1" t="s">
        <v>991</v>
      </c>
      <c r="B438" s="1" t="s">
        <v>240</v>
      </c>
      <c r="C438" s="1" t="s">
        <v>992</v>
      </c>
      <c r="D438" s="1" t="n">
        <v>39.13</v>
      </c>
      <c r="E438" s="1" t="s">
        <v>14</v>
      </c>
      <c r="F438" s="1" t="s">
        <v>56</v>
      </c>
      <c r="G438" s="1" t="s">
        <v>29</v>
      </c>
      <c r="H438" s="1" t="s">
        <v>24</v>
      </c>
      <c r="I438" s="1" t="s">
        <v>968</v>
      </c>
      <c r="J438" s="1" t="n">
        <v>17</v>
      </c>
      <c r="K438" s="1" t="s">
        <v>219</v>
      </c>
    </row>
    <row r="439" customFormat="false" ht="15" hidden="false" customHeight="true" outlineLevel="0" collapsed="false">
      <c r="A439" s="1" t="s">
        <v>993</v>
      </c>
      <c r="B439" s="1" t="s">
        <v>155</v>
      </c>
      <c r="C439" s="1" t="s">
        <v>994</v>
      </c>
      <c r="D439" s="1" t="n">
        <v>4343.57</v>
      </c>
      <c r="E439" s="1" t="s">
        <v>14</v>
      </c>
      <c r="F439" s="1" t="s">
        <v>41</v>
      </c>
      <c r="G439" s="1" t="s">
        <v>82</v>
      </c>
      <c r="H439" s="1" t="s">
        <v>17</v>
      </c>
      <c r="I439" s="1" t="s">
        <v>995</v>
      </c>
      <c r="J439" s="1" t="n">
        <v>4</v>
      </c>
      <c r="K439" s="1" t="s">
        <v>263</v>
      </c>
    </row>
    <row r="440" customFormat="false" ht="15" hidden="false" customHeight="true" outlineLevel="0" collapsed="false">
      <c r="A440" s="1" t="s">
        <v>996</v>
      </c>
      <c r="B440" s="1" t="s">
        <v>34</v>
      </c>
      <c r="C440" s="1" t="s">
        <v>997</v>
      </c>
      <c r="D440" s="1" t="n">
        <v>180.8</v>
      </c>
      <c r="E440" s="1" t="s">
        <v>14</v>
      </c>
      <c r="F440" s="1" t="s">
        <v>15</v>
      </c>
      <c r="G440" s="1" t="s">
        <v>86</v>
      </c>
      <c r="H440" s="1" t="s">
        <v>37</v>
      </c>
      <c r="I440" s="1" t="s">
        <v>995</v>
      </c>
      <c r="J440" s="1" t="n">
        <v>9</v>
      </c>
      <c r="K440" s="1" t="s">
        <v>263</v>
      </c>
    </row>
    <row r="441" customFormat="false" ht="15" hidden="false" customHeight="true" outlineLevel="0" collapsed="false">
      <c r="A441" s="1" t="s">
        <v>998</v>
      </c>
      <c r="B441" s="1" t="s">
        <v>31</v>
      </c>
      <c r="C441" s="1" t="s">
        <v>999</v>
      </c>
      <c r="D441" s="1" t="n">
        <v>48.26</v>
      </c>
      <c r="E441" s="1" t="s">
        <v>14</v>
      </c>
      <c r="F441" s="1" t="s">
        <v>15</v>
      </c>
      <c r="G441" s="1" t="s">
        <v>70</v>
      </c>
      <c r="H441" s="1" t="s">
        <v>17</v>
      </c>
      <c r="I441" s="1" t="s">
        <v>995</v>
      </c>
      <c r="J441" s="1" t="n">
        <v>11</v>
      </c>
      <c r="K441" s="1" t="s">
        <v>263</v>
      </c>
    </row>
    <row r="442" customFormat="false" ht="15" hidden="false" customHeight="true" outlineLevel="0" collapsed="false">
      <c r="A442" s="1" t="s">
        <v>1000</v>
      </c>
      <c r="B442" s="1" t="s">
        <v>61</v>
      </c>
      <c r="C442" s="1" t="s">
        <v>1001</v>
      </c>
      <c r="D442" s="1" t="n">
        <v>37.1</v>
      </c>
      <c r="E442" s="1" t="s">
        <v>14</v>
      </c>
      <c r="F442" s="1" t="s">
        <v>56</v>
      </c>
      <c r="G442" s="1" t="s">
        <v>82</v>
      </c>
      <c r="H442" s="1" t="s">
        <v>17</v>
      </c>
      <c r="I442" s="1" t="s">
        <v>995</v>
      </c>
      <c r="J442" s="1" t="n">
        <v>12</v>
      </c>
      <c r="K442" s="1" t="s">
        <v>263</v>
      </c>
    </row>
    <row r="443" customFormat="false" ht="15" hidden="false" customHeight="true" outlineLevel="0" collapsed="false">
      <c r="A443" s="1" t="s">
        <v>1002</v>
      </c>
      <c r="B443" s="1" t="s">
        <v>120</v>
      </c>
      <c r="C443" s="1" t="s">
        <v>1003</v>
      </c>
      <c r="D443" s="1" t="n">
        <v>105.95</v>
      </c>
      <c r="E443" s="1" t="s">
        <v>14</v>
      </c>
      <c r="F443" s="1" t="s">
        <v>49</v>
      </c>
      <c r="G443" s="1" t="s">
        <v>42</v>
      </c>
      <c r="H443" s="1" t="s">
        <v>37</v>
      </c>
      <c r="I443" s="1" t="s">
        <v>995</v>
      </c>
      <c r="J443" s="1" t="n">
        <v>13</v>
      </c>
      <c r="K443" s="1" t="s">
        <v>263</v>
      </c>
    </row>
    <row r="444" customFormat="false" ht="15" hidden="false" customHeight="true" outlineLevel="0" collapsed="false">
      <c r="A444" s="1" t="s">
        <v>1004</v>
      </c>
      <c r="B444" s="1" t="s">
        <v>98</v>
      </c>
      <c r="C444" s="1" t="s">
        <v>1005</v>
      </c>
      <c r="D444" s="1" t="n">
        <v>134.78</v>
      </c>
      <c r="E444" s="1" t="s">
        <v>14</v>
      </c>
      <c r="F444" s="1" t="s">
        <v>15</v>
      </c>
      <c r="G444" s="1" t="s">
        <v>29</v>
      </c>
      <c r="H444" s="1" t="s">
        <v>24</v>
      </c>
      <c r="I444" s="1" t="s">
        <v>995</v>
      </c>
      <c r="J444" s="1" t="n">
        <v>15</v>
      </c>
      <c r="K444" s="1" t="s">
        <v>263</v>
      </c>
    </row>
    <row r="445" customFormat="false" ht="15" hidden="false" customHeight="true" outlineLevel="0" collapsed="false">
      <c r="A445" s="1" t="s">
        <v>1006</v>
      </c>
      <c r="B445" s="1" t="s">
        <v>190</v>
      </c>
      <c r="C445" s="1" t="s">
        <v>1007</v>
      </c>
      <c r="D445" s="1" t="n">
        <v>292.31</v>
      </c>
      <c r="E445" s="1" t="s">
        <v>14</v>
      </c>
      <c r="F445" s="1" t="s">
        <v>49</v>
      </c>
      <c r="G445" s="1" t="s">
        <v>29</v>
      </c>
      <c r="H445" s="1" t="s">
        <v>17</v>
      </c>
      <c r="I445" s="1" t="s">
        <v>995</v>
      </c>
      <c r="J445" s="1" t="n">
        <v>17</v>
      </c>
      <c r="K445" s="1" t="s">
        <v>263</v>
      </c>
    </row>
    <row r="446" customFormat="false" ht="15" hidden="false" customHeight="true" outlineLevel="0" collapsed="false">
      <c r="A446" s="1" t="s">
        <v>1008</v>
      </c>
      <c r="B446" s="1" t="s">
        <v>64</v>
      </c>
      <c r="C446" s="1" t="s">
        <v>1009</v>
      </c>
      <c r="D446" s="1" t="n">
        <v>436.74</v>
      </c>
      <c r="E446" s="1" t="s">
        <v>14</v>
      </c>
      <c r="F446" s="1" t="s">
        <v>41</v>
      </c>
      <c r="G446" s="1" t="s">
        <v>70</v>
      </c>
      <c r="H446" s="1" t="s">
        <v>24</v>
      </c>
      <c r="I446" s="1" t="s">
        <v>995</v>
      </c>
      <c r="J446" s="1" t="n">
        <v>18</v>
      </c>
      <c r="K446" s="1" t="s">
        <v>263</v>
      </c>
    </row>
    <row r="447" customFormat="false" ht="15" hidden="false" customHeight="true" outlineLevel="0" collapsed="false">
      <c r="A447" s="1" t="s">
        <v>1010</v>
      </c>
      <c r="B447" s="1" t="s">
        <v>64</v>
      </c>
      <c r="C447" s="1" t="s">
        <v>1011</v>
      </c>
      <c r="D447" s="1" t="n">
        <v>436.74</v>
      </c>
      <c r="E447" s="1" t="s">
        <v>14</v>
      </c>
      <c r="F447" s="1" t="s">
        <v>41</v>
      </c>
      <c r="G447" s="1" t="s">
        <v>70</v>
      </c>
      <c r="H447" s="1" t="s">
        <v>24</v>
      </c>
      <c r="I447" s="1" t="s">
        <v>995</v>
      </c>
      <c r="J447" s="1" t="n">
        <v>18</v>
      </c>
      <c r="K447" s="1" t="s">
        <v>263</v>
      </c>
    </row>
    <row r="448" customFormat="false" ht="15" hidden="false" customHeight="true" outlineLevel="0" collapsed="false">
      <c r="A448" s="1" t="s">
        <v>1012</v>
      </c>
      <c r="B448" s="1" t="s">
        <v>496</v>
      </c>
      <c r="C448" s="1" t="s">
        <v>1013</v>
      </c>
      <c r="D448" s="1" t="n">
        <v>337.26</v>
      </c>
      <c r="E448" s="1" t="s">
        <v>14</v>
      </c>
      <c r="F448" s="1" t="s">
        <v>28</v>
      </c>
      <c r="G448" s="1" t="s">
        <v>29</v>
      </c>
      <c r="H448" s="1" t="s">
        <v>17</v>
      </c>
      <c r="I448" s="1" t="s">
        <v>995</v>
      </c>
      <c r="J448" s="1" t="n">
        <v>19</v>
      </c>
      <c r="K448" s="1" t="s">
        <v>263</v>
      </c>
    </row>
    <row r="449" customFormat="false" ht="15" hidden="false" customHeight="true" outlineLevel="0" collapsed="false">
      <c r="A449" s="1" t="s">
        <v>1014</v>
      </c>
      <c r="B449" s="1" t="s">
        <v>240</v>
      </c>
      <c r="C449" s="1" t="s">
        <v>1015</v>
      </c>
      <c r="D449" s="1" t="n">
        <v>30.64</v>
      </c>
      <c r="E449" s="1" t="s">
        <v>14</v>
      </c>
      <c r="F449" s="1" t="s">
        <v>56</v>
      </c>
      <c r="G449" s="1" t="s">
        <v>16</v>
      </c>
      <c r="H449" s="1" t="s">
        <v>17</v>
      </c>
      <c r="I449" s="1" t="s">
        <v>995</v>
      </c>
      <c r="J449" s="1" t="n">
        <v>20</v>
      </c>
      <c r="K449" s="1" t="s">
        <v>263</v>
      </c>
    </row>
    <row r="450" customFormat="false" ht="15" hidden="false" customHeight="true" outlineLevel="0" collapsed="false">
      <c r="A450" s="1" t="s">
        <v>1016</v>
      </c>
      <c r="B450" s="1" t="s">
        <v>72</v>
      </c>
      <c r="C450" s="1" t="s">
        <v>1017</v>
      </c>
      <c r="D450" s="1" t="n">
        <v>76.35</v>
      </c>
      <c r="E450" s="1" t="s">
        <v>14</v>
      </c>
      <c r="F450" s="1" t="s">
        <v>49</v>
      </c>
      <c r="G450" s="1" t="s">
        <v>23</v>
      </c>
      <c r="H450" s="1" t="s">
        <v>37</v>
      </c>
      <c r="I450" s="1" t="s">
        <v>995</v>
      </c>
      <c r="J450" s="1" t="n">
        <v>22</v>
      </c>
      <c r="K450" s="1" t="s">
        <v>263</v>
      </c>
    </row>
    <row r="451" customFormat="false" ht="15" hidden="false" customHeight="true" outlineLevel="0" collapsed="false">
      <c r="A451" s="1" t="s">
        <v>1018</v>
      </c>
      <c r="B451" s="1" t="s">
        <v>193</v>
      </c>
      <c r="C451" s="1" t="s">
        <v>1019</v>
      </c>
      <c r="D451" s="1" t="n">
        <v>63.43</v>
      </c>
      <c r="E451" s="1" t="s">
        <v>14</v>
      </c>
      <c r="F451" s="1" t="s">
        <v>15</v>
      </c>
      <c r="G451" s="1" t="s">
        <v>70</v>
      </c>
      <c r="H451" s="1" t="s">
        <v>37</v>
      </c>
      <c r="I451" s="1" t="s">
        <v>995</v>
      </c>
      <c r="J451" s="1" t="n">
        <v>23</v>
      </c>
      <c r="K451" s="1" t="s">
        <v>263</v>
      </c>
    </row>
    <row r="452" customFormat="false" ht="15" hidden="false" customHeight="true" outlineLevel="0" collapsed="false">
      <c r="A452" s="1" t="s">
        <v>1020</v>
      </c>
      <c r="B452" s="1" t="s">
        <v>344</v>
      </c>
      <c r="C452" s="1" t="s">
        <v>1021</v>
      </c>
      <c r="D452" s="1" t="n">
        <v>51.14</v>
      </c>
      <c r="E452" s="1" t="s">
        <v>14</v>
      </c>
      <c r="F452" s="1" t="s">
        <v>49</v>
      </c>
      <c r="G452" s="1" t="s">
        <v>42</v>
      </c>
      <c r="H452" s="1" t="s">
        <v>37</v>
      </c>
      <c r="I452" s="1" t="s">
        <v>1022</v>
      </c>
      <c r="J452" s="1" t="n">
        <v>1</v>
      </c>
      <c r="K452" s="1" t="s">
        <v>19</v>
      </c>
    </row>
    <row r="453" customFormat="false" ht="15" hidden="false" customHeight="true" outlineLevel="0" collapsed="false">
      <c r="A453" s="1" t="s">
        <v>1023</v>
      </c>
      <c r="B453" s="1" t="s">
        <v>487</v>
      </c>
      <c r="C453" s="1" t="s">
        <v>1024</v>
      </c>
      <c r="D453" s="1" t="n">
        <v>31.32</v>
      </c>
      <c r="E453" s="1" t="s">
        <v>14</v>
      </c>
      <c r="F453" s="1" t="s">
        <v>49</v>
      </c>
      <c r="G453" s="1" t="s">
        <v>36</v>
      </c>
      <c r="H453" s="1" t="s">
        <v>24</v>
      </c>
      <c r="I453" s="1" t="s">
        <v>1022</v>
      </c>
      <c r="J453" s="1" t="n">
        <v>5</v>
      </c>
      <c r="K453" s="1" t="s">
        <v>19</v>
      </c>
    </row>
    <row r="454" customFormat="false" ht="15" hidden="false" customHeight="true" outlineLevel="0" collapsed="false">
      <c r="A454" s="1" t="s">
        <v>1025</v>
      </c>
      <c r="B454" s="1" t="s">
        <v>148</v>
      </c>
      <c r="C454" s="1" t="s">
        <v>1026</v>
      </c>
      <c r="D454" s="1" t="n">
        <v>87.05</v>
      </c>
      <c r="E454" s="1" t="s">
        <v>14</v>
      </c>
      <c r="F454" s="1" t="s">
        <v>41</v>
      </c>
      <c r="G454" s="1" t="s">
        <v>86</v>
      </c>
      <c r="H454" s="1" t="s">
        <v>24</v>
      </c>
      <c r="I454" s="1" t="s">
        <v>1022</v>
      </c>
      <c r="J454" s="1" t="n">
        <v>6</v>
      </c>
      <c r="K454" s="1" t="s">
        <v>19</v>
      </c>
    </row>
    <row r="455" customFormat="false" ht="15" hidden="false" customHeight="true" outlineLevel="0" collapsed="false">
      <c r="A455" s="1" t="s">
        <v>1027</v>
      </c>
      <c r="B455" s="1" t="s">
        <v>332</v>
      </c>
      <c r="C455" s="1" t="s">
        <v>1028</v>
      </c>
      <c r="D455" s="1" t="n">
        <v>115.9</v>
      </c>
      <c r="E455" s="1" t="s">
        <v>14</v>
      </c>
      <c r="F455" s="1" t="s">
        <v>49</v>
      </c>
      <c r="G455" s="1" t="s">
        <v>86</v>
      </c>
      <c r="H455" s="1" t="s">
        <v>24</v>
      </c>
      <c r="I455" s="1" t="s">
        <v>1022</v>
      </c>
      <c r="J455" s="1" t="n">
        <v>7</v>
      </c>
      <c r="K455" s="1" t="s">
        <v>19</v>
      </c>
    </row>
    <row r="456" customFormat="false" ht="15" hidden="false" customHeight="true" outlineLevel="0" collapsed="false">
      <c r="A456" s="1" t="s">
        <v>1029</v>
      </c>
      <c r="B456" s="1" t="s">
        <v>34</v>
      </c>
      <c r="C456" s="1" t="s">
        <v>1030</v>
      </c>
      <c r="D456" s="1" t="n">
        <v>62.01</v>
      </c>
      <c r="E456" s="1" t="s">
        <v>14</v>
      </c>
      <c r="F456" s="1" t="s">
        <v>15</v>
      </c>
      <c r="G456" s="1" t="s">
        <v>70</v>
      </c>
      <c r="H456" s="1" t="s">
        <v>17</v>
      </c>
      <c r="I456" s="1" t="s">
        <v>1022</v>
      </c>
      <c r="J456" s="1" t="n">
        <v>8</v>
      </c>
      <c r="K456" s="1" t="s">
        <v>19</v>
      </c>
    </row>
    <row r="457" customFormat="false" ht="15" hidden="false" customHeight="true" outlineLevel="0" collapsed="false">
      <c r="A457" s="1" t="s">
        <v>1031</v>
      </c>
      <c r="B457" s="1" t="s">
        <v>148</v>
      </c>
      <c r="C457" s="1" t="s">
        <v>1032</v>
      </c>
      <c r="D457" s="1" t="n">
        <v>11.86</v>
      </c>
      <c r="E457" s="1" t="s">
        <v>14</v>
      </c>
      <c r="F457" s="1" t="s">
        <v>41</v>
      </c>
      <c r="G457" s="1" t="s">
        <v>42</v>
      </c>
      <c r="H457" s="1" t="s">
        <v>37</v>
      </c>
      <c r="I457" s="1" t="s">
        <v>1022</v>
      </c>
      <c r="J457" s="1" t="n">
        <v>8</v>
      </c>
      <c r="K457" s="1" t="s">
        <v>19</v>
      </c>
    </row>
    <row r="458" customFormat="false" ht="15" hidden="false" customHeight="true" outlineLevel="0" collapsed="false">
      <c r="A458" s="1" t="s">
        <v>1033</v>
      </c>
      <c r="B458" s="1" t="s">
        <v>47</v>
      </c>
      <c r="C458" s="1" t="s">
        <v>1034</v>
      </c>
      <c r="D458" s="1" t="n">
        <v>52.9</v>
      </c>
      <c r="E458" s="1" t="s">
        <v>14</v>
      </c>
      <c r="F458" s="1" t="s">
        <v>49</v>
      </c>
      <c r="G458" s="1" t="s">
        <v>86</v>
      </c>
      <c r="H458" s="1" t="s">
        <v>37</v>
      </c>
      <c r="I458" s="1" t="s">
        <v>1022</v>
      </c>
      <c r="J458" s="1" t="n">
        <v>13</v>
      </c>
      <c r="K458" s="1" t="s">
        <v>19</v>
      </c>
    </row>
    <row r="459" customFormat="false" ht="15" hidden="false" customHeight="true" outlineLevel="0" collapsed="false">
      <c r="A459" s="1" t="s">
        <v>1035</v>
      </c>
      <c r="B459" s="1" t="s">
        <v>140</v>
      </c>
      <c r="C459" s="1" t="s">
        <v>1036</v>
      </c>
      <c r="D459" s="1" t="n">
        <v>419.99</v>
      </c>
      <c r="E459" s="1" t="s">
        <v>14</v>
      </c>
      <c r="F459" s="1" t="s">
        <v>41</v>
      </c>
      <c r="G459" s="1" t="s">
        <v>86</v>
      </c>
      <c r="H459" s="1" t="s">
        <v>37</v>
      </c>
      <c r="I459" s="1" t="s">
        <v>1022</v>
      </c>
      <c r="J459" s="1" t="n">
        <v>14</v>
      </c>
      <c r="K459" s="1" t="s">
        <v>19</v>
      </c>
    </row>
    <row r="460" customFormat="false" ht="15" hidden="false" customHeight="true" outlineLevel="0" collapsed="false">
      <c r="A460" s="1" t="s">
        <v>1037</v>
      </c>
      <c r="B460" s="1" t="s">
        <v>93</v>
      </c>
      <c r="C460" s="1" t="s">
        <v>1036</v>
      </c>
      <c r="D460" s="1" t="n">
        <v>167.39</v>
      </c>
      <c r="E460" s="1" t="s">
        <v>14</v>
      </c>
      <c r="F460" s="1" t="s">
        <v>28</v>
      </c>
      <c r="G460" s="1" t="s">
        <v>86</v>
      </c>
      <c r="H460" s="1" t="s">
        <v>37</v>
      </c>
      <c r="I460" s="1" t="s">
        <v>1022</v>
      </c>
      <c r="J460" s="1" t="n">
        <v>14</v>
      </c>
      <c r="K460" s="1" t="s">
        <v>19</v>
      </c>
    </row>
    <row r="461" customFormat="false" ht="15" hidden="false" customHeight="true" outlineLevel="0" collapsed="false">
      <c r="A461" s="1" t="s">
        <v>1038</v>
      </c>
      <c r="B461" s="1" t="s">
        <v>140</v>
      </c>
      <c r="C461" s="1" t="s">
        <v>1039</v>
      </c>
      <c r="D461" s="1" t="n">
        <v>325.03</v>
      </c>
      <c r="E461" s="1" t="s">
        <v>14</v>
      </c>
      <c r="F461" s="1" t="s">
        <v>41</v>
      </c>
      <c r="G461" s="1" t="s">
        <v>86</v>
      </c>
      <c r="H461" s="1" t="s">
        <v>37</v>
      </c>
      <c r="I461" s="1" t="s">
        <v>1022</v>
      </c>
      <c r="J461" s="1" t="n">
        <v>14</v>
      </c>
      <c r="K461" s="1" t="s">
        <v>19</v>
      </c>
    </row>
    <row r="462" customFormat="false" ht="15" hidden="false" customHeight="true" outlineLevel="0" collapsed="false">
      <c r="A462" s="1" t="s">
        <v>1040</v>
      </c>
      <c r="B462" s="1" t="s">
        <v>93</v>
      </c>
      <c r="C462" s="1" t="s">
        <v>1039</v>
      </c>
      <c r="D462" s="1" t="n">
        <v>272.36</v>
      </c>
      <c r="E462" s="1" t="s">
        <v>14</v>
      </c>
      <c r="F462" s="1" t="s">
        <v>28</v>
      </c>
      <c r="G462" s="1" t="s">
        <v>86</v>
      </c>
      <c r="H462" s="1" t="s">
        <v>37</v>
      </c>
      <c r="I462" s="1" t="s">
        <v>1022</v>
      </c>
      <c r="J462" s="1" t="n">
        <v>14</v>
      </c>
      <c r="K462" s="1" t="s">
        <v>19</v>
      </c>
    </row>
    <row r="463" customFormat="false" ht="15" hidden="false" customHeight="true" outlineLevel="0" collapsed="false">
      <c r="A463" s="1" t="s">
        <v>1041</v>
      </c>
      <c r="B463" s="1" t="s">
        <v>93</v>
      </c>
      <c r="C463" s="1" t="s">
        <v>1042</v>
      </c>
      <c r="D463" s="1" t="n">
        <v>165.8</v>
      </c>
      <c r="E463" s="1" t="s">
        <v>14</v>
      </c>
      <c r="F463" s="1" t="s">
        <v>28</v>
      </c>
      <c r="G463" s="1" t="s">
        <v>86</v>
      </c>
      <c r="H463" s="1" t="s">
        <v>37</v>
      </c>
      <c r="I463" s="1" t="s">
        <v>1022</v>
      </c>
      <c r="J463" s="1" t="n">
        <v>14</v>
      </c>
      <c r="K463" s="1" t="s">
        <v>19</v>
      </c>
    </row>
    <row r="464" customFormat="false" ht="15" hidden="false" customHeight="true" outlineLevel="0" collapsed="false">
      <c r="A464" s="1" t="s">
        <v>1043</v>
      </c>
      <c r="B464" s="1" t="s">
        <v>140</v>
      </c>
      <c r="C464" s="1" t="s">
        <v>1042</v>
      </c>
      <c r="D464" s="1" t="n">
        <v>557.37</v>
      </c>
      <c r="E464" s="1" t="s">
        <v>14</v>
      </c>
      <c r="F464" s="1" t="s">
        <v>41</v>
      </c>
      <c r="G464" s="1" t="s">
        <v>86</v>
      </c>
      <c r="H464" s="1" t="s">
        <v>37</v>
      </c>
      <c r="I464" s="1" t="s">
        <v>1022</v>
      </c>
      <c r="J464" s="1" t="n">
        <v>14</v>
      </c>
      <c r="K464" s="1" t="s">
        <v>19</v>
      </c>
    </row>
    <row r="465" customFormat="false" ht="15" hidden="false" customHeight="true" outlineLevel="0" collapsed="false">
      <c r="A465" s="1" t="s">
        <v>1044</v>
      </c>
      <c r="B465" s="1" t="s">
        <v>93</v>
      </c>
      <c r="C465" s="1" t="s">
        <v>1045</v>
      </c>
      <c r="D465" s="1" t="n">
        <v>206.7</v>
      </c>
      <c r="E465" s="1" t="s">
        <v>14</v>
      </c>
      <c r="F465" s="1" t="s">
        <v>28</v>
      </c>
      <c r="G465" s="1" t="s">
        <v>86</v>
      </c>
      <c r="H465" s="1" t="s">
        <v>37</v>
      </c>
      <c r="I465" s="1" t="s">
        <v>1022</v>
      </c>
      <c r="J465" s="1" t="n">
        <v>14</v>
      </c>
      <c r="K465" s="1" t="s">
        <v>19</v>
      </c>
    </row>
    <row r="466" customFormat="false" ht="15" hidden="false" customHeight="true" outlineLevel="0" collapsed="false">
      <c r="A466" s="1" t="s">
        <v>1046</v>
      </c>
      <c r="B466" s="1" t="s">
        <v>140</v>
      </c>
      <c r="C466" s="1" t="s">
        <v>1045</v>
      </c>
      <c r="D466" s="1" t="n">
        <v>103.82</v>
      </c>
      <c r="E466" s="1" t="s">
        <v>14</v>
      </c>
      <c r="F466" s="1" t="s">
        <v>41</v>
      </c>
      <c r="G466" s="1" t="s">
        <v>86</v>
      </c>
      <c r="H466" s="1" t="s">
        <v>37</v>
      </c>
      <c r="I466" s="1" t="s">
        <v>1022</v>
      </c>
      <c r="J466" s="1" t="n">
        <v>14</v>
      </c>
      <c r="K466" s="1" t="s">
        <v>19</v>
      </c>
    </row>
    <row r="467" customFormat="false" ht="15" hidden="false" customHeight="true" outlineLevel="0" collapsed="false">
      <c r="A467" s="1" t="s">
        <v>1047</v>
      </c>
      <c r="B467" s="1" t="s">
        <v>93</v>
      </c>
      <c r="C467" s="1" t="s">
        <v>1048</v>
      </c>
      <c r="D467" s="1" t="n">
        <v>382.63</v>
      </c>
      <c r="E467" s="1" t="s">
        <v>14</v>
      </c>
      <c r="F467" s="1" t="s">
        <v>28</v>
      </c>
      <c r="G467" s="1" t="s">
        <v>86</v>
      </c>
      <c r="H467" s="1" t="s">
        <v>37</v>
      </c>
      <c r="I467" s="1" t="s">
        <v>1022</v>
      </c>
      <c r="J467" s="1" t="n">
        <v>14</v>
      </c>
      <c r="K467" s="1" t="s">
        <v>19</v>
      </c>
    </row>
    <row r="468" customFormat="false" ht="15" hidden="false" customHeight="true" outlineLevel="0" collapsed="false">
      <c r="A468" s="1" t="s">
        <v>1049</v>
      </c>
      <c r="B468" s="1" t="s">
        <v>140</v>
      </c>
      <c r="C468" s="1" t="s">
        <v>1048</v>
      </c>
      <c r="D468" s="1" t="n">
        <v>444.67</v>
      </c>
      <c r="E468" s="1" t="s">
        <v>14</v>
      </c>
      <c r="F468" s="1" t="s">
        <v>41</v>
      </c>
      <c r="G468" s="1" t="s">
        <v>86</v>
      </c>
      <c r="H468" s="1" t="s">
        <v>37</v>
      </c>
      <c r="I468" s="1" t="s">
        <v>1022</v>
      </c>
      <c r="J468" s="1" t="n">
        <v>14</v>
      </c>
      <c r="K468" s="1" t="s">
        <v>19</v>
      </c>
    </row>
    <row r="469" customFormat="false" ht="15" hidden="false" customHeight="true" outlineLevel="0" collapsed="false">
      <c r="A469" s="1" t="s">
        <v>1050</v>
      </c>
      <c r="B469" s="1" t="s">
        <v>140</v>
      </c>
      <c r="C469" s="1" t="s">
        <v>1051</v>
      </c>
      <c r="D469" s="1" t="n">
        <v>147.88</v>
      </c>
      <c r="E469" s="1" t="s">
        <v>14</v>
      </c>
      <c r="F469" s="1" t="s">
        <v>41</v>
      </c>
      <c r="G469" s="1" t="s">
        <v>86</v>
      </c>
      <c r="H469" s="1" t="s">
        <v>37</v>
      </c>
      <c r="I469" s="1" t="s">
        <v>1022</v>
      </c>
      <c r="J469" s="1" t="n">
        <v>14</v>
      </c>
      <c r="K469" s="1" t="s">
        <v>19</v>
      </c>
    </row>
    <row r="470" customFormat="false" ht="15" hidden="false" customHeight="true" outlineLevel="0" collapsed="false">
      <c r="A470" s="1" t="s">
        <v>1052</v>
      </c>
      <c r="B470" s="1" t="s">
        <v>93</v>
      </c>
      <c r="C470" s="1" t="s">
        <v>1051</v>
      </c>
      <c r="D470" s="1" t="n">
        <v>149.35</v>
      </c>
      <c r="E470" s="1" t="s">
        <v>14</v>
      </c>
      <c r="F470" s="1" t="s">
        <v>28</v>
      </c>
      <c r="G470" s="1" t="s">
        <v>86</v>
      </c>
      <c r="H470" s="1" t="s">
        <v>37</v>
      </c>
      <c r="I470" s="1" t="s">
        <v>1022</v>
      </c>
      <c r="J470" s="1" t="n">
        <v>14</v>
      </c>
      <c r="K470" s="1" t="s">
        <v>19</v>
      </c>
    </row>
    <row r="471" customFormat="false" ht="15" hidden="false" customHeight="true" outlineLevel="0" collapsed="false">
      <c r="A471" s="1" t="s">
        <v>1053</v>
      </c>
      <c r="B471" s="1" t="s">
        <v>140</v>
      </c>
      <c r="C471" s="1" t="s">
        <v>1054</v>
      </c>
      <c r="D471" s="1" t="n">
        <v>169.57</v>
      </c>
      <c r="E471" s="1" t="s">
        <v>14</v>
      </c>
      <c r="F471" s="1" t="s">
        <v>41</v>
      </c>
      <c r="G471" s="1" t="s">
        <v>86</v>
      </c>
      <c r="H471" s="1" t="s">
        <v>37</v>
      </c>
      <c r="I471" s="1" t="s">
        <v>1022</v>
      </c>
      <c r="J471" s="1" t="n">
        <v>14</v>
      </c>
      <c r="K471" s="1" t="s">
        <v>19</v>
      </c>
    </row>
    <row r="472" customFormat="false" ht="15" hidden="false" customHeight="true" outlineLevel="0" collapsed="false">
      <c r="A472" s="1" t="s">
        <v>1055</v>
      </c>
      <c r="B472" s="1" t="s">
        <v>93</v>
      </c>
      <c r="C472" s="1" t="s">
        <v>1054</v>
      </c>
      <c r="D472" s="1" t="n">
        <v>491.35</v>
      </c>
      <c r="E472" s="1" t="s">
        <v>14</v>
      </c>
      <c r="F472" s="1" t="s">
        <v>28</v>
      </c>
      <c r="G472" s="1" t="s">
        <v>86</v>
      </c>
      <c r="H472" s="1" t="s">
        <v>37</v>
      </c>
      <c r="I472" s="1" t="s">
        <v>1022</v>
      </c>
      <c r="J472" s="1" t="n">
        <v>14</v>
      </c>
      <c r="K472" s="1" t="s">
        <v>19</v>
      </c>
    </row>
    <row r="473" customFormat="false" ht="15" hidden="false" customHeight="true" outlineLevel="0" collapsed="false">
      <c r="A473" s="1" t="s">
        <v>1056</v>
      </c>
      <c r="B473" s="1" t="s">
        <v>93</v>
      </c>
      <c r="C473" s="1" t="s">
        <v>1057</v>
      </c>
      <c r="D473" s="1" t="n">
        <v>408.74</v>
      </c>
      <c r="E473" s="1" t="s">
        <v>14</v>
      </c>
      <c r="F473" s="1" t="s">
        <v>28</v>
      </c>
      <c r="G473" s="1" t="s">
        <v>86</v>
      </c>
      <c r="H473" s="1" t="s">
        <v>37</v>
      </c>
      <c r="I473" s="1" t="s">
        <v>1022</v>
      </c>
      <c r="J473" s="1" t="n">
        <v>14</v>
      </c>
      <c r="K473" s="1" t="s">
        <v>19</v>
      </c>
    </row>
    <row r="474" customFormat="false" ht="15" hidden="false" customHeight="true" outlineLevel="0" collapsed="false">
      <c r="A474" s="1" t="s">
        <v>1058</v>
      </c>
      <c r="B474" s="1" t="s">
        <v>140</v>
      </c>
      <c r="C474" s="1" t="s">
        <v>1057</v>
      </c>
      <c r="D474" s="1" t="n">
        <v>105.98</v>
      </c>
      <c r="E474" s="1" t="s">
        <v>14</v>
      </c>
      <c r="F474" s="1" t="s">
        <v>41</v>
      </c>
      <c r="G474" s="1" t="s">
        <v>86</v>
      </c>
      <c r="H474" s="1" t="s">
        <v>37</v>
      </c>
      <c r="I474" s="1" t="s">
        <v>1022</v>
      </c>
      <c r="J474" s="1" t="n">
        <v>14</v>
      </c>
      <c r="K474" s="1" t="s">
        <v>19</v>
      </c>
    </row>
    <row r="475" customFormat="false" ht="15" hidden="false" customHeight="true" outlineLevel="0" collapsed="false">
      <c r="A475" s="1" t="s">
        <v>1059</v>
      </c>
      <c r="B475" s="1" t="s">
        <v>140</v>
      </c>
      <c r="C475" s="1" t="s">
        <v>1060</v>
      </c>
      <c r="D475" s="1" t="n">
        <v>239.82</v>
      </c>
      <c r="E475" s="1" t="s">
        <v>14</v>
      </c>
      <c r="F475" s="1" t="s">
        <v>41</v>
      </c>
      <c r="G475" s="1" t="s">
        <v>86</v>
      </c>
      <c r="H475" s="1" t="s">
        <v>37</v>
      </c>
      <c r="I475" s="1" t="s">
        <v>1022</v>
      </c>
      <c r="J475" s="1" t="n">
        <v>14</v>
      </c>
      <c r="K475" s="1" t="s">
        <v>19</v>
      </c>
    </row>
    <row r="476" customFormat="false" ht="15" hidden="false" customHeight="true" outlineLevel="0" collapsed="false">
      <c r="A476" s="1" t="s">
        <v>1061</v>
      </c>
      <c r="B476" s="1" t="s">
        <v>167</v>
      </c>
      <c r="C476" s="1" t="s">
        <v>1060</v>
      </c>
      <c r="D476" s="1" t="n">
        <v>245.25</v>
      </c>
      <c r="E476" s="1" t="s">
        <v>14</v>
      </c>
      <c r="F476" s="1" t="s">
        <v>28</v>
      </c>
      <c r="G476" s="1" t="s">
        <v>86</v>
      </c>
      <c r="H476" s="1" t="s">
        <v>17</v>
      </c>
      <c r="I476" s="1" t="s">
        <v>1022</v>
      </c>
      <c r="J476" s="1" t="n">
        <v>14</v>
      </c>
      <c r="K476" s="1" t="s">
        <v>19</v>
      </c>
    </row>
    <row r="477" customFormat="false" ht="15" hidden="false" customHeight="true" outlineLevel="0" collapsed="false">
      <c r="A477" s="1" t="s">
        <v>1062</v>
      </c>
      <c r="B477" s="1" t="s">
        <v>93</v>
      </c>
      <c r="C477" s="1" t="s">
        <v>1060</v>
      </c>
      <c r="D477" s="1" t="n">
        <v>275.59</v>
      </c>
      <c r="E477" s="1" t="s">
        <v>14</v>
      </c>
      <c r="F477" s="1" t="s">
        <v>28</v>
      </c>
      <c r="G477" s="1" t="s">
        <v>86</v>
      </c>
      <c r="H477" s="1" t="s">
        <v>37</v>
      </c>
      <c r="I477" s="1" t="s">
        <v>1022</v>
      </c>
      <c r="J477" s="1" t="n">
        <v>14</v>
      </c>
      <c r="K477" s="1" t="s">
        <v>19</v>
      </c>
    </row>
    <row r="478" customFormat="false" ht="15" hidden="false" customHeight="true" outlineLevel="0" collapsed="false">
      <c r="A478" s="1" t="s">
        <v>1063</v>
      </c>
      <c r="B478" s="1" t="s">
        <v>84</v>
      </c>
      <c r="C478" s="1" t="s">
        <v>1060</v>
      </c>
      <c r="D478" s="1" t="n">
        <v>69.48</v>
      </c>
      <c r="E478" s="1" t="s">
        <v>14</v>
      </c>
      <c r="F478" s="1" t="s">
        <v>56</v>
      </c>
      <c r="G478" s="1" t="s">
        <v>86</v>
      </c>
      <c r="H478" s="1" t="s">
        <v>17</v>
      </c>
      <c r="I478" s="1" t="s">
        <v>1022</v>
      </c>
      <c r="J478" s="1" t="n">
        <v>14</v>
      </c>
      <c r="K478" s="1" t="s">
        <v>19</v>
      </c>
    </row>
    <row r="479" customFormat="false" ht="15" hidden="false" customHeight="true" outlineLevel="0" collapsed="false">
      <c r="A479" s="1" t="s">
        <v>1064</v>
      </c>
      <c r="B479" s="1" t="s">
        <v>140</v>
      </c>
      <c r="C479" s="1" t="s">
        <v>1065</v>
      </c>
      <c r="D479" s="1" t="n">
        <v>492.72</v>
      </c>
      <c r="E479" s="1" t="s">
        <v>14</v>
      </c>
      <c r="F479" s="1" t="s">
        <v>41</v>
      </c>
      <c r="G479" s="1" t="s">
        <v>86</v>
      </c>
      <c r="H479" s="1" t="s">
        <v>37</v>
      </c>
      <c r="I479" s="1" t="s">
        <v>1022</v>
      </c>
      <c r="J479" s="1" t="n">
        <v>14</v>
      </c>
      <c r="K479" s="1" t="s">
        <v>19</v>
      </c>
    </row>
    <row r="480" customFormat="false" ht="15" hidden="false" customHeight="true" outlineLevel="0" collapsed="false">
      <c r="A480" s="1" t="s">
        <v>1066</v>
      </c>
      <c r="B480" s="1" t="s">
        <v>93</v>
      </c>
      <c r="C480" s="1" t="s">
        <v>1065</v>
      </c>
      <c r="D480" s="1" t="n">
        <v>162.03</v>
      </c>
      <c r="E480" s="1" t="s">
        <v>14</v>
      </c>
      <c r="F480" s="1" t="s">
        <v>28</v>
      </c>
      <c r="G480" s="1" t="s">
        <v>86</v>
      </c>
      <c r="H480" s="1" t="s">
        <v>37</v>
      </c>
      <c r="I480" s="1" t="s">
        <v>1022</v>
      </c>
      <c r="J480" s="1" t="n">
        <v>14</v>
      </c>
      <c r="K480" s="1" t="s">
        <v>19</v>
      </c>
    </row>
    <row r="481" customFormat="false" ht="15" hidden="false" customHeight="true" outlineLevel="0" collapsed="false">
      <c r="A481" s="1" t="s">
        <v>1067</v>
      </c>
      <c r="B481" s="1" t="s">
        <v>106</v>
      </c>
      <c r="C481" s="1" t="s">
        <v>1068</v>
      </c>
      <c r="D481" s="1" t="n">
        <v>74.26</v>
      </c>
      <c r="E481" s="1" t="s">
        <v>14</v>
      </c>
      <c r="F481" s="1" t="s">
        <v>15</v>
      </c>
      <c r="G481" s="1" t="s">
        <v>70</v>
      </c>
      <c r="H481" s="1" t="s">
        <v>24</v>
      </c>
      <c r="I481" s="1" t="s">
        <v>1022</v>
      </c>
      <c r="J481" s="1" t="n">
        <v>15</v>
      </c>
      <c r="K481" s="1" t="s">
        <v>19</v>
      </c>
    </row>
    <row r="482" customFormat="false" ht="15" hidden="false" customHeight="true" outlineLevel="0" collapsed="false">
      <c r="A482" s="1" t="s">
        <v>1069</v>
      </c>
      <c r="B482" s="1" t="s">
        <v>98</v>
      </c>
      <c r="C482" s="1" t="s">
        <v>1070</v>
      </c>
      <c r="D482" s="1" t="n">
        <v>9000</v>
      </c>
      <c r="E482" s="1" t="s">
        <v>14</v>
      </c>
      <c r="F482" s="1" t="s">
        <v>15</v>
      </c>
      <c r="G482" s="1" t="s">
        <v>23</v>
      </c>
      <c r="H482" s="1" t="s">
        <v>276</v>
      </c>
      <c r="I482" s="1" t="s">
        <v>1022</v>
      </c>
      <c r="J482" s="1" t="n">
        <v>16</v>
      </c>
      <c r="K482" s="1" t="s">
        <v>19</v>
      </c>
    </row>
    <row r="483" customFormat="false" ht="15" hidden="false" customHeight="true" outlineLevel="0" collapsed="false">
      <c r="A483" s="1" t="s">
        <v>1071</v>
      </c>
      <c r="B483" s="1" t="s">
        <v>47</v>
      </c>
      <c r="C483" s="1" t="s">
        <v>1072</v>
      </c>
      <c r="D483" s="1" t="n">
        <v>230.92</v>
      </c>
      <c r="E483" s="1" t="s">
        <v>14</v>
      </c>
      <c r="F483" s="1" t="s">
        <v>49</v>
      </c>
      <c r="G483" s="1" t="s">
        <v>42</v>
      </c>
      <c r="H483" s="1" t="s">
        <v>17</v>
      </c>
      <c r="I483" s="1" t="s">
        <v>1022</v>
      </c>
      <c r="J483" s="1" t="n">
        <v>16</v>
      </c>
      <c r="K483" s="1" t="s">
        <v>19</v>
      </c>
    </row>
    <row r="484" customFormat="false" ht="15" hidden="false" customHeight="true" outlineLevel="0" collapsed="false">
      <c r="A484" s="1" t="s">
        <v>1073</v>
      </c>
      <c r="B484" s="1" t="s">
        <v>659</v>
      </c>
      <c r="C484" s="1" t="s">
        <v>1074</v>
      </c>
      <c r="D484" s="1" t="n">
        <v>36.1</v>
      </c>
      <c r="E484" s="1" t="s">
        <v>14</v>
      </c>
      <c r="F484" s="1" t="s">
        <v>15</v>
      </c>
      <c r="G484" s="1" t="s">
        <v>36</v>
      </c>
      <c r="H484" s="1" t="s">
        <v>17</v>
      </c>
      <c r="I484" s="1" t="s">
        <v>1022</v>
      </c>
      <c r="J484" s="1" t="n">
        <v>17</v>
      </c>
      <c r="K484" s="1" t="s">
        <v>19</v>
      </c>
    </row>
    <row r="485" customFormat="false" ht="15" hidden="false" customHeight="true" outlineLevel="0" collapsed="false">
      <c r="A485" s="1" t="s">
        <v>1075</v>
      </c>
      <c r="B485" s="1" t="s">
        <v>291</v>
      </c>
      <c r="C485" s="1" t="s">
        <v>1076</v>
      </c>
      <c r="D485" s="1" t="n">
        <v>75.16</v>
      </c>
      <c r="E485" s="1" t="s">
        <v>14</v>
      </c>
      <c r="F485" s="1" t="s">
        <v>28</v>
      </c>
      <c r="G485" s="1" t="s">
        <v>16</v>
      </c>
      <c r="H485" s="1" t="s">
        <v>17</v>
      </c>
      <c r="I485" s="1" t="s">
        <v>1022</v>
      </c>
      <c r="J485" s="1" t="n">
        <v>21</v>
      </c>
      <c r="K485" s="1" t="s">
        <v>19</v>
      </c>
    </row>
    <row r="486" customFormat="false" ht="15" hidden="false" customHeight="true" outlineLevel="0" collapsed="false">
      <c r="A486" s="1" t="s">
        <v>1077</v>
      </c>
      <c r="B486" s="1" t="s">
        <v>58</v>
      </c>
      <c r="C486" s="1" t="s">
        <v>1078</v>
      </c>
      <c r="D486" s="1" t="n">
        <v>43.94</v>
      </c>
      <c r="E486" s="1" t="s">
        <v>14</v>
      </c>
      <c r="F486" s="1" t="s">
        <v>15</v>
      </c>
      <c r="G486" s="1" t="s">
        <v>86</v>
      </c>
      <c r="H486" s="1" t="s">
        <v>24</v>
      </c>
      <c r="I486" s="1" t="s">
        <v>1022</v>
      </c>
      <c r="J486" s="1" t="n">
        <v>23</v>
      </c>
      <c r="K486" s="1" t="s">
        <v>19</v>
      </c>
    </row>
    <row r="487" customFormat="false" ht="15" hidden="false" customHeight="true" outlineLevel="0" collapsed="false">
      <c r="A487" s="1" t="s">
        <v>1079</v>
      </c>
      <c r="B487" s="1" t="s">
        <v>180</v>
      </c>
      <c r="C487" s="1" t="s">
        <v>1080</v>
      </c>
      <c r="D487" s="1" t="n">
        <v>102.95</v>
      </c>
      <c r="E487" s="1" t="s">
        <v>14</v>
      </c>
      <c r="F487" s="1" t="s">
        <v>49</v>
      </c>
      <c r="G487" s="1" t="s">
        <v>16</v>
      </c>
      <c r="H487" s="1" t="s">
        <v>37</v>
      </c>
      <c r="I487" s="1" t="s">
        <v>1022</v>
      </c>
      <c r="J487" s="1" t="n">
        <v>23</v>
      </c>
      <c r="K487" s="1" t="s">
        <v>19</v>
      </c>
    </row>
    <row r="488" customFormat="false" ht="15" hidden="false" customHeight="true" outlineLevel="0" collapsed="false">
      <c r="A488" s="1" t="s">
        <v>1081</v>
      </c>
      <c r="B488" s="1" t="s">
        <v>90</v>
      </c>
      <c r="C488" s="1" t="s">
        <v>1082</v>
      </c>
      <c r="D488" s="1" t="n">
        <v>121.84</v>
      </c>
      <c r="E488" s="1" t="s">
        <v>14</v>
      </c>
      <c r="F488" s="1" t="s">
        <v>41</v>
      </c>
      <c r="G488" s="1" t="s">
        <v>82</v>
      </c>
      <c r="H488" s="1" t="s">
        <v>17</v>
      </c>
      <c r="I488" s="1" t="s">
        <v>1083</v>
      </c>
      <c r="J488" s="1" t="n">
        <v>2</v>
      </c>
      <c r="K488" s="1" t="s">
        <v>67</v>
      </c>
    </row>
    <row r="489" customFormat="false" ht="15" hidden="false" customHeight="true" outlineLevel="0" collapsed="false">
      <c r="A489" s="1" t="s">
        <v>1084</v>
      </c>
      <c r="B489" s="1" t="s">
        <v>496</v>
      </c>
      <c r="C489" s="1" t="s">
        <v>1085</v>
      </c>
      <c r="D489" s="1" t="n">
        <v>44.63</v>
      </c>
      <c r="E489" s="1" t="s">
        <v>14</v>
      </c>
      <c r="F489" s="1" t="s">
        <v>28</v>
      </c>
      <c r="G489" s="1" t="s">
        <v>70</v>
      </c>
      <c r="H489" s="1" t="s">
        <v>24</v>
      </c>
      <c r="I489" s="1" t="s">
        <v>1083</v>
      </c>
      <c r="J489" s="1" t="n">
        <v>3</v>
      </c>
      <c r="K489" s="1" t="s">
        <v>67</v>
      </c>
    </row>
    <row r="490" customFormat="false" ht="15" hidden="false" customHeight="true" outlineLevel="0" collapsed="false">
      <c r="A490" s="1" t="s">
        <v>1086</v>
      </c>
      <c r="B490" s="1" t="s">
        <v>145</v>
      </c>
      <c r="C490" s="1" t="s">
        <v>1087</v>
      </c>
      <c r="D490" s="1" t="n">
        <v>27.15</v>
      </c>
      <c r="E490" s="1" t="s">
        <v>14</v>
      </c>
      <c r="F490" s="1" t="s">
        <v>15</v>
      </c>
      <c r="G490" s="1" t="s">
        <v>70</v>
      </c>
      <c r="H490" s="1" t="s">
        <v>17</v>
      </c>
      <c r="I490" s="1" t="s">
        <v>1083</v>
      </c>
      <c r="J490" s="1" t="n">
        <v>7</v>
      </c>
      <c r="K490" s="1" t="s">
        <v>67</v>
      </c>
    </row>
    <row r="491" customFormat="false" ht="15" hidden="false" customHeight="true" outlineLevel="0" collapsed="false">
      <c r="A491" s="1" t="s">
        <v>1088</v>
      </c>
      <c r="B491" s="1" t="s">
        <v>47</v>
      </c>
      <c r="C491" s="1" t="s">
        <v>1089</v>
      </c>
      <c r="D491" s="1" t="n">
        <v>57.09</v>
      </c>
      <c r="E491" s="1" t="s">
        <v>14</v>
      </c>
      <c r="F491" s="1" t="s">
        <v>49</v>
      </c>
      <c r="G491" s="1" t="s">
        <v>82</v>
      </c>
      <c r="H491" s="1" t="s">
        <v>24</v>
      </c>
      <c r="I491" s="1" t="s">
        <v>1083</v>
      </c>
      <c r="J491" s="1" t="n">
        <v>7</v>
      </c>
      <c r="K491" s="1" t="s">
        <v>67</v>
      </c>
    </row>
    <row r="492" customFormat="false" ht="15" hidden="false" customHeight="true" outlineLevel="0" collapsed="false">
      <c r="A492" s="1" t="s">
        <v>1090</v>
      </c>
      <c r="B492" s="1" t="s">
        <v>659</v>
      </c>
      <c r="C492" s="1" t="s">
        <v>1091</v>
      </c>
      <c r="D492" s="1" t="n">
        <v>23.51</v>
      </c>
      <c r="E492" s="1" t="s">
        <v>14</v>
      </c>
      <c r="F492" s="1" t="s">
        <v>15</v>
      </c>
      <c r="G492" s="1" t="s">
        <v>16</v>
      </c>
      <c r="H492" s="1" t="s">
        <v>37</v>
      </c>
      <c r="I492" s="1" t="s">
        <v>1083</v>
      </c>
      <c r="J492" s="1" t="n">
        <v>10</v>
      </c>
      <c r="K492" s="1" t="s">
        <v>67</v>
      </c>
    </row>
    <row r="493" customFormat="false" ht="15" hidden="false" customHeight="true" outlineLevel="0" collapsed="false">
      <c r="A493" s="1" t="s">
        <v>1092</v>
      </c>
      <c r="B493" s="1" t="s">
        <v>101</v>
      </c>
      <c r="C493" s="1" t="s">
        <v>1093</v>
      </c>
      <c r="D493" s="1" t="n">
        <v>2137.64</v>
      </c>
      <c r="E493" s="1" t="s">
        <v>14</v>
      </c>
      <c r="F493" s="1" t="s">
        <v>49</v>
      </c>
      <c r="G493" s="1" t="s">
        <v>86</v>
      </c>
      <c r="H493" s="1" t="s">
        <v>37</v>
      </c>
      <c r="I493" s="1" t="s">
        <v>1083</v>
      </c>
      <c r="J493" s="1" t="n">
        <v>11</v>
      </c>
      <c r="K493" s="1" t="s">
        <v>67</v>
      </c>
    </row>
    <row r="494" customFormat="false" ht="15" hidden="false" customHeight="true" outlineLevel="0" collapsed="false">
      <c r="A494" s="1" t="s">
        <v>1094</v>
      </c>
      <c r="B494" s="1" t="s">
        <v>61</v>
      </c>
      <c r="C494" s="1" t="s">
        <v>1095</v>
      </c>
      <c r="D494" s="1" t="n">
        <v>79.69</v>
      </c>
      <c r="E494" s="1" t="s">
        <v>14</v>
      </c>
      <c r="F494" s="1" t="s">
        <v>56</v>
      </c>
      <c r="G494" s="1" t="s">
        <v>36</v>
      </c>
      <c r="H494" s="1" t="s">
        <v>24</v>
      </c>
      <c r="I494" s="1" t="s">
        <v>1083</v>
      </c>
      <c r="J494" s="1" t="n">
        <v>11</v>
      </c>
      <c r="K494" s="1" t="s">
        <v>67</v>
      </c>
    </row>
    <row r="495" customFormat="false" ht="15" hidden="false" customHeight="true" outlineLevel="0" collapsed="false">
      <c r="A495" s="1" t="s">
        <v>1096</v>
      </c>
      <c r="B495" s="1" t="s">
        <v>199</v>
      </c>
      <c r="C495" s="1" t="s">
        <v>1097</v>
      </c>
      <c r="D495" s="1" t="n">
        <v>35.42</v>
      </c>
      <c r="E495" s="1" t="s">
        <v>14</v>
      </c>
      <c r="F495" s="1" t="s">
        <v>41</v>
      </c>
      <c r="G495" s="1" t="s">
        <v>23</v>
      </c>
      <c r="H495" s="1" t="s">
        <v>17</v>
      </c>
      <c r="I495" s="1" t="s">
        <v>1083</v>
      </c>
      <c r="J495" s="1" t="n">
        <v>12</v>
      </c>
      <c r="K495" s="1" t="s">
        <v>67</v>
      </c>
    </row>
    <row r="496" customFormat="false" ht="15" hidden="false" customHeight="true" outlineLevel="0" collapsed="false">
      <c r="A496" s="1" t="s">
        <v>1098</v>
      </c>
      <c r="B496" s="1" t="s">
        <v>125</v>
      </c>
      <c r="C496" s="1" t="s">
        <v>1099</v>
      </c>
      <c r="D496" s="1" t="n">
        <v>91.18</v>
      </c>
      <c r="E496" s="1" t="s">
        <v>14</v>
      </c>
      <c r="F496" s="1" t="s">
        <v>28</v>
      </c>
      <c r="G496" s="1" t="s">
        <v>86</v>
      </c>
      <c r="H496" s="1" t="s">
        <v>24</v>
      </c>
      <c r="I496" s="1" t="s">
        <v>1083</v>
      </c>
      <c r="J496" s="1" t="n">
        <v>13</v>
      </c>
      <c r="K496" s="1" t="s">
        <v>67</v>
      </c>
    </row>
    <row r="497" customFormat="false" ht="15" hidden="false" customHeight="true" outlineLevel="0" collapsed="false">
      <c r="A497" s="1" t="s">
        <v>1100</v>
      </c>
      <c r="B497" s="1" t="s">
        <v>34</v>
      </c>
      <c r="C497" s="1" t="s">
        <v>1101</v>
      </c>
      <c r="D497" s="1" t="n">
        <v>128.36</v>
      </c>
      <c r="E497" s="1" t="s">
        <v>14</v>
      </c>
      <c r="F497" s="1" t="s">
        <v>15</v>
      </c>
      <c r="G497" s="1" t="s">
        <v>82</v>
      </c>
      <c r="H497" s="1" t="s">
        <v>24</v>
      </c>
      <c r="I497" s="1" t="s">
        <v>1083</v>
      </c>
      <c r="J497" s="1" t="n">
        <v>16</v>
      </c>
      <c r="K497" s="1" t="s">
        <v>67</v>
      </c>
    </row>
    <row r="498" customFormat="false" ht="15" hidden="false" customHeight="true" outlineLevel="0" collapsed="false">
      <c r="A498" s="1" t="s">
        <v>1102</v>
      </c>
      <c r="B498" s="1" t="s">
        <v>58</v>
      </c>
      <c r="C498" s="1" t="s">
        <v>1103</v>
      </c>
      <c r="D498" s="1" t="n">
        <v>54.02</v>
      </c>
      <c r="E498" s="1" t="s">
        <v>14</v>
      </c>
      <c r="F498" s="1" t="s">
        <v>15</v>
      </c>
      <c r="G498" s="1" t="s">
        <v>82</v>
      </c>
      <c r="H498" s="1" t="s">
        <v>37</v>
      </c>
      <c r="I498" s="1" t="s">
        <v>1083</v>
      </c>
      <c r="J498" s="1" t="n">
        <v>17</v>
      </c>
      <c r="K498" s="1" t="s">
        <v>67</v>
      </c>
    </row>
    <row r="499" customFormat="false" ht="15" hidden="false" customHeight="true" outlineLevel="0" collapsed="false">
      <c r="A499" s="1" t="s">
        <v>1104</v>
      </c>
      <c r="B499" s="1" t="s">
        <v>196</v>
      </c>
      <c r="C499" s="1" t="s">
        <v>1105</v>
      </c>
      <c r="D499" s="1" t="n">
        <v>71.78</v>
      </c>
      <c r="E499" s="1" t="s">
        <v>14</v>
      </c>
      <c r="F499" s="1" t="s">
        <v>15</v>
      </c>
      <c r="G499" s="1" t="s">
        <v>29</v>
      </c>
      <c r="H499" s="1" t="s">
        <v>37</v>
      </c>
      <c r="I499" s="1" t="s">
        <v>1083</v>
      </c>
      <c r="J499" s="1" t="n">
        <v>21</v>
      </c>
      <c r="K499" s="1" t="s">
        <v>67</v>
      </c>
    </row>
    <row r="500" customFormat="false" ht="15" hidden="false" customHeight="true" outlineLevel="0" collapsed="false">
      <c r="A500" s="1" t="s">
        <v>1106</v>
      </c>
      <c r="B500" s="1" t="s">
        <v>58</v>
      </c>
      <c r="C500" s="1" t="s">
        <v>1107</v>
      </c>
      <c r="D500" s="1" t="n">
        <v>54.42</v>
      </c>
      <c r="E500" s="1" t="s">
        <v>14</v>
      </c>
      <c r="F500" s="1" t="s">
        <v>15</v>
      </c>
      <c r="G500" s="1" t="s">
        <v>16</v>
      </c>
      <c r="H500" s="1" t="s">
        <v>24</v>
      </c>
      <c r="I500" s="1" t="s">
        <v>1108</v>
      </c>
      <c r="J500" s="1" t="n">
        <v>2</v>
      </c>
      <c r="K500" s="1" t="s">
        <v>123</v>
      </c>
    </row>
    <row r="501" customFormat="false" ht="15" hidden="false" customHeight="true" outlineLevel="0" collapsed="false">
      <c r="A501" s="1" t="s">
        <v>1109</v>
      </c>
      <c r="B501" s="1" t="s">
        <v>286</v>
      </c>
      <c r="C501" s="1" t="s">
        <v>1110</v>
      </c>
      <c r="D501" s="1" t="n">
        <v>79.61</v>
      </c>
      <c r="E501" s="1" t="s">
        <v>14</v>
      </c>
      <c r="F501" s="1" t="s">
        <v>15</v>
      </c>
      <c r="G501" s="1" t="s">
        <v>86</v>
      </c>
      <c r="H501" s="1" t="s">
        <v>24</v>
      </c>
      <c r="I501" s="1" t="s">
        <v>1108</v>
      </c>
      <c r="J501" s="1" t="n">
        <v>6</v>
      </c>
      <c r="K501" s="1" t="s">
        <v>123</v>
      </c>
    </row>
    <row r="502" customFormat="false" ht="15" hidden="false" customHeight="true" outlineLevel="0" collapsed="false">
      <c r="A502" s="1" t="s">
        <v>1111</v>
      </c>
      <c r="B502" s="1" t="s">
        <v>44</v>
      </c>
      <c r="C502" s="1" t="s">
        <v>1112</v>
      </c>
      <c r="D502" s="1" t="n">
        <v>89.05</v>
      </c>
      <c r="E502" s="1" t="s">
        <v>14</v>
      </c>
      <c r="F502" s="1" t="s">
        <v>28</v>
      </c>
      <c r="G502" s="1" t="s">
        <v>23</v>
      </c>
      <c r="H502" s="1" t="s">
        <v>24</v>
      </c>
      <c r="I502" s="1" t="s">
        <v>1108</v>
      </c>
      <c r="J502" s="1" t="n">
        <v>9</v>
      </c>
      <c r="K502" s="1" t="s">
        <v>123</v>
      </c>
    </row>
    <row r="503" customFormat="false" ht="15" hidden="false" customHeight="true" outlineLevel="0" collapsed="false">
      <c r="A503" s="1" t="s">
        <v>1113</v>
      </c>
      <c r="B503" s="1" t="s">
        <v>196</v>
      </c>
      <c r="C503" s="1" t="s">
        <v>1114</v>
      </c>
      <c r="D503" s="1" t="n">
        <v>115.38</v>
      </c>
      <c r="E503" s="1" t="s">
        <v>14</v>
      </c>
      <c r="F503" s="1" t="s">
        <v>15</v>
      </c>
      <c r="G503" s="1" t="s">
        <v>29</v>
      </c>
      <c r="H503" s="1" t="s">
        <v>24</v>
      </c>
      <c r="I503" s="1" t="s">
        <v>1108</v>
      </c>
      <c r="J503" s="1" t="n">
        <v>9</v>
      </c>
      <c r="K503" s="1" t="s">
        <v>123</v>
      </c>
    </row>
    <row r="504" customFormat="false" ht="15" hidden="false" customHeight="true" outlineLevel="0" collapsed="false">
      <c r="A504" s="1" t="s">
        <v>1115</v>
      </c>
      <c r="B504" s="1" t="s">
        <v>101</v>
      </c>
      <c r="C504" s="1" t="s">
        <v>1116</v>
      </c>
      <c r="D504" s="1" t="n">
        <v>50.21</v>
      </c>
      <c r="E504" s="1" t="s">
        <v>14</v>
      </c>
      <c r="F504" s="1" t="s">
        <v>49</v>
      </c>
      <c r="G504" s="1" t="s">
        <v>29</v>
      </c>
      <c r="H504" s="1" t="s">
        <v>17</v>
      </c>
      <c r="I504" s="1" t="s">
        <v>1108</v>
      </c>
      <c r="J504" s="1" t="n">
        <v>10</v>
      </c>
      <c r="K504" s="1" t="s">
        <v>123</v>
      </c>
    </row>
    <row r="505" customFormat="false" ht="15" hidden="false" customHeight="true" outlineLevel="0" collapsed="false">
      <c r="A505" s="1" t="s">
        <v>1117</v>
      </c>
      <c r="B505" s="1" t="s">
        <v>199</v>
      </c>
      <c r="C505" s="1" t="s">
        <v>1118</v>
      </c>
      <c r="D505" s="1" t="n">
        <v>328.23</v>
      </c>
      <c r="E505" s="1" t="s">
        <v>14</v>
      </c>
      <c r="F505" s="1" t="s">
        <v>41</v>
      </c>
      <c r="G505" s="1" t="s">
        <v>23</v>
      </c>
      <c r="H505" s="1" t="s">
        <v>17</v>
      </c>
      <c r="I505" s="1" t="s">
        <v>1108</v>
      </c>
      <c r="J505" s="1" t="n">
        <v>11</v>
      </c>
      <c r="K505" s="1" t="s">
        <v>123</v>
      </c>
    </row>
    <row r="506" customFormat="false" ht="15" hidden="false" customHeight="true" outlineLevel="0" collapsed="false">
      <c r="A506" s="1" t="s">
        <v>1119</v>
      </c>
      <c r="B506" s="1" t="s">
        <v>120</v>
      </c>
      <c r="C506" s="1" t="s">
        <v>1120</v>
      </c>
      <c r="D506" s="1" t="n">
        <v>69.57</v>
      </c>
      <c r="E506" s="1" t="s">
        <v>14</v>
      </c>
      <c r="F506" s="1" t="s">
        <v>49</v>
      </c>
      <c r="G506" s="1" t="s">
        <v>86</v>
      </c>
      <c r="H506" s="1" t="s">
        <v>24</v>
      </c>
      <c r="I506" s="1" t="s">
        <v>1108</v>
      </c>
      <c r="J506" s="1" t="n">
        <v>11</v>
      </c>
      <c r="K506" s="1" t="s">
        <v>123</v>
      </c>
    </row>
    <row r="507" customFormat="false" ht="15" hidden="false" customHeight="true" outlineLevel="0" collapsed="false">
      <c r="A507" s="1" t="s">
        <v>1121</v>
      </c>
      <c r="B507" s="1" t="s">
        <v>302</v>
      </c>
      <c r="C507" s="1" t="s">
        <v>1122</v>
      </c>
      <c r="D507" s="1" t="n">
        <v>6.7</v>
      </c>
      <c r="E507" s="1" t="s">
        <v>14</v>
      </c>
      <c r="F507" s="1" t="s">
        <v>28</v>
      </c>
      <c r="G507" s="1" t="s">
        <v>42</v>
      </c>
      <c r="H507" s="1" t="s">
        <v>37</v>
      </c>
      <c r="I507" s="1" t="s">
        <v>1108</v>
      </c>
      <c r="J507" s="1" t="n">
        <v>11</v>
      </c>
      <c r="K507" s="1" t="s">
        <v>123</v>
      </c>
    </row>
    <row r="508" customFormat="false" ht="15" hidden="false" customHeight="true" outlineLevel="0" collapsed="false">
      <c r="A508" s="1" t="s">
        <v>1123</v>
      </c>
      <c r="B508" s="1" t="s">
        <v>240</v>
      </c>
      <c r="C508" s="1" t="s">
        <v>1124</v>
      </c>
      <c r="D508" s="1" t="n">
        <v>31.57</v>
      </c>
      <c r="E508" s="1" t="s">
        <v>14</v>
      </c>
      <c r="F508" s="1" t="s">
        <v>56</v>
      </c>
      <c r="G508" s="1" t="s">
        <v>29</v>
      </c>
      <c r="H508" s="1" t="s">
        <v>37</v>
      </c>
      <c r="I508" s="1" t="s">
        <v>1108</v>
      </c>
      <c r="J508" s="1" t="n">
        <v>12</v>
      </c>
      <c r="K508" s="1" t="s">
        <v>123</v>
      </c>
    </row>
    <row r="509" customFormat="false" ht="15" hidden="false" customHeight="true" outlineLevel="0" collapsed="false">
      <c r="A509" s="1" t="s">
        <v>1125</v>
      </c>
      <c r="B509" s="1" t="s">
        <v>44</v>
      </c>
      <c r="C509" s="1" t="s">
        <v>1126</v>
      </c>
      <c r="D509" s="1" t="n">
        <v>27.32</v>
      </c>
      <c r="E509" s="1" t="s">
        <v>14</v>
      </c>
      <c r="F509" s="1" t="s">
        <v>28</v>
      </c>
      <c r="G509" s="1" t="s">
        <v>23</v>
      </c>
      <c r="H509" s="1" t="s">
        <v>17</v>
      </c>
      <c r="I509" s="1" t="s">
        <v>1108</v>
      </c>
      <c r="J509" s="1" t="n">
        <v>13</v>
      </c>
      <c r="K509" s="1" t="s">
        <v>123</v>
      </c>
    </row>
    <row r="510" customFormat="false" ht="15" hidden="false" customHeight="true" outlineLevel="0" collapsed="false">
      <c r="A510" s="1" t="s">
        <v>1127</v>
      </c>
      <c r="B510" s="1" t="s">
        <v>93</v>
      </c>
      <c r="C510" s="1" t="s">
        <v>1128</v>
      </c>
      <c r="D510" s="1" t="n">
        <v>74.64</v>
      </c>
      <c r="E510" s="1" t="s">
        <v>14</v>
      </c>
      <c r="F510" s="1" t="s">
        <v>28</v>
      </c>
      <c r="G510" s="1" t="s">
        <v>29</v>
      </c>
      <c r="H510" s="1" t="s">
        <v>17</v>
      </c>
      <c r="I510" s="1" t="s">
        <v>1108</v>
      </c>
      <c r="J510" s="1" t="n">
        <v>13</v>
      </c>
      <c r="K510" s="1" t="s">
        <v>123</v>
      </c>
    </row>
    <row r="511" customFormat="false" ht="15" hidden="false" customHeight="true" outlineLevel="0" collapsed="false">
      <c r="A511" s="1" t="s">
        <v>1129</v>
      </c>
      <c r="B511" s="1" t="s">
        <v>148</v>
      </c>
      <c r="C511" s="1" t="s">
        <v>1130</v>
      </c>
      <c r="D511" s="1" t="n">
        <v>159.46</v>
      </c>
      <c r="E511" s="1" t="s">
        <v>14</v>
      </c>
      <c r="F511" s="1" t="s">
        <v>41</v>
      </c>
      <c r="G511" s="1" t="s">
        <v>70</v>
      </c>
      <c r="H511" s="1" t="s">
        <v>24</v>
      </c>
      <c r="I511" s="1" t="s">
        <v>1108</v>
      </c>
      <c r="J511" s="1" t="n">
        <v>14</v>
      </c>
      <c r="K511" s="1" t="s">
        <v>123</v>
      </c>
    </row>
    <row r="512" customFormat="false" ht="15" hidden="false" customHeight="true" outlineLevel="0" collapsed="false">
      <c r="A512" s="1" t="s">
        <v>1131</v>
      </c>
      <c r="B512" s="1" t="s">
        <v>394</v>
      </c>
      <c r="C512" s="1" t="s">
        <v>1132</v>
      </c>
      <c r="D512" s="1" t="n">
        <v>16.43</v>
      </c>
      <c r="E512" s="1" t="s">
        <v>14</v>
      </c>
      <c r="F512" s="1" t="s">
        <v>56</v>
      </c>
      <c r="G512" s="1" t="s">
        <v>16</v>
      </c>
      <c r="H512" s="1" t="s">
        <v>24</v>
      </c>
      <c r="I512" s="1" t="s">
        <v>1108</v>
      </c>
      <c r="J512" s="1" t="n">
        <v>14</v>
      </c>
      <c r="K512" s="1" t="s">
        <v>123</v>
      </c>
    </row>
    <row r="513" customFormat="false" ht="15" hidden="false" customHeight="true" outlineLevel="0" collapsed="false">
      <c r="A513" s="1" t="s">
        <v>1133</v>
      </c>
      <c r="B513" s="1" t="s">
        <v>167</v>
      </c>
      <c r="C513" s="1" t="s">
        <v>1134</v>
      </c>
      <c r="D513" s="1" t="n">
        <v>2000</v>
      </c>
      <c r="E513" s="1" t="s">
        <v>14</v>
      </c>
      <c r="F513" s="1" t="s">
        <v>28</v>
      </c>
      <c r="G513" s="1" t="s">
        <v>23</v>
      </c>
      <c r="H513" s="1" t="s">
        <v>276</v>
      </c>
      <c r="I513" s="1" t="s">
        <v>1108</v>
      </c>
      <c r="J513" s="1" t="n">
        <v>15</v>
      </c>
      <c r="K513" s="1" t="s">
        <v>123</v>
      </c>
    </row>
    <row r="514" customFormat="false" ht="15" hidden="false" customHeight="true" outlineLevel="0" collapsed="false">
      <c r="A514" s="1" t="s">
        <v>1135</v>
      </c>
      <c r="B514" s="1" t="s">
        <v>84</v>
      </c>
      <c r="C514" s="1" t="s">
        <v>1136</v>
      </c>
      <c r="D514" s="1" t="n">
        <v>117.98</v>
      </c>
      <c r="E514" s="1" t="s">
        <v>14</v>
      </c>
      <c r="F514" s="1" t="s">
        <v>56</v>
      </c>
      <c r="G514" s="1" t="s">
        <v>23</v>
      </c>
      <c r="H514" s="1" t="s">
        <v>37</v>
      </c>
      <c r="I514" s="1" t="s">
        <v>1108</v>
      </c>
      <c r="J514" s="1" t="n">
        <v>18</v>
      </c>
      <c r="K514" s="1" t="s">
        <v>123</v>
      </c>
    </row>
    <row r="515" customFormat="false" ht="15" hidden="false" customHeight="true" outlineLevel="0" collapsed="false">
      <c r="A515" s="1" t="s">
        <v>1137</v>
      </c>
      <c r="B515" s="1" t="s">
        <v>72</v>
      </c>
      <c r="C515" s="1" t="s">
        <v>1138</v>
      </c>
      <c r="D515" s="1" t="n">
        <v>580.03</v>
      </c>
      <c r="E515" s="1" t="s">
        <v>14</v>
      </c>
      <c r="F515" s="1" t="s">
        <v>49</v>
      </c>
      <c r="G515" s="1" t="s">
        <v>86</v>
      </c>
      <c r="H515" s="1" t="s">
        <v>17</v>
      </c>
      <c r="I515" s="1" t="s">
        <v>1139</v>
      </c>
      <c r="J515" s="1" t="n">
        <v>0</v>
      </c>
      <c r="K515" s="1" t="s">
        <v>151</v>
      </c>
    </row>
    <row r="516" customFormat="false" ht="15" hidden="false" customHeight="true" outlineLevel="0" collapsed="false">
      <c r="A516" s="1" t="s">
        <v>1140</v>
      </c>
      <c r="B516" s="1" t="s">
        <v>113</v>
      </c>
      <c r="C516" s="1" t="s">
        <v>1141</v>
      </c>
      <c r="D516" s="1" t="n">
        <v>64.75</v>
      </c>
      <c r="E516" s="1" t="s">
        <v>14</v>
      </c>
      <c r="F516" s="1" t="s">
        <v>41</v>
      </c>
      <c r="G516" s="1" t="s">
        <v>16</v>
      </c>
      <c r="H516" s="1" t="s">
        <v>37</v>
      </c>
      <c r="I516" s="1" t="s">
        <v>1139</v>
      </c>
      <c r="J516" s="1" t="n">
        <v>4</v>
      </c>
      <c r="K516" s="1" t="s">
        <v>151</v>
      </c>
    </row>
    <row r="517" customFormat="false" ht="15" hidden="false" customHeight="true" outlineLevel="0" collapsed="false">
      <c r="A517" s="1" t="s">
        <v>1142</v>
      </c>
      <c r="B517" s="1" t="s">
        <v>58</v>
      </c>
      <c r="C517" s="1" t="s">
        <v>1143</v>
      </c>
      <c r="D517" s="1" t="n">
        <v>262.62</v>
      </c>
      <c r="E517" s="1" t="s">
        <v>14</v>
      </c>
      <c r="F517" s="1" t="s">
        <v>15</v>
      </c>
      <c r="G517" s="1" t="s">
        <v>29</v>
      </c>
      <c r="H517" s="1" t="s">
        <v>17</v>
      </c>
      <c r="I517" s="1" t="s">
        <v>1139</v>
      </c>
      <c r="J517" s="1" t="n">
        <v>6</v>
      </c>
      <c r="K517" s="1" t="s">
        <v>151</v>
      </c>
    </row>
    <row r="518" customFormat="false" ht="15" hidden="false" customHeight="true" outlineLevel="0" collapsed="false">
      <c r="A518" s="1" t="s">
        <v>1144</v>
      </c>
      <c r="B518" s="1" t="s">
        <v>235</v>
      </c>
      <c r="C518" s="1" t="s">
        <v>1145</v>
      </c>
      <c r="D518" s="1" t="n">
        <v>131.2</v>
      </c>
      <c r="E518" s="1" t="s">
        <v>14</v>
      </c>
      <c r="F518" s="1" t="s">
        <v>41</v>
      </c>
      <c r="G518" s="1" t="s">
        <v>36</v>
      </c>
      <c r="H518" s="1" t="s">
        <v>24</v>
      </c>
      <c r="I518" s="1" t="s">
        <v>1139</v>
      </c>
      <c r="J518" s="1" t="n">
        <v>7</v>
      </c>
      <c r="K518" s="1" t="s">
        <v>151</v>
      </c>
    </row>
    <row r="519" customFormat="false" ht="15" hidden="false" customHeight="true" outlineLevel="0" collapsed="false">
      <c r="A519" s="1" t="s">
        <v>1146</v>
      </c>
      <c r="B519" s="1" t="s">
        <v>286</v>
      </c>
      <c r="C519" s="1" t="s">
        <v>1147</v>
      </c>
      <c r="D519" s="1" t="n">
        <v>93.52</v>
      </c>
      <c r="E519" s="1" t="s">
        <v>14</v>
      </c>
      <c r="F519" s="1" t="s">
        <v>15</v>
      </c>
      <c r="G519" s="1" t="s">
        <v>42</v>
      </c>
      <c r="H519" s="1" t="s">
        <v>17</v>
      </c>
      <c r="I519" s="1" t="s">
        <v>1139</v>
      </c>
      <c r="J519" s="1" t="n">
        <v>7</v>
      </c>
      <c r="K519" s="1" t="s">
        <v>151</v>
      </c>
    </row>
    <row r="520" customFormat="false" ht="15" hidden="false" customHeight="true" outlineLevel="0" collapsed="false">
      <c r="A520" s="1" t="s">
        <v>1148</v>
      </c>
      <c r="B520" s="1" t="s">
        <v>240</v>
      </c>
      <c r="C520" s="1" t="s">
        <v>1149</v>
      </c>
      <c r="D520" s="1" t="n">
        <v>18.94</v>
      </c>
      <c r="E520" s="1" t="s">
        <v>14</v>
      </c>
      <c r="F520" s="1" t="s">
        <v>56</v>
      </c>
      <c r="G520" s="1" t="s">
        <v>16</v>
      </c>
      <c r="H520" s="1" t="s">
        <v>37</v>
      </c>
      <c r="I520" s="1" t="s">
        <v>1139</v>
      </c>
      <c r="J520" s="1" t="n">
        <v>8</v>
      </c>
      <c r="K520" s="1" t="s">
        <v>151</v>
      </c>
    </row>
    <row r="521" customFormat="false" ht="15" hidden="false" customHeight="true" outlineLevel="0" collapsed="false">
      <c r="A521" s="1" t="s">
        <v>1150</v>
      </c>
      <c r="B521" s="1" t="s">
        <v>183</v>
      </c>
      <c r="C521" s="1" t="s">
        <v>1151</v>
      </c>
      <c r="D521" s="1" t="n">
        <v>102.1</v>
      </c>
      <c r="E521" s="1" t="s">
        <v>14</v>
      </c>
      <c r="F521" s="1" t="s">
        <v>15</v>
      </c>
      <c r="G521" s="1" t="s">
        <v>23</v>
      </c>
      <c r="H521" s="1" t="s">
        <v>24</v>
      </c>
      <c r="I521" s="1" t="s">
        <v>1139</v>
      </c>
      <c r="J521" s="1" t="n">
        <v>11</v>
      </c>
      <c r="K521" s="1" t="s">
        <v>151</v>
      </c>
    </row>
    <row r="522" customFormat="false" ht="15" hidden="false" customHeight="true" outlineLevel="0" collapsed="false">
      <c r="A522" s="1" t="s">
        <v>1152</v>
      </c>
      <c r="B522" s="1" t="s">
        <v>140</v>
      </c>
      <c r="C522" s="1" t="s">
        <v>1153</v>
      </c>
      <c r="D522" s="1" t="n">
        <v>104.67</v>
      </c>
      <c r="E522" s="1" t="s">
        <v>14</v>
      </c>
      <c r="F522" s="1" t="s">
        <v>41</v>
      </c>
      <c r="G522" s="1" t="s">
        <v>82</v>
      </c>
      <c r="H522" s="1" t="s">
        <v>37</v>
      </c>
      <c r="I522" s="1" t="s">
        <v>1139</v>
      </c>
      <c r="J522" s="1" t="n">
        <v>11</v>
      </c>
      <c r="K522" s="1" t="s">
        <v>151</v>
      </c>
    </row>
    <row r="523" customFormat="false" ht="15" hidden="false" customHeight="true" outlineLevel="0" collapsed="false">
      <c r="A523" s="1" t="s">
        <v>1154</v>
      </c>
      <c r="B523" s="1" t="s">
        <v>162</v>
      </c>
      <c r="C523" s="1" t="s">
        <v>1155</v>
      </c>
      <c r="D523" s="1" t="n">
        <v>9.12</v>
      </c>
      <c r="E523" s="1" t="s">
        <v>14</v>
      </c>
      <c r="F523" s="1" t="s">
        <v>49</v>
      </c>
      <c r="G523" s="1" t="s">
        <v>36</v>
      </c>
      <c r="H523" s="1" t="s">
        <v>17</v>
      </c>
      <c r="I523" s="1" t="s">
        <v>1139</v>
      </c>
      <c r="J523" s="1" t="n">
        <v>14</v>
      </c>
      <c r="K523" s="1" t="s">
        <v>151</v>
      </c>
    </row>
    <row r="524" customFormat="false" ht="15" hidden="false" customHeight="true" outlineLevel="0" collapsed="false">
      <c r="A524" s="1" t="s">
        <v>1156</v>
      </c>
      <c r="B524" s="1" t="s">
        <v>394</v>
      </c>
      <c r="C524" s="1" t="s">
        <v>1157</v>
      </c>
      <c r="D524" s="1" t="n">
        <v>48.7</v>
      </c>
      <c r="E524" s="1" t="s">
        <v>14</v>
      </c>
      <c r="F524" s="1" t="s">
        <v>56</v>
      </c>
      <c r="G524" s="1" t="s">
        <v>36</v>
      </c>
      <c r="H524" s="1" t="s">
        <v>24</v>
      </c>
      <c r="I524" s="1" t="s">
        <v>1139</v>
      </c>
      <c r="J524" s="1" t="n">
        <v>15</v>
      </c>
      <c r="K524" s="1" t="s">
        <v>151</v>
      </c>
    </row>
    <row r="525" customFormat="false" ht="15" hidden="false" customHeight="true" outlineLevel="0" collapsed="false">
      <c r="A525" s="1" t="s">
        <v>1158</v>
      </c>
      <c r="B525" s="1" t="s">
        <v>93</v>
      </c>
      <c r="C525" s="1" t="s">
        <v>1159</v>
      </c>
      <c r="D525" s="1" t="n">
        <v>88.93</v>
      </c>
      <c r="E525" s="1" t="s">
        <v>14</v>
      </c>
      <c r="F525" s="1" t="s">
        <v>28</v>
      </c>
      <c r="G525" s="1" t="s">
        <v>82</v>
      </c>
      <c r="H525" s="1" t="s">
        <v>37</v>
      </c>
      <c r="I525" s="1" t="s">
        <v>1139</v>
      </c>
      <c r="J525" s="1" t="n">
        <v>20</v>
      </c>
      <c r="K525" s="1" t="s">
        <v>151</v>
      </c>
    </row>
    <row r="526" customFormat="false" ht="15" hidden="false" customHeight="true" outlineLevel="0" collapsed="false">
      <c r="A526" s="1" t="s">
        <v>1160</v>
      </c>
      <c r="B526" s="1" t="s">
        <v>140</v>
      </c>
      <c r="C526" s="1" t="s">
        <v>1161</v>
      </c>
      <c r="D526" s="1" t="n">
        <v>118.48</v>
      </c>
      <c r="E526" s="1" t="s">
        <v>14</v>
      </c>
      <c r="F526" s="1" t="s">
        <v>41</v>
      </c>
      <c r="G526" s="1" t="s">
        <v>29</v>
      </c>
      <c r="H526" s="1" t="s">
        <v>17</v>
      </c>
      <c r="I526" s="1" t="s">
        <v>1139</v>
      </c>
      <c r="J526" s="1" t="n">
        <v>23</v>
      </c>
      <c r="K526" s="1" t="s">
        <v>151</v>
      </c>
    </row>
    <row r="527" customFormat="false" ht="15" hidden="false" customHeight="true" outlineLevel="0" collapsed="false">
      <c r="A527" s="1" t="s">
        <v>1162</v>
      </c>
      <c r="B527" s="1" t="s">
        <v>120</v>
      </c>
      <c r="C527" s="1" t="s">
        <v>1163</v>
      </c>
      <c r="D527" s="1" t="n">
        <v>29.71</v>
      </c>
      <c r="E527" s="1" t="s">
        <v>14</v>
      </c>
      <c r="F527" s="1" t="s">
        <v>49</v>
      </c>
      <c r="G527" s="1" t="s">
        <v>29</v>
      </c>
      <c r="H527" s="1" t="s">
        <v>24</v>
      </c>
      <c r="I527" s="1" t="s">
        <v>1164</v>
      </c>
      <c r="J527" s="1" t="n">
        <v>7</v>
      </c>
      <c r="K527" s="1" t="s">
        <v>186</v>
      </c>
    </row>
    <row r="528" customFormat="false" ht="15" hidden="false" customHeight="true" outlineLevel="0" collapsed="false">
      <c r="A528" s="1" t="s">
        <v>1165</v>
      </c>
      <c r="B528" s="1" t="s">
        <v>321</v>
      </c>
      <c r="C528" s="1" t="s">
        <v>1166</v>
      </c>
      <c r="D528" s="1" t="n">
        <v>87.93</v>
      </c>
      <c r="E528" s="1" t="s">
        <v>14</v>
      </c>
      <c r="F528" s="1" t="s">
        <v>15</v>
      </c>
      <c r="G528" s="1" t="s">
        <v>36</v>
      </c>
      <c r="H528" s="1" t="s">
        <v>17</v>
      </c>
      <c r="I528" s="1" t="s">
        <v>1164</v>
      </c>
      <c r="J528" s="1" t="n">
        <v>7</v>
      </c>
      <c r="K528" s="1" t="s">
        <v>186</v>
      </c>
    </row>
    <row r="529" customFormat="false" ht="15" hidden="false" customHeight="true" outlineLevel="0" collapsed="false">
      <c r="A529" s="1" t="s">
        <v>1167</v>
      </c>
      <c r="B529" s="1" t="s">
        <v>291</v>
      </c>
      <c r="C529" s="1" t="s">
        <v>1168</v>
      </c>
      <c r="D529" s="1" t="n">
        <v>83.47</v>
      </c>
      <c r="E529" s="1" t="s">
        <v>14</v>
      </c>
      <c r="F529" s="1" t="s">
        <v>28</v>
      </c>
      <c r="G529" s="1" t="s">
        <v>86</v>
      </c>
      <c r="H529" s="1" t="s">
        <v>24</v>
      </c>
      <c r="I529" s="1" t="s">
        <v>1164</v>
      </c>
      <c r="J529" s="1" t="n">
        <v>7</v>
      </c>
      <c r="K529" s="1" t="s">
        <v>186</v>
      </c>
    </row>
    <row r="530" customFormat="false" ht="15" hidden="false" customHeight="true" outlineLevel="0" collapsed="false">
      <c r="A530" s="1" t="s">
        <v>1169</v>
      </c>
      <c r="B530" s="1" t="s">
        <v>21</v>
      </c>
      <c r="C530" s="1" t="s">
        <v>1170</v>
      </c>
      <c r="D530" s="1" t="n">
        <v>454.74</v>
      </c>
      <c r="E530" s="1" t="s">
        <v>14</v>
      </c>
      <c r="F530" s="1" t="s">
        <v>15</v>
      </c>
      <c r="G530" s="1" t="s">
        <v>42</v>
      </c>
      <c r="H530" s="1" t="s">
        <v>37</v>
      </c>
      <c r="I530" s="1" t="s">
        <v>1164</v>
      </c>
      <c r="J530" s="1" t="n">
        <v>8</v>
      </c>
      <c r="K530" s="1" t="s">
        <v>186</v>
      </c>
    </row>
    <row r="531" customFormat="false" ht="15" hidden="false" customHeight="true" outlineLevel="0" collapsed="false">
      <c r="A531" s="1" t="s">
        <v>1171</v>
      </c>
      <c r="B531" s="1" t="s">
        <v>44</v>
      </c>
      <c r="C531" s="1" t="s">
        <v>1172</v>
      </c>
      <c r="D531" s="1" t="n">
        <v>9.6</v>
      </c>
      <c r="E531" s="1" t="s">
        <v>14</v>
      </c>
      <c r="F531" s="1" t="s">
        <v>28</v>
      </c>
      <c r="G531" s="1" t="s">
        <v>86</v>
      </c>
      <c r="H531" s="1" t="s">
        <v>37</v>
      </c>
      <c r="I531" s="1" t="s">
        <v>1164</v>
      </c>
      <c r="J531" s="1" t="n">
        <v>9</v>
      </c>
      <c r="K531" s="1" t="s">
        <v>186</v>
      </c>
    </row>
    <row r="532" customFormat="false" ht="15" hidden="false" customHeight="true" outlineLevel="0" collapsed="false">
      <c r="A532" s="1" t="s">
        <v>1173</v>
      </c>
      <c r="B532" s="1" t="s">
        <v>228</v>
      </c>
      <c r="C532" s="1" t="s">
        <v>1174</v>
      </c>
      <c r="D532" s="1" t="n">
        <v>62.85</v>
      </c>
      <c r="E532" s="1" t="s">
        <v>14</v>
      </c>
      <c r="F532" s="1" t="s">
        <v>28</v>
      </c>
      <c r="G532" s="1" t="s">
        <v>42</v>
      </c>
      <c r="H532" s="1" t="s">
        <v>17</v>
      </c>
      <c r="I532" s="1" t="s">
        <v>1164</v>
      </c>
      <c r="J532" s="1" t="n">
        <v>12</v>
      </c>
      <c r="K532" s="1" t="s">
        <v>186</v>
      </c>
    </row>
    <row r="533" customFormat="false" ht="15" hidden="false" customHeight="true" outlineLevel="0" collapsed="false">
      <c r="A533" s="1" t="s">
        <v>1175</v>
      </c>
      <c r="B533" s="1" t="s">
        <v>228</v>
      </c>
      <c r="C533" s="1" t="s">
        <v>1176</v>
      </c>
      <c r="D533" s="1" t="n">
        <v>83.05</v>
      </c>
      <c r="E533" s="1" t="s">
        <v>14</v>
      </c>
      <c r="F533" s="1" t="s">
        <v>28</v>
      </c>
      <c r="G533" s="1" t="s">
        <v>70</v>
      </c>
      <c r="H533" s="1" t="s">
        <v>37</v>
      </c>
      <c r="I533" s="1" t="s">
        <v>1164</v>
      </c>
      <c r="J533" s="1" t="n">
        <v>12</v>
      </c>
      <c r="K533" s="1" t="s">
        <v>186</v>
      </c>
    </row>
    <row r="534" customFormat="false" ht="15" hidden="false" customHeight="true" outlineLevel="0" collapsed="false">
      <c r="A534" s="1" t="s">
        <v>1177</v>
      </c>
      <c r="B534" s="1" t="s">
        <v>75</v>
      </c>
      <c r="C534" s="1" t="s">
        <v>1176</v>
      </c>
      <c r="D534" s="1" t="n">
        <v>13.93</v>
      </c>
      <c r="E534" s="1" t="s">
        <v>14</v>
      </c>
      <c r="F534" s="1" t="s">
        <v>15</v>
      </c>
      <c r="G534" s="1" t="s">
        <v>42</v>
      </c>
      <c r="H534" s="1" t="s">
        <v>37</v>
      </c>
      <c r="I534" s="1" t="s">
        <v>1164</v>
      </c>
      <c r="J534" s="1" t="n">
        <v>12</v>
      </c>
      <c r="K534" s="1" t="s">
        <v>186</v>
      </c>
    </row>
    <row r="535" customFormat="false" ht="15" hidden="false" customHeight="true" outlineLevel="0" collapsed="false">
      <c r="A535" s="1" t="s">
        <v>1178</v>
      </c>
      <c r="B535" s="1" t="s">
        <v>31</v>
      </c>
      <c r="C535" s="1" t="s">
        <v>1179</v>
      </c>
      <c r="D535" s="1" t="n">
        <v>112.79</v>
      </c>
      <c r="E535" s="1" t="s">
        <v>14</v>
      </c>
      <c r="F535" s="1" t="s">
        <v>15</v>
      </c>
      <c r="G535" s="1" t="s">
        <v>16</v>
      </c>
      <c r="H535" s="1" t="s">
        <v>37</v>
      </c>
      <c r="I535" s="1" t="s">
        <v>1164</v>
      </c>
      <c r="J535" s="1" t="n">
        <v>13</v>
      </c>
      <c r="K535" s="1" t="s">
        <v>186</v>
      </c>
    </row>
    <row r="536" customFormat="false" ht="15" hidden="false" customHeight="true" outlineLevel="0" collapsed="false">
      <c r="A536" s="1" t="s">
        <v>1180</v>
      </c>
      <c r="B536" s="1" t="s">
        <v>167</v>
      </c>
      <c r="C536" s="1" t="s">
        <v>1181</v>
      </c>
      <c r="D536" s="1" t="n">
        <v>41.91</v>
      </c>
      <c r="E536" s="1" t="s">
        <v>14</v>
      </c>
      <c r="F536" s="1" t="s">
        <v>28</v>
      </c>
      <c r="G536" s="1" t="s">
        <v>29</v>
      </c>
      <c r="H536" s="1" t="s">
        <v>37</v>
      </c>
      <c r="I536" s="1" t="s">
        <v>1164</v>
      </c>
      <c r="J536" s="1" t="n">
        <v>13</v>
      </c>
      <c r="K536" s="1" t="s">
        <v>186</v>
      </c>
    </row>
    <row r="537" customFormat="false" ht="15" hidden="false" customHeight="true" outlineLevel="0" collapsed="false">
      <c r="A537" s="1" t="s">
        <v>1182</v>
      </c>
      <c r="B537" s="1" t="s">
        <v>162</v>
      </c>
      <c r="C537" s="1" t="s">
        <v>1183</v>
      </c>
      <c r="D537" s="1" t="n">
        <v>301.51</v>
      </c>
      <c r="E537" s="1" t="s">
        <v>14</v>
      </c>
      <c r="F537" s="1" t="s">
        <v>49</v>
      </c>
      <c r="G537" s="1" t="s">
        <v>23</v>
      </c>
      <c r="H537" s="1" t="s">
        <v>37</v>
      </c>
      <c r="I537" s="1" t="s">
        <v>1164</v>
      </c>
      <c r="J537" s="1" t="n">
        <v>14</v>
      </c>
      <c r="K537" s="1" t="s">
        <v>186</v>
      </c>
    </row>
    <row r="538" customFormat="false" ht="15" hidden="false" customHeight="true" outlineLevel="0" collapsed="false">
      <c r="A538" s="1" t="s">
        <v>1184</v>
      </c>
      <c r="B538" s="1" t="s">
        <v>101</v>
      </c>
      <c r="C538" s="1" t="s">
        <v>1185</v>
      </c>
      <c r="D538" s="1" t="n">
        <v>71.79</v>
      </c>
      <c r="E538" s="1" t="s">
        <v>14</v>
      </c>
      <c r="F538" s="1" t="s">
        <v>49</v>
      </c>
      <c r="G538" s="1" t="s">
        <v>36</v>
      </c>
      <c r="H538" s="1" t="s">
        <v>17</v>
      </c>
      <c r="I538" s="1" t="s">
        <v>1164</v>
      </c>
      <c r="J538" s="1" t="n">
        <v>14</v>
      </c>
      <c r="K538" s="1" t="s">
        <v>186</v>
      </c>
    </row>
    <row r="539" customFormat="false" ht="15" hidden="false" customHeight="true" outlineLevel="0" collapsed="false">
      <c r="A539" s="1" t="s">
        <v>1186</v>
      </c>
      <c r="B539" s="1" t="s">
        <v>106</v>
      </c>
      <c r="C539" s="1" t="s">
        <v>1187</v>
      </c>
      <c r="D539" s="1" t="n">
        <v>55.24</v>
      </c>
      <c r="E539" s="1" t="s">
        <v>14</v>
      </c>
      <c r="F539" s="1" t="s">
        <v>15</v>
      </c>
      <c r="G539" s="1" t="s">
        <v>86</v>
      </c>
      <c r="H539" s="1" t="s">
        <v>24</v>
      </c>
      <c r="I539" s="1" t="s">
        <v>1164</v>
      </c>
      <c r="J539" s="1" t="n">
        <v>16</v>
      </c>
      <c r="K539" s="1" t="s">
        <v>186</v>
      </c>
    </row>
    <row r="540" customFormat="false" ht="15" hidden="false" customHeight="true" outlineLevel="0" collapsed="false">
      <c r="A540" s="1" t="s">
        <v>1188</v>
      </c>
      <c r="B540" s="1" t="s">
        <v>132</v>
      </c>
      <c r="C540" s="1" t="s">
        <v>1189</v>
      </c>
      <c r="D540" s="1" t="n">
        <v>68.27</v>
      </c>
      <c r="E540" s="1" t="s">
        <v>14</v>
      </c>
      <c r="F540" s="1" t="s">
        <v>41</v>
      </c>
      <c r="G540" s="1" t="s">
        <v>42</v>
      </c>
      <c r="H540" s="1" t="s">
        <v>24</v>
      </c>
      <c r="I540" s="1" t="s">
        <v>1164</v>
      </c>
      <c r="J540" s="1" t="n">
        <v>16</v>
      </c>
      <c r="K540" s="1" t="s">
        <v>186</v>
      </c>
    </row>
    <row r="541" customFormat="false" ht="15" hidden="false" customHeight="true" outlineLevel="0" collapsed="false">
      <c r="A541" s="1" t="s">
        <v>1190</v>
      </c>
      <c r="B541" s="1" t="s">
        <v>332</v>
      </c>
      <c r="C541" s="1" t="s">
        <v>1191</v>
      </c>
      <c r="D541" s="1" t="n">
        <v>88.25</v>
      </c>
      <c r="E541" s="1" t="s">
        <v>14</v>
      </c>
      <c r="F541" s="1" t="s">
        <v>49</v>
      </c>
      <c r="G541" s="1" t="s">
        <v>70</v>
      </c>
      <c r="H541" s="1" t="s">
        <v>17</v>
      </c>
      <c r="I541" s="1" t="s">
        <v>1164</v>
      </c>
      <c r="J541" s="1" t="n">
        <v>17</v>
      </c>
      <c r="K541" s="1" t="s">
        <v>186</v>
      </c>
    </row>
    <row r="542" customFormat="false" ht="15" hidden="false" customHeight="true" outlineLevel="0" collapsed="false">
      <c r="A542" s="1" t="s">
        <v>1192</v>
      </c>
      <c r="B542" s="1" t="s">
        <v>54</v>
      </c>
      <c r="C542" s="1" t="s">
        <v>1193</v>
      </c>
      <c r="D542" s="1" t="n">
        <v>45.66</v>
      </c>
      <c r="E542" s="1" t="s">
        <v>14</v>
      </c>
      <c r="F542" s="1" t="s">
        <v>56</v>
      </c>
      <c r="G542" s="1" t="s">
        <v>86</v>
      </c>
      <c r="H542" s="1" t="s">
        <v>17</v>
      </c>
      <c r="I542" s="1" t="s">
        <v>1164</v>
      </c>
      <c r="J542" s="1" t="n">
        <v>21</v>
      </c>
      <c r="K542" s="1" t="s">
        <v>186</v>
      </c>
    </row>
    <row r="543" customFormat="false" ht="15" hidden="false" customHeight="true" outlineLevel="0" collapsed="false">
      <c r="A543" s="1" t="s">
        <v>1194</v>
      </c>
      <c r="B543" s="1" t="s">
        <v>170</v>
      </c>
      <c r="C543" s="1" t="s">
        <v>1195</v>
      </c>
      <c r="D543" s="1" t="n">
        <v>72.43</v>
      </c>
      <c r="E543" s="1" t="s">
        <v>14</v>
      </c>
      <c r="F543" s="1" t="s">
        <v>41</v>
      </c>
      <c r="G543" s="1" t="s">
        <v>23</v>
      </c>
      <c r="H543" s="1" t="s">
        <v>37</v>
      </c>
      <c r="I543" s="1" t="s">
        <v>1196</v>
      </c>
      <c r="J543" s="1" t="n">
        <v>1</v>
      </c>
      <c r="K543" s="1" t="s">
        <v>219</v>
      </c>
    </row>
    <row r="544" customFormat="false" ht="15" hidden="false" customHeight="true" outlineLevel="0" collapsed="false">
      <c r="A544" s="1" t="s">
        <v>1197</v>
      </c>
      <c r="B544" s="1" t="s">
        <v>106</v>
      </c>
      <c r="C544" s="1" t="s">
        <v>1198</v>
      </c>
      <c r="D544" s="1" t="n">
        <v>250.65</v>
      </c>
      <c r="E544" s="1" t="s">
        <v>14</v>
      </c>
      <c r="F544" s="1" t="s">
        <v>15</v>
      </c>
      <c r="G544" s="1" t="s">
        <v>16</v>
      </c>
      <c r="H544" s="1" t="s">
        <v>17</v>
      </c>
      <c r="I544" s="1" t="s">
        <v>1196</v>
      </c>
      <c r="J544" s="1" t="n">
        <v>4</v>
      </c>
      <c r="K544" s="1" t="s">
        <v>219</v>
      </c>
    </row>
    <row r="545" customFormat="false" ht="15" hidden="false" customHeight="true" outlineLevel="0" collapsed="false">
      <c r="A545" s="1" t="s">
        <v>1199</v>
      </c>
      <c r="B545" s="1" t="s">
        <v>58</v>
      </c>
      <c r="C545" s="1" t="s">
        <v>1200</v>
      </c>
      <c r="D545" s="1" t="n">
        <v>43.71</v>
      </c>
      <c r="E545" s="1" t="s">
        <v>14</v>
      </c>
      <c r="F545" s="1" t="s">
        <v>15</v>
      </c>
      <c r="G545" s="1" t="s">
        <v>29</v>
      </c>
      <c r="H545" s="1" t="s">
        <v>17</v>
      </c>
      <c r="I545" s="1" t="s">
        <v>1196</v>
      </c>
      <c r="J545" s="1" t="n">
        <v>6</v>
      </c>
      <c r="K545" s="1" t="s">
        <v>219</v>
      </c>
    </row>
    <row r="546" customFormat="false" ht="15" hidden="false" customHeight="true" outlineLevel="0" collapsed="false">
      <c r="A546" s="1" t="s">
        <v>1201</v>
      </c>
      <c r="B546" s="1" t="s">
        <v>47</v>
      </c>
      <c r="C546" s="1" t="s">
        <v>1202</v>
      </c>
      <c r="D546" s="1" t="n">
        <v>171.12</v>
      </c>
      <c r="E546" s="1" t="s">
        <v>14</v>
      </c>
      <c r="F546" s="1" t="s">
        <v>49</v>
      </c>
      <c r="G546" s="1" t="s">
        <v>23</v>
      </c>
      <c r="H546" s="1" t="s">
        <v>17</v>
      </c>
      <c r="I546" s="1" t="s">
        <v>1196</v>
      </c>
      <c r="J546" s="1" t="n">
        <v>7</v>
      </c>
      <c r="K546" s="1" t="s">
        <v>219</v>
      </c>
    </row>
    <row r="547" customFormat="false" ht="15" hidden="false" customHeight="true" outlineLevel="0" collapsed="false">
      <c r="A547" s="1" t="s">
        <v>1203</v>
      </c>
      <c r="B547" s="1" t="s">
        <v>61</v>
      </c>
      <c r="C547" s="1" t="s">
        <v>1202</v>
      </c>
      <c r="D547" s="1" t="n">
        <v>106.76</v>
      </c>
      <c r="E547" s="1" t="s">
        <v>14</v>
      </c>
      <c r="F547" s="1" t="s">
        <v>56</v>
      </c>
      <c r="G547" s="1" t="s">
        <v>42</v>
      </c>
      <c r="H547" s="1" t="s">
        <v>17</v>
      </c>
      <c r="I547" s="1" t="s">
        <v>1196</v>
      </c>
      <c r="J547" s="1" t="n">
        <v>7</v>
      </c>
      <c r="K547" s="1" t="s">
        <v>219</v>
      </c>
    </row>
    <row r="548" customFormat="false" ht="15" hidden="false" customHeight="true" outlineLevel="0" collapsed="false">
      <c r="A548" s="1" t="s">
        <v>1204</v>
      </c>
      <c r="B548" s="1" t="s">
        <v>75</v>
      </c>
      <c r="C548" s="1" t="s">
        <v>1205</v>
      </c>
      <c r="D548" s="1" t="n">
        <v>36.44</v>
      </c>
      <c r="E548" s="1" t="s">
        <v>14</v>
      </c>
      <c r="F548" s="1" t="s">
        <v>15</v>
      </c>
      <c r="G548" s="1" t="s">
        <v>82</v>
      </c>
      <c r="H548" s="1" t="s">
        <v>37</v>
      </c>
      <c r="I548" s="1" t="s">
        <v>1196</v>
      </c>
      <c r="J548" s="1" t="n">
        <v>7</v>
      </c>
      <c r="K548" s="1" t="s">
        <v>219</v>
      </c>
    </row>
    <row r="549" customFormat="false" ht="15" hidden="false" customHeight="true" outlineLevel="0" collapsed="false">
      <c r="A549" s="1" t="s">
        <v>1206</v>
      </c>
      <c r="B549" s="1" t="s">
        <v>132</v>
      </c>
      <c r="C549" s="1" t="s">
        <v>1207</v>
      </c>
      <c r="D549" s="1" t="n">
        <v>38</v>
      </c>
      <c r="E549" s="1" t="s">
        <v>14</v>
      </c>
      <c r="F549" s="1" t="s">
        <v>41</v>
      </c>
      <c r="G549" s="1" t="s">
        <v>16</v>
      </c>
      <c r="H549" s="1" t="s">
        <v>37</v>
      </c>
      <c r="I549" s="1" t="s">
        <v>1196</v>
      </c>
      <c r="J549" s="1" t="n">
        <v>7</v>
      </c>
      <c r="K549" s="1" t="s">
        <v>219</v>
      </c>
    </row>
    <row r="550" customFormat="false" ht="15" hidden="false" customHeight="true" outlineLevel="0" collapsed="false">
      <c r="A550" s="1" t="s">
        <v>1208</v>
      </c>
      <c r="B550" s="1" t="s">
        <v>90</v>
      </c>
      <c r="C550" s="1" t="s">
        <v>1209</v>
      </c>
      <c r="D550" s="1" t="n">
        <v>68.84</v>
      </c>
      <c r="E550" s="1" t="s">
        <v>14</v>
      </c>
      <c r="F550" s="1" t="s">
        <v>41</v>
      </c>
      <c r="G550" s="1" t="s">
        <v>29</v>
      </c>
      <c r="H550" s="1" t="s">
        <v>37</v>
      </c>
      <c r="I550" s="1" t="s">
        <v>1196</v>
      </c>
      <c r="J550" s="1" t="n">
        <v>10</v>
      </c>
      <c r="K550" s="1" t="s">
        <v>219</v>
      </c>
    </row>
    <row r="551" customFormat="false" ht="15" hidden="false" customHeight="true" outlineLevel="0" collapsed="false">
      <c r="A551" s="1" t="s">
        <v>1210</v>
      </c>
      <c r="B551" s="1" t="s">
        <v>496</v>
      </c>
      <c r="C551" s="1" t="s">
        <v>1211</v>
      </c>
      <c r="D551" s="1" t="n">
        <v>16.03</v>
      </c>
      <c r="E551" s="1" t="s">
        <v>14</v>
      </c>
      <c r="F551" s="1" t="s">
        <v>28</v>
      </c>
      <c r="G551" s="1" t="s">
        <v>36</v>
      </c>
      <c r="H551" s="1" t="s">
        <v>37</v>
      </c>
      <c r="I551" s="1" t="s">
        <v>1196</v>
      </c>
      <c r="J551" s="1" t="n">
        <v>13</v>
      </c>
      <c r="K551" s="1" t="s">
        <v>219</v>
      </c>
    </row>
    <row r="552" customFormat="false" ht="15" hidden="false" customHeight="true" outlineLevel="0" collapsed="false">
      <c r="A552" s="1" t="s">
        <v>1212</v>
      </c>
      <c r="B552" s="1" t="s">
        <v>487</v>
      </c>
      <c r="C552" s="1" t="s">
        <v>1213</v>
      </c>
      <c r="D552" s="1" t="n">
        <v>463.06</v>
      </c>
      <c r="E552" s="1" t="s">
        <v>14</v>
      </c>
      <c r="F552" s="1" t="s">
        <v>49</v>
      </c>
      <c r="G552" s="1" t="s">
        <v>29</v>
      </c>
      <c r="H552" s="1" t="s">
        <v>17</v>
      </c>
      <c r="I552" s="1" t="s">
        <v>1196</v>
      </c>
      <c r="J552" s="1" t="n">
        <v>15</v>
      </c>
      <c r="K552" s="1" t="s">
        <v>219</v>
      </c>
    </row>
    <row r="553" customFormat="false" ht="15" hidden="false" customHeight="true" outlineLevel="0" collapsed="false">
      <c r="A553" s="1" t="s">
        <v>1214</v>
      </c>
      <c r="B553" s="1" t="s">
        <v>167</v>
      </c>
      <c r="C553" s="1" t="s">
        <v>1215</v>
      </c>
      <c r="D553" s="1" t="n">
        <v>17.51</v>
      </c>
      <c r="E553" s="1" t="s">
        <v>14</v>
      </c>
      <c r="F553" s="1" t="s">
        <v>28</v>
      </c>
      <c r="G553" s="1" t="s">
        <v>36</v>
      </c>
      <c r="H553" s="1" t="s">
        <v>17</v>
      </c>
      <c r="I553" s="1" t="s">
        <v>1196</v>
      </c>
      <c r="J553" s="1" t="n">
        <v>15</v>
      </c>
      <c r="K553" s="1" t="s">
        <v>219</v>
      </c>
    </row>
    <row r="554" customFormat="false" ht="15" hidden="false" customHeight="true" outlineLevel="0" collapsed="false">
      <c r="A554" s="1" t="s">
        <v>1216</v>
      </c>
      <c r="B554" s="1" t="s">
        <v>148</v>
      </c>
      <c r="C554" s="1" t="s">
        <v>1217</v>
      </c>
      <c r="D554" s="1" t="n">
        <v>45.67</v>
      </c>
      <c r="E554" s="1" t="s">
        <v>14</v>
      </c>
      <c r="F554" s="1" t="s">
        <v>41</v>
      </c>
      <c r="G554" s="1" t="s">
        <v>29</v>
      </c>
      <c r="H554" s="1" t="s">
        <v>17</v>
      </c>
      <c r="I554" s="1" t="s">
        <v>1196</v>
      </c>
      <c r="J554" s="1" t="n">
        <v>16</v>
      </c>
      <c r="K554" s="1" t="s">
        <v>219</v>
      </c>
    </row>
    <row r="555" customFormat="false" ht="15" hidden="false" customHeight="true" outlineLevel="0" collapsed="false">
      <c r="A555" s="1" t="s">
        <v>1218</v>
      </c>
      <c r="B555" s="1" t="s">
        <v>258</v>
      </c>
      <c r="C555" s="1" t="s">
        <v>1219</v>
      </c>
      <c r="D555" s="1" t="n">
        <v>25.21</v>
      </c>
      <c r="E555" s="1" t="s">
        <v>14</v>
      </c>
      <c r="F555" s="1" t="s">
        <v>28</v>
      </c>
      <c r="G555" s="1" t="s">
        <v>23</v>
      </c>
      <c r="H555" s="1" t="s">
        <v>17</v>
      </c>
      <c r="I555" s="1" t="s">
        <v>1196</v>
      </c>
      <c r="J555" s="1" t="n">
        <v>17</v>
      </c>
      <c r="K555" s="1" t="s">
        <v>219</v>
      </c>
    </row>
    <row r="556" customFormat="false" ht="15" hidden="false" customHeight="true" outlineLevel="0" collapsed="false">
      <c r="A556" s="1" t="s">
        <v>1220</v>
      </c>
      <c r="B556" s="1" t="s">
        <v>58</v>
      </c>
      <c r="C556" s="1" t="s">
        <v>1221</v>
      </c>
      <c r="D556" s="1" t="n">
        <v>276.25</v>
      </c>
      <c r="E556" s="1" t="s">
        <v>14</v>
      </c>
      <c r="F556" s="1" t="s">
        <v>15</v>
      </c>
      <c r="G556" s="1" t="s">
        <v>82</v>
      </c>
      <c r="H556" s="1" t="s">
        <v>24</v>
      </c>
      <c r="I556" s="1" t="s">
        <v>1222</v>
      </c>
      <c r="J556" s="1" t="n">
        <v>3</v>
      </c>
      <c r="K556" s="1" t="s">
        <v>263</v>
      </c>
    </row>
    <row r="557" customFormat="false" ht="15" hidden="false" customHeight="true" outlineLevel="0" collapsed="false">
      <c r="A557" s="1" t="s">
        <v>1223</v>
      </c>
      <c r="B557" s="1" t="s">
        <v>54</v>
      </c>
      <c r="C557" s="1" t="s">
        <v>1224</v>
      </c>
      <c r="D557" s="1" t="n">
        <v>93.13</v>
      </c>
      <c r="E557" s="1" t="s">
        <v>14</v>
      </c>
      <c r="F557" s="1" t="s">
        <v>56</v>
      </c>
      <c r="G557" s="1" t="s">
        <v>36</v>
      </c>
      <c r="H557" s="1" t="s">
        <v>17</v>
      </c>
      <c r="I557" s="1" t="s">
        <v>1222</v>
      </c>
      <c r="J557" s="1" t="n">
        <v>6</v>
      </c>
      <c r="K557" s="1" t="s">
        <v>263</v>
      </c>
    </row>
    <row r="558" customFormat="false" ht="15" hidden="false" customHeight="true" outlineLevel="0" collapsed="false">
      <c r="A558" s="1" t="s">
        <v>1225</v>
      </c>
      <c r="B558" s="1" t="s">
        <v>21</v>
      </c>
      <c r="C558" s="1" t="s">
        <v>1226</v>
      </c>
      <c r="D558" s="1" t="n">
        <v>73.86</v>
      </c>
      <c r="E558" s="1" t="s">
        <v>14</v>
      </c>
      <c r="F558" s="1" t="s">
        <v>15</v>
      </c>
      <c r="G558" s="1" t="s">
        <v>16</v>
      </c>
      <c r="H558" s="1" t="s">
        <v>37</v>
      </c>
      <c r="I558" s="1" t="s">
        <v>1222</v>
      </c>
      <c r="J558" s="1" t="n">
        <v>7</v>
      </c>
      <c r="K558" s="1" t="s">
        <v>263</v>
      </c>
    </row>
    <row r="559" customFormat="false" ht="15" hidden="false" customHeight="true" outlineLevel="0" collapsed="false">
      <c r="A559" s="1" t="s">
        <v>1227</v>
      </c>
      <c r="B559" s="1" t="s">
        <v>193</v>
      </c>
      <c r="C559" s="1" t="s">
        <v>1228</v>
      </c>
      <c r="D559" s="1" t="n">
        <v>27.37</v>
      </c>
      <c r="E559" s="1" t="s">
        <v>14</v>
      </c>
      <c r="F559" s="1" t="s">
        <v>15</v>
      </c>
      <c r="G559" s="1" t="s">
        <v>82</v>
      </c>
      <c r="H559" s="1" t="s">
        <v>17</v>
      </c>
      <c r="I559" s="1" t="s">
        <v>1222</v>
      </c>
      <c r="J559" s="1" t="n">
        <v>9</v>
      </c>
      <c r="K559" s="1" t="s">
        <v>263</v>
      </c>
    </row>
    <row r="560" customFormat="false" ht="15" hidden="false" customHeight="true" outlineLevel="0" collapsed="false">
      <c r="A560" s="1" t="s">
        <v>1229</v>
      </c>
      <c r="B560" s="1" t="s">
        <v>240</v>
      </c>
      <c r="C560" s="1" t="s">
        <v>1230</v>
      </c>
      <c r="D560" s="1" t="n">
        <v>37.13</v>
      </c>
      <c r="E560" s="1" t="s">
        <v>14</v>
      </c>
      <c r="F560" s="1" t="s">
        <v>56</v>
      </c>
      <c r="G560" s="1" t="s">
        <v>42</v>
      </c>
      <c r="H560" s="1" t="s">
        <v>24</v>
      </c>
      <c r="I560" s="1" t="s">
        <v>1222</v>
      </c>
      <c r="J560" s="1" t="n">
        <v>10</v>
      </c>
      <c r="K560" s="1" t="s">
        <v>263</v>
      </c>
    </row>
    <row r="561" customFormat="false" ht="15" hidden="false" customHeight="true" outlineLevel="0" collapsed="false">
      <c r="A561" s="1" t="s">
        <v>1231</v>
      </c>
      <c r="B561" s="1" t="s">
        <v>155</v>
      </c>
      <c r="C561" s="1" t="s">
        <v>1232</v>
      </c>
      <c r="D561" s="1" t="n">
        <v>71.39</v>
      </c>
      <c r="E561" s="1" t="s">
        <v>14</v>
      </c>
      <c r="F561" s="1" t="s">
        <v>41</v>
      </c>
      <c r="G561" s="1" t="s">
        <v>36</v>
      </c>
      <c r="H561" s="1" t="s">
        <v>37</v>
      </c>
      <c r="I561" s="1" t="s">
        <v>1222</v>
      </c>
      <c r="J561" s="1" t="n">
        <v>11</v>
      </c>
      <c r="K561" s="1" t="s">
        <v>263</v>
      </c>
    </row>
    <row r="562" customFormat="false" ht="15" hidden="false" customHeight="true" outlineLevel="0" collapsed="false">
      <c r="A562" s="1" t="s">
        <v>1233</v>
      </c>
      <c r="B562" s="1" t="s">
        <v>80</v>
      </c>
      <c r="C562" s="1" t="s">
        <v>1234</v>
      </c>
      <c r="D562" s="1" t="n">
        <v>6.14</v>
      </c>
      <c r="E562" s="1" t="s">
        <v>14</v>
      </c>
      <c r="F562" s="1" t="s">
        <v>56</v>
      </c>
      <c r="G562" s="1" t="s">
        <v>16</v>
      </c>
      <c r="H562" s="1" t="s">
        <v>37</v>
      </c>
      <c r="I562" s="1" t="s">
        <v>1222</v>
      </c>
      <c r="J562" s="1" t="n">
        <v>12</v>
      </c>
      <c r="K562" s="1" t="s">
        <v>263</v>
      </c>
    </row>
    <row r="563" customFormat="false" ht="15" hidden="false" customHeight="true" outlineLevel="0" collapsed="false">
      <c r="A563" s="1" t="s">
        <v>1235</v>
      </c>
      <c r="B563" s="1" t="s">
        <v>180</v>
      </c>
      <c r="C563" s="1" t="s">
        <v>1236</v>
      </c>
      <c r="D563" s="1" t="n">
        <v>29.95</v>
      </c>
      <c r="E563" s="1" t="s">
        <v>14</v>
      </c>
      <c r="F563" s="1" t="s">
        <v>49</v>
      </c>
      <c r="G563" s="1" t="s">
        <v>36</v>
      </c>
      <c r="H563" s="1" t="s">
        <v>37</v>
      </c>
      <c r="I563" s="1" t="s">
        <v>1222</v>
      </c>
      <c r="J563" s="1" t="n">
        <v>13</v>
      </c>
      <c r="K563" s="1" t="s">
        <v>263</v>
      </c>
    </row>
    <row r="564" customFormat="false" ht="15" hidden="false" customHeight="true" outlineLevel="0" collapsed="false">
      <c r="A564" s="1" t="s">
        <v>1237</v>
      </c>
      <c r="B564" s="1" t="s">
        <v>199</v>
      </c>
      <c r="C564" s="1" t="s">
        <v>1238</v>
      </c>
      <c r="D564" s="1" t="n">
        <v>176.39</v>
      </c>
      <c r="E564" s="1" t="s">
        <v>14</v>
      </c>
      <c r="F564" s="1" t="s">
        <v>41</v>
      </c>
      <c r="G564" s="1" t="s">
        <v>16</v>
      </c>
      <c r="H564" s="1" t="s">
        <v>24</v>
      </c>
      <c r="I564" s="1" t="s">
        <v>1222</v>
      </c>
      <c r="J564" s="1" t="n">
        <v>15</v>
      </c>
      <c r="K564" s="1" t="s">
        <v>263</v>
      </c>
    </row>
    <row r="565" customFormat="false" ht="15" hidden="false" customHeight="true" outlineLevel="0" collapsed="false">
      <c r="A565" s="1" t="s">
        <v>1239</v>
      </c>
      <c r="B565" s="1" t="s">
        <v>75</v>
      </c>
      <c r="C565" s="1" t="s">
        <v>1240</v>
      </c>
      <c r="D565" s="1" t="n">
        <v>47.77</v>
      </c>
      <c r="E565" s="1" t="s">
        <v>14</v>
      </c>
      <c r="F565" s="1" t="s">
        <v>15</v>
      </c>
      <c r="G565" s="1" t="s">
        <v>23</v>
      </c>
      <c r="H565" s="1" t="s">
        <v>37</v>
      </c>
      <c r="I565" s="1" t="s">
        <v>1222</v>
      </c>
      <c r="J565" s="1" t="n">
        <v>16</v>
      </c>
      <c r="K565" s="1" t="s">
        <v>263</v>
      </c>
    </row>
    <row r="566" customFormat="false" ht="15" hidden="false" customHeight="true" outlineLevel="0" collapsed="false">
      <c r="A566" s="1" t="s">
        <v>1241</v>
      </c>
      <c r="B566" s="1" t="s">
        <v>475</v>
      </c>
      <c r="C566" s="1" t="s">
        <v>1242</v>
      </c>
      <c r="D566" s="1" t="n">
        <v>80.05</v>
      </c>
      <c r="E566" s="1" t="s">
        <v>14</v>
      </c>
      <c r="F566" s="1" t="s">
        <v>56</v>
      </c>
      <c r="G566" s="1" t="s">
        <v>86</v>
      </c>
      <c r="H566" s="1" t="s">
        <v>37</v>
      </c>
      <c r="I566" s="1" t="s">
        <v>1222</v>
      </c>
      <c r="J566" s="1" t="n">
        <v>17</v>
      </c>
      <c r="K566" s="1" t="s">
        <v>263</v>
      </c>
    </row>
    <row r="567" customFormat="false" ht="15" hidden="false" customHeight="true" outlineLevel="0" collapsed="false">
      <c r="A567" s="1" t="s">
        <v>1243</v>
      </c>
      <c r="B567" s="1" t="s">
        <v>258</v>
      </c>
      <c r="C567" s="1" t="s">
        <v>1244</v>
      </c>
      <c r="D567" s="1" t="n">
        <v>64.47</v>
      </c>
      <c r="E567" s="1" t="s">
        <v>14</v>
      </c>
      <c r="F567" s="1" t="s">
        <v>28</v>
      </c>
      <c r="G567" s="1" t="s">
        <v>70</v>
      </c>
      <c r="H567" s="1" t="s">
        <v>17</v>
      </c>
      <c r="I567" s="1" t="s">
        <v>1245</v>
      </c>
      <c r="J567" s="1" t="n">
        <v>10</v>
      </c>
      <c r="K567" s="1" t="s">
        <v>19</v>
      </c>
    </row>
    <row r="568" customFormat="false" ht="15" hidden="false" customHeight="true" outlineLevel="0" collapsed="false">
      <c r="A568" s="1" t="s">
        <v>1246</v>
      </c>
      <c r="B568" s="1" t="s">
        <v>199</v>
      </c>
      <c r="C568" s="1" t="s">
        <v>1247</v>
      </c>
      <c r="D568" s="1" t="n">
        <v>116.58</v>
      </c>
      <c r="E568" s="1" t="s">
        <v>14</v>
      </c>
      <c r="F568" s="1" t="s">
        <v>41</v>
      </c>
      <c r="G568" s="1" t="s">
        <v>23</v>
      </c>
      <c r="H568" s="1" t="s">
        <v>24</v>
      </c>
      <c r="I568" s="1" t="s">
        <v>1245</v>
      </c>
      <c r="J568" s="1" t="n">
        <v>10</v>
      </c>
      <c r="K568" s="1" t="s">
        <v>19</v>
      </c>
    </row>
    <row r="569" customFormat="false" ht="15" hidden="false" customHeight="true" outlineLevel="0" collapsed="false">
      <c r="A569" s="1" t="s">
        <v>1248</v>
      </c>
      <c r="B569" s="1" t="s">
        <v>258</v>
      </c>
      <c r="C569" s="1" t="s">
        <v>1249</v>
      </c>
      <c r="D569" s="1" t="n">
        <v>144.44</v>
      </c>
      <c r="E569" s="1" t="s">
        <v>14</v>
      </c>
      <c r="F569" s="1" t="s">
        <v>28</v>
      </c>
      <c r="G569" s="1" t="s">
        <v>70</v>
      </c>
      <c r="H569" s="1" t="s">
        <v>24</v>
      </c>
      <c r="I569" s="1" t="s">
        <v>1245</v>
      </c>
      <c r="J569" s="1" t="n">
        <v>11</v>
      </c>
      <c r="K569" s="1" t="s">
        <v>19</v>
      </c>
    </row>
    <row r="570" customFormat="false" ht="15" hidden="false" customHeight="true" outlineLevel="0" collapsed="false">
      <c r="A570" s="1" t="s">
        <v>1250</v>
      </c>
      <c r="B570" s="1" t="s">
        <v>258</v>
      </c>
      <c r="C570" s="1" t="s">
        <v>1251</v>
      </c>
      <c r="D570" s="1" t="n">
        <v>144.44</v>
      </c>
      <c r="E570" s="1" t="s">
        <v>14</v>
      </c>
      <c r="F570" s="1" t="s">
        <v>28</v>
      </c>
      <c r="G570" s="1" t="s">
        <v>70</v>
      </c>
      <c r="H570" s="1" t="s">
        <v>24</v>
      </c>
      <c r="I570" s="1" t="s">
        <v>1245</v>
      </c>
      <c r="J570" s="1" t="n">
        <v>11</v>
      </c>
      <c r="K570" s="1" t="s">
        <v>19</v>
      </c>
    </row>
    <row r="571" customFormat="false" ht="15" hidden="false" customHeight="true" outlineLevel="0" collapsed="false">
      <c r="A571" s="1" t="s">
        <v>1252</v>
      </c>
      <c r="B571" s="1" t="s">
        <v>93</v>
      </c>
      <c r="C571" s="1" t="s">
        <v>1253</v>
      </c>
      <c r="D571" s="1" t="n">
        <v>65.52</v>
      </c>
      <c r="E571" s="1" t="s">
        <v>14</v>
      </c>
      <c r="F571" s="1" t="s">
        <v>28</v>
      </c>
      <c r="G571" s="1" t="s">
        <v>29</v>
      </c>
      <c r="H571" s="1" t="s">
        <v>37</v>
      </c>
      <c r="I571" s="1" t="s">
        <v>1245</v>
      </c>
      <c r="J571" s="1" t="n">
        <v>16</v>
      </c>
      <c r="K571" s="1" t="s">
        <v>19</v>
      </c>
    </row>
    <row r="572" customFormat="false" ht="15" hidden="false" customHeight="true" outlineLevel="0" collapsed="false">
      <c r="A572" s="1" t="s">
        <v>1254</v>
      </c>
      <c r="B572" s="1" t="s">
        <v>173</v>
      </c>
      <c r="C572" s="1" t="s">
        <v>1255</v>
      </c>
      <c r="D572" s="1" t="n">
        <v>43.38</v>
      </c>
      <c r="E572" s="1" t="s">
        <v>14</v>
      </c>
      <c r="F572" s="1" t="s">
        <v>28</v>
      </c>
      <c r="G572" s="1" t="s">
        <v>16</v>
      </c>
      <c r="H572" s="1" t="s">
        <v>17</v>
      </c>
      <c r="I572" s="1" t="s">
        <v>1245</v>
      </c>
      <c r="J572" s="1" t="n">
        <v>16</v>
      </c>
      <c r="K572" s="1" t="s">
        <v>19</v>
      </c>
    </row>
    <row r="573" customFormat="false" ht="15" hidden="false" customHeight="true" outlineLevel="0" collapsed="false">
      <c r="A573" s="1" t="s">
        <v>1256</v>
      </c>
      <c r="B573" s="1" t="s">
        <v>183</v>
      </c>
      <c r="C573" s="1" t="s">
        <v>1257</v>
      </c>
      <c r="D573" s="1" t="n">
        <v>31.12</v>
      </c>
      <c r="E573" s="1" t="s">
        <v>14</v>
      </c>
      <c r="F573" s="1" t="s">
        <v>15</v>
      </c>
      <c r="G573" s="1" t="s">
        <v>23</v>
      </c>
      <c r="H573" s="1" t="s">
        <v>37</v>
      </c>
      <c r="I573" s="1" t="s">
        <v>1245</v>
      </c>
      <c r="J573" s="1" t="n">
        <v>16</v>
      </c>
      <c r="K573" s="1" t="s">
        <v>19</v>
      </c>
    </row>
    <row r="574" customFormat="false" ht="15" hidden="false" customHeight="true" outlineLevel="0" collapsed="false">
      <c r="A574" s="1" t="s">
        <v>1258</v>
      </c>
      <c r="B574" s="1" t="s">
        <v>221</v>
      </c>
      <c r="C574" s="1" t="s">
        <v>1259</v>
      </c>
      <c r="D574" s="1" t="n">
        <v>34</v>
      </c>
      <c r="E574" s="1" t="s">
        <v>14</v>
      </c>
      <c r="F574" s="1" t="s">
        <v>15</v>
      </c>
      <c r="G574" s="1" t="s">
        <v>16</v>
      </c>
      <c r="H574" s="1" t="s">
        <v>24</v>
      </c>
      <c r="I574" s="1" t="s">
        <v>1245</v>
      </c>
      <c r="J574" s="1" t="n">
        <v>17</v>
      </c>
      <c r="K574" s="1" t="s">
        <v>19</v>
      </c>
    </row>
    <row r="575" customFormat="false" ht="15" hidden="false" customHeight="true" outlineLevel="0" collapsed="false">
      <c r="A575" s="1" t="s">
        <v>1260</v>
      </c>
      <c r="B575" s="1" t="s">
        <v>235</v>
      </c>
      <c r="C575" s="1" t="s">
        <v>1261</v>
      </c>
      <c r="D575" s="1" t="n">
        <v>102.13</v>
      </c>
      <c r="E575" s="1" t="s">
        <v>14</v>
      </c>
      <c r="F575" s="1" t="s">
        <v>41</v>
      </c>
      <c r="G575" s="1" t="s">
        <v>86</v>
      </c>
      <c r="H575" s="1" t="s">
        <v>17</v>
      </c>
      <c r="I575" s="1" t="s">
        <v>1245</v>
      </c>
      <c r="J575" s="1" t="n">
        <v>18</v>
      </c>
      <c r="K575" s="1" t="s">
        <v>19</v>
      </c>
    </row>
    <row r="576" customFormat="false" ht="15" hidden="false" customHeight="true" outlineLevel="0" collapsed="false">
      <c r="A576" s="1" t="s">
        <v>1262</v>
      </c>
      <c r="B576" s="1" t="s">
        <v>98</v>
      </c>
      <c r="C576" s="1" t="s">
        <v>1263</v>
      </c>
      <c r="D576" s="1" t="n">
        <v>32.95</v>
      </c>
      <c r="E576" s="1" t="s">
        <v>14</v>
      </c>
      <c r="F576" s="1" t="s">
        <v>15</v>
      </c>
      <c r="G576" s="1" t="s">
        <v>29</v>
      </c>
      <c r="H576" s="1" t="s">
        <v>17</v>
      </c>
      <c r="I576" s="1" t="s">
        <v>1245</v>
      </c>
      <c r="J576" s="1" t="n">
        <v>18</v>
      </c>
      <c r="K576" s="1" t="s">
        <v>19</v>
      </c>
    </row>
    <row r="577" customFormat="false" ht="15" hidden="false" customHeight="true" outlineLevel="0" collapsed="false">
      <c r="A577" s="1" t="s">
        <v>1264</v>
      </c>
      <c r="B577" s="1" t="s">
        <v>221</v>
      </c>
      <c r="C577" s="1" t="s">
        <v>1265</v>
      </c>
      <c r="D577" s="1" t="n">
        <v>89.93</v>
      </c>
      <c r="E577" s="1" t="s">
        <v>14</v>
      </c>
      <c r="F577" s="1" t="s">
        <v>15</v>
      </c>
      <c r="G577" s="1" t="s">
        <v>86</v>
      </c>
      <c r="H577" s="1" t="s">
        <v>17</v>
      </c>
      <c r="I577" s="1" t="s">
        <v>1266</v>
      </c>
      <c r="J577" s="1" t="n">
        <v>3</v>
      </c>
      <c r="K577" s="1" t="s">
        <v>67</v>
      </c>
    </row>
    <row r="578" customFormat="false" ht="15" hidden="false" customHeight="true" outlineLevel="0" collapsed="false">
      <c r="A578" s="1" t="s">
        <v>1267</v>
      </c>
      <c r="B578" s="1" t="s">
        <v>51</v>
      </c>
      <c r="C578" s="1" t="s">
        <v>1268</v>
      </c>
      <c r="D578" s="1" t="n">
        <v>83.04</v>
      </c>
      <c r="E578" s="1" t="s">
        <v>14</v>
      </c>
      <c r="F578" s="1" t="s">
        <v>41</v>
      </c>
      <c r="G578" s="1" t="s">
        <v>42</v>
      </c>
      <c r="H578" s="1" t="s">
        <v>24</v>
      </c>
      <c r="I578" s="1" t="s">
        <v>1266</v>
      </c>
      <c r="J578" s="1" t="n">
        <v>7</v>
      </c>
      <c r="K578" s="1" t="s">
        <v>67</v>
      </c>
    </row>
    <row r="579" customFormat="false" ht="15" hidden="false" customHeight="true" outlineLevel="0" collapsed="false">
      <c r="A579" s="1" t="s">
        <v>1269</v>
      </c>
      <c r="B579" s="1" t="s">
        <v>148</v>
      </c>
      <c r="C579" s="1" t="s">
        <v>1270</v>
      </c>
      <c r="D579" s="1" t="n">
        <v>32.39</v>
      </c>
      <c r="E579" s="1" t="s">
        <v>14</v>
      </c>
      <c r="F579" s="1" t="s">
        <v>41</v>
      </c>
      <c r="G579" s="1" t="s">
        <v>82</v>
      </c>
      <c r="H579" s="1" t="s">
        <v>17</v>
      </c>
      <c r="I579" s="1" t="s">
        <v>1266</v>
      </c>
      <c r="J579" s="1" t="n">
        <v>7</v>
      </c>
      <c r="K579" s="1" t="s">
        <v>67</v>
      </c>
    </row>
    <row r="580" customFormat="false" ht="15" hidden="false" customHeight="true" outlineLevel="0" collapsed="false">
      <c r="A580" s="1" t="s">
        <v>1271</v>
      </c>
      <c r="B580" s="1" t="s">
        <v>170</v>
      </c>
      <c r="C580" s="1" t="s">
        <v>1272</v>
      </c>
      <c r="D580" s="1" t="n">
        <v>41.4</v>
      </c>
      <c r="E580" s="1" t="s">
        <v>14</v>
      </c>
      <c r="F580" s="1" t="s">
        <v>41</v>
      </c>
      <c r="G580" s="1" t="s">
        <v>82</v>
      </c>
      <c r="H580" s="1" t="s">
        <v>37</v>
      </c>
      <c r="I580" s="1" t="s">
        <v>1266</v>
      </c>
      <c r="J580" s="1" t="n">
        <v>7</v>
      </c>
      <c r="K580" s="1" t="s">
        <v>67</v>
      </c>
    </row>
    <row r="581" customFormat="false" ht="15" hidden="false" customHeight="true" outlineLevel="0" collapsed="false">
      <c r="A581" s="1" t="s">
        <v>1273</v>
      </c>
      <c r="B581" s="1" t="s">
        <v>101</v>
      </c>
      <c r="C581" s="1" t="s">
        <v>1274</v>
      </c>
      <c r="D581" s="1" t="n">
        <v>1223.72</v>
      </c>
      <c r="E581" s="1" t="s">
        <v>14</v>
      </c>
      <c r="F581" s="1" t="s">
        <v>49</v>
      </c>
      <c r="G581" s="1" t="s">
        <v>42</v>
      </c>
      <c r="H581" s="1" t="s">
        <v>24</v>
      </c>
      <c r="I581" s="1" t="s">
        <v>1266</v>
      </c>
      <c r="J581" s="1" t="n">
        <v>8</v>
      </c>
      <c r="K581" s="1" t="s">
        <v>67</v>
      </c>
    </row>
    <row r="582" customFormat="false" ht="15" hidden="false" customHeight="true" outlineLevel="0" collapsed="false">
      <c r="A582" s="1" t="s">
        <v>1275</v>
      </c>
      <c r="B582" s="1" t="s">
        <v>132</v>
      </c>
      <c r="C582" s="1" t="s">
        <v>1276</v>
      </c>
      <c r="D582" s="1" t="n">
        <v>28.38</v>
      </c>
      <c r="E582" s="1" t="s">
        <v>14</v>
      </c>
      <c r="F582" s="1" t="s">
        <v>41</v>
      </c>
      <c r="G582" s="1" t="s">
        <v>42</v>
      </c>
      <c r="H582" s="1" t="s">
        <v>37</v>
      </c>
      <c r="I582" s="1" t="s">
        <v>1266</v>
      </c>
      <c r="J582" s="1" t="n">
        <v>8</v>
      </c>
      <c r="K582" s="1" t="s">
        <v>67</v>
      </c>
    </row>
    <row r="583" customFormat="false" ht="15" hidden="false" customHeight="true" outlineLevel="0" collapsed="false">
      <c r="A583" s="1" t="s">
        <v>1277</v>
      </c>
      <c r="B583" s="1" t="s">
        <v>44</v>
      </c>
      <c r="C583" s="1" t="s">
        <v>1278</v>
      </c>
      <c r="D583" s="1" t="n">
        <v>284.96</v>
      </c>
      <c r="E583" s="1" t="s">
        <v>14</v>
      </c>
      <c r="F583" s="1" t="s">
        <v>28</v>
      </c>
      <c r="G583" s="1" t="s">
        <v>82</v>
      </c>
      <c r="H583" s="1" t="s">
        <v>24</v>
      </c>
      <c r="I583" s="1" t="s">
        <v>1266</v>
      </c>
      <c r="J583" s="1" t="n">
        <v>9</v>
      </c>
      <c r="K583" s="1" t="s">
        <v>67</v>
      </c>
    </row>
    <row r="584" customFormat="false" ht="15" hidden="false" customHeight="true" outlineLevel="0" collapsed="false">
      <c r="A584" s="1" t="s">
        <v>1279</v>
      </c>
      <c r="B584" s="1" t="s">
        <v>394</v>
      </c>
      <c r="C584" s="1" t="s">
        <v>1280</v>
      </c>
      <c r="D584" s="1" t="n">
        <v>43.78</v>
      </c>
      <c r="E584" s="1" t="s">
        <v>14</v>
      </c>
      <c r="F584" s="1" t="s">
        <v>56</v>
      </c>
      <c r="G584" s="1" t="s">
        <v>86</v>
      </c>
      <c r="H584" s="1" t="s">
        <v>17</v>
      </c>
      <c r="I584" s="1" t="s">
        <v>1266</v>
      </c>
      <c r="J584" s="1" t="n">
        <v>9</v>
      </c>
      <c r="K584" s="1" t="s">
        <v>67</v>
      </c>
    </row>
    <row r="585" customFormat="false" ht="15" hidden="false" customHeight="true" outlineLevel="0" collapsed="false">
      <c r="A585" s="1" t="s">
        <v>1281</v>
      </c>
      <c r="B585" s="1" t="s">
        <v>332</v>
      </c>
      <c r="C585" s="1" t="s">
        <v>1282</v>
      </c>
      <c r="D585" s="1" t="n">
        <v>59.43</v>
      </c>
      <c r="E585" s="1" t="s">
        <v>14</v>
      </c>
      <c r="F585" s="1" t="s">
        <v>49</v>
      </c>
      <c r="G585" s="1" t="s">
        <v>36</v>
      </c>
      <c r="H585" s="1" t="s">
        <v>17</v>
      </c>
      <c r="I585" s="1" t="s">
        <v>1266</v>
      </c>
      <c r="J585" s="1" t="n">
        <v>10</v>
      </c>
      <c r="K585" s="1" t="s">
        <v>67</v>
      </c>
    </row>
    <row r="586" customFormat="false" ht="15" hidden="false" customHeight="true" outlineLevel="0" collapsed="false">
      <c r="A586" s="1" t="s">
        <v>1283</v>
      </c>
      <c r="B586" s="1" t="s">
        <v>34</v>
      </c>
      <c r="C586" s="1" t="s">
        <v>1284</v>
      </c>
      <c r="D586" s="1" t="n">
        <v>62.52</v>
      </c>
      <c r="E586" s="1" t="s">
        <v>14</v>
      </c>
      <c r="F586" s="1" t="s">
        <v>15</v>
      </c>
      <c r="G586" s="1" t="s">
        <v>86</v>
      </c>
      <c r="H586" s="1" t="s">
        <v>37</v>
      </c>
      <c r="I586" s="1" t="s">
        <v>1266</v>
      </c>
      <c r="J586" s="1" t="n">
        <v>11</v>
      </c>
      <c r="K586" s="1" t="s">
        <v>67</v>
      </c>
    </row>
    <row r="587" customFormat="false" ht="15" hidden="false" customHeight="true" outlineLevel="0" collapsed="false">
      <c r="A587" s="1" t="s">
        <v>1285</v>
      </c>
      <c r="B587" s="1" t="s">
        <v>90</v>
      </c>
      <c r="C587" s="1" t="s">
        <v>1286</v>
      </c>
      <c r="D587" s="1" t="n">
        <v>41.38</v>
      </c>
      <c r="E587" s="1" t="s">
        <v>14</v>
      </c>
      <c r="F587" s="1" t="s">
        <v>41</v>
      </c>
      <c r="G587" s="1" t="s">
        <v>86</v>
      </c>
      <c r="H587" s="1" t="s">
        <v>24</v>
      </c>
      <c r="I587" s="1" t="s">
        <v>1266</v>
      </c>
      <c r="J587" s="1" t="n">
        <v>11</v>
      </c>
      <c r="K587" s="1" t="s">
        <v>67</v>
      </c>
    </row>
    <row r="588" customFormat="false" ht="15" hidden="false" customHeight="true" outlineLevel="0" collapsed="false">
      <c r="A588" s="1" t="s">
        <v>1287</v>
      </c>
      <c r="B588" s="1" t="s">
        <v>196</v>
      </c>
      <c r="C588" s="1" t="s">
        <v>1288</v>
      </c>
      <c r="D588" s="1" t="n">
        <v>20.12</v>
      </c>
      <c r="E588" s="1" t="s">
        <v>14</v>
      </c>
      <c r="F588" s="1" t="s">
        <v>15</v>
      </c>
      <c r="G588" s="1" t="s">
        <v>16</v>
      </c>
      <c r="H588" s="1" t="s">
        <v>37</v>
      </c>
      <c r="I588" s="1" t="s">
        <v>1266</v>
      </c>
      <c r="J588" s="1" t="n">
        <v>13</v>
      </c>
      <c r="K588" s="1" t="s">
        <v>67</v>
      </c>
    </row>
    <row r="589" customFormat="false" ht="15" hidden="false" customHeight="true" outlineLevel="0" collapsed="false">
      <c r="A589" s="1" t="s">
        <v>1289</v>
      </c>
      <c r="B589" s="1" t="s">
        <v>61</v>
      </c>
      <c r="C589" s="1" t="s">
        <v>1290</v>
      </c>
      <c r="D589" s="1" t="n">
        <v>95.02</v>
      </c>
      <c r="E589" s="1" t="s">
        <v>14</v>
      </c>
      <c r="F589" s="1" t="s">
        <v>56</v>
      </c>
      <c r="G589" s="1" t="s">
        <v>23</v>
      </c>
      <c r="H589" s="1" t="s">
        <v>37</v>
      </c>
      <c r="I589" s="1" t="s">
        <v>1266</v>
      </c>
      <c r="J589" s="1" t="n">
        <v>13</v>
      </c>
      <c r="K589" s="1" t="s">
        <v>67</v>
      </c>
    </row>
    <row r="590" customFormat="false" ht="15" hidden="false" customHeight="true" outlineLevel="0" collapsed="false">
      <c r="A590" s="1" t="s">
        <v>1291</v>
      </c>
      <c r="B590" s="1" t="s">
        <v>101</v>
      </c>
      <c r="C590" s="1" t="s">
        <v>1292</v>
      </c>
      <c r="D590" s="1" t="n">
        <v>920.67</v>
      </c>
      <c r="E590" s="1" t="s">
        <v>14</v>
      </c>
      <c r="F590" s="1" t="s">
        <v>41</v>
      </c>
      <c r="G590" s="1" t="s">
        <v>82</v>
      </c>
      <c r="H590" s="1" t="s">
        <v>17</v>
      </c>
      <c r="I590" s="1" t="s">
        <v>1266</v>
      </c>
      <c r="J590" s="1" t="n">
        <v>14</v>
      </c>
      <c r="K590" s="1" t="s">
        <v>67</v>
      </c>
    </row>
    <row r="591" customFormat="false" ht="15" hidden="false" customHeight="true" outlineLevel="0" collapsed="false">
      <c r="A591" s="1" t="s">
        <v>1293</v>
      </c>
      <c r="B591" s="1" t="s">
        <v>113</v>
      </c>
      <c r="C591" s="1" t="s">
        <v>1294</v>
      </c>
      <c r="D591" s="1" t="n">
        <v>65.25</v>
      </c>
      <c r="E591" s="1" t="s">
        <v>14</v>
      </c>
      <c r="F591" s="1" t="s">
        <v>41</v>
      </c>
      <c r="G591" s="1" t="s">
        <v>23</v>
      </c>
      <c r="H591" s="1" t="s">
        <v>37</v>
      </c>
      <c r="I591" s="1" t="s">
        <v>1266</v>
      </c>
      <c r="J591" s="1" t="n">
        <v>14</v>
      </c>
      <c r="K591" s="1" t="s">
        <v>67</v>
      </c>
    </row>
    <row r="592" customFormat="false" ht="15" hidden="false" customHeight="true" outlineLevel="0" collapsed="false">
      <c r="A592" s="1" t="s">
        <v>1295</v>
      </c>
      <c r="B592" s="1" t="s">
        <v>90</v>
      </c>
      <c r="C592" s="1" t="s">
        <v>1296</v>
      </c>
      <c r="D592" s="1" t="n">
        <v>25.71</v>
      </c>
      <c r="E592" s="1" t="s">
        <v>14</v>
      </c>
      <c r="F592" s="1" t="s">
        <v>41</v>
      </c>
      <c r="G592" s="1" t="s">
        <v>16</v>
      </c>
      <c r="H592" s="1" t="s">
        <v>17</v>
      </c>
      <c r="I592" s="1" t="s">
        <v>1266</v>
      </c>
      <c r="J592" s="1" t="n">
        <v>14</v>
      </c>
      <c r="K592" s="1" t="s">
        <v>67</v>
      </c>
    </row>
    <row r="593" customFormat="false" ht="15" hidden="false" customHeight="true" outlineLevel="0" collapsed="false">
      <c r="A593" s="1" t="s">
        <v>1297</v>
      </c>
      <c r="B593" s="1" t="s">
        <v>80</v>
      </c>
      <c r="C593" s="1" t="s">
        <v>1298</v>
      </c>
      <c r="D593" s="1" t="n">
        <v>154.8</v>
      </c>
      <c r="E593" s="1" t="s">
        <v>14</v>
      </c>
      <c r="F593" s="1" t="s">
        <v>56</v>
      </c>
      <c r="G593" s="1" t="s">
        <v>82</v>
      </c>
      <c r="H593" s="1" t="s">
        <v>24</v>
      </c>
      <c r="I593" s="1" t="s">
        <v>1266</v>
      </c>
      <c r="J593" s="1" t="n">
        <v>16</v>
      </c>
      <c r="K593" s="1" t="s">
        <v>67</v>
      </c>
    </row>
    <row r="594" customFormat="false" ht="15" hidden="false" customHeight="true" outlineLevel="0" collapsed="false">
      <c r="A594" s="1" t="s">
        <v>1299</v>
      </c>
      <c r="B594" s="1" t="s">
        <v>155</v>
      </c>
      <c r="C594" s="1" t="s">
        <v>1300</v>
      </c>
      <c r="D594" s="1" t="n">
        <v>116.95</v>
      </c>
      <c r="E594" s="1" t="s">
        <v>14</v>
      </c>
      <c r="F594" s="1" t="s">
        <v>41</v>
      </c>
      <c r="G594" s="1" t="s">
        <v>23</v>
      </c>
      <c r="H594" s="1" t="s">
        <v>24</v>
      </c>
      <c r="I594" s="1" t="s">
        <v>1266</v>
      </c>
      <c r="J594" s="1" t="n">
        <v>16</v>
      </c>
      <c r="K594" s="1" t="s">
        <v>67</v>
      </c>
    </row>
    <row r="595" customFormat="false" ht="15" hidden="false" customHeight="true" outlineLevel="0" collapsed="false">
      <c r="A595" s="1" t="s">
        <v>1301</v>
      </c>
      <c r="B595" s="1" t="s">
        <v>173</v>
      </c>
      <c r="C595" s="1" t="s">
        <v>1302</v>
      </c>
      <c r="D595" s="1" t="n">
        <v>21.75</v>
      </c>
      <c r="E595" s="1" t="s">
        <v>14</v>
      </c>
      <c r="F595" s="1" t="s">
        <v>28</v>
      </c>
      <c r="G595" s="1" t="s">
        <v>29</v>
      </c>
      <c r="H595" s="1" t="s">
        <v>24</v>
      </c>
      <c r="I595" s="1" t="s">
        <v>1303</v>
      </c>
      <c r="J595" s="1" t="n">
        <v>1</v>
      </c>
      <c r="K595" s="1" t="s">
        <v>123</v>
      </c>
    </row>
    <row r="596" customFormat="false" ht="15" hidden="false" customHeight="true" outlineLevel="0" collapsed="false">
      <c r="A596" s="1" t="s">
        <v>1304</v>
      </c>
      <c r="B596" s="1" t="s">
        <v>101</v>
      </c>
      <c r="C596" s="1" t="s">
        <v>1305</v>
      </c>
      <c r="D596" s="1" t="n">
        <v>132.04</v>
      </c>
      <c r="E596" s="1" t="s">
        <v>14</v>
      </c>
      <c r="F596" s="1" t="s">
        <v>49</v>
      </c>
      <c r="G596" s="1" t="s">
        <v>23</v>
      </c>
      <c r="H596" s="1" t="s">
        <v>37</v>
      </c>
      <c r="I596" s="1" t="s">
        <v>1303</v>
      </c>
      <c r="J596" s="1" t="n">
        <v>1</v>
      </c>
      <c r="K596" s="1" t="s">
        <v>123</v>
      </c>
    </row>
    <row r="597" customFormat="false" ht="15" hidden="false" customHeight="true" outlineLevel="0" collapsed="false">
      <c r="A597" s="1" t="s">
        <v>1306</v>
      </c>
      <c r="B597" s="1" t="s">
        <v>173</v>
      </c>
      <c r="C597" s="1" t="s">
        <v>1307</v>
      </c>
      <c r="D597" s="1" t="n">
        <v>4210.73</v>
      </c>
      <c r="E597" s="1" t="s">
        <v>14</v>
      </c>
      <c r="F597" s="1" t="s">
        <v>28</v>
      </c>
      <c r="G597" s="1" t="s">
        <v>82</v>
      </c>
      <c r="H597" s="1" t="s">
        <v>17</v>
      </c>
      <c r="I597" s="1" t="s">
        <v>1303</v>
      </c>
      <c r="J597" s="1" t="n">
        <v>2</v>
      </c>
      <c r="K597" s="1" t="s">
        <v>123</v>
      </c>
    </row>
    <row r="598" customFormat="false" ht="15" hidden="false" customHeight="true" outlineLevel="0" collapsed="false">
      <c r="A598" s="1" t="s">
        <v>1308</v>
      </c>
      <c r="B598" s="1" t="s">
        <v>291</v>
      </c>
      <c r="C598" s="1" t="s">
        <v>1309</v>
      </c>
      <c r="D598" s="1" t="n">
        <v>130.53</v>
      </c>
      <c r="E598" s="1" t="s">
        <v>14</v>
      </c>
      <c r="F598" s="1" t="s">
        <v>28</v>
      </c>
      <c r="G598" s="1" t="s">
        <v>42</v>
      </c>
      <c r="H598" s="1" t="s">
        <v>37</v>
      </c>
      <c r="I598" s="1" t="s">
        <v>1303</v>
      </c>
      <c r="J598" s="1" t="n">
        <v>7</v>
      </c>
      <c r="K598" s="1" t="s">
        <v>123</v>
      </c>
    </row>
    <row r="599" customFormat="false" ht="15" hidden="false" customHeight="true" outlineLevel="0" collapsed="false">
      <c r="A599" s="1" t="s">
        <v>1310</v>
      </c>
      <c r="B599" s="1" t="s">
        <v>193</v>
      </c>
      <c r="C599" s="1" t="s">
        <v>1311</v>
      </c>
      <c r="D599" s="1" t="n">
        <v>128.15</v>
      </c>
      <c r="E599" s="1" t="s">
        <v>14</v>
      </c>
      <c r="F599" s="1" t="s">
        <v>15</v>
      </c>
      <c r="G599" s="1" t="s">
        <v>16</v>
      </c>
      <c r="H599" s="1" t="s">
        <v>24</v>
      </c>
      <c r="I599" s="1" t="s">
        <v>1303</v>
      </c>
      <c r="J599" s="1" t="n">
        <v>8</v>
      </c>
      <c r="K599" s="1" t="s">
        <v>123</v>
      </c>
    </row>
    <row r="600" customFormat="false" ht="15" hidden="false" customHeight="true" outlineLevel="0" collapsed="false">
      <c r="A600" s="1" t="s">
        <v>1312</v>
      </c>
      <c r="B600" s="1" t="s">
        <v>101</v>
      </c>
      <c r="C600" s="1" t="s">
        <v>1313</v>
      </c>
      <c r="D600" s="1" t="n">
        <v>123.67</v>
      </c>
      <c r="E600" s="1" t="s">
        <v>14</v>
      </c>
      <c r="F600" s="1" t="s">
        <v>49</v>
      </c>
      <c r="G600" s="1" t="s">
        <v>36</v>
      </c>
      <c r="H600" s="1" t="s">
        <v>24</v>
      </c>
      <c r="I600" s="1" t="s">
        <v>1303</v>
      </c>
      <c r="J600" s="1" t="n">
        <v>9</v>
      </c>
      <c r="K600" s="1" t="s">
        <v>123</v>
      </c>
    </row>
    <row r="601" customFormat="false" ht="15" hidden="false" customHeight="true" outlineLevel="0" collapsed="false">
      <c r="A601" s="1" t="s">
        <v>1314</v>
      </c>
      <c r="B601" s="1" t="s">
        <v>39</v>
      </c>
      <c r="C601" s="1" t="s">
        <v>1315</v>
      </c>
      <c r="D601" s="1" t="n">
        <v>117.97</v>
      </c>
      <c r="E601" s="1" t="s">
        <v>14</v>
      </c>
      <c r="F601" s="1" t="s">
        <v>41</v>
      </c>
      <c r="G601" s="1" t="s">
        <v>29</v>
      </c>
      <c r="H601" s="1" t="s">
        <v>37</v>
      </c>
      <c r="I601" s="1" t="s">
        <v>1303</v>
      </c>
      <c r="J601" s="1" t="n">
        <v>11</v>
      </c>
      <c r="K601" s="1" t="s">
        <v>123</v>
      </c>
    </row>
    <row r="602" customFormat="false" ht="15" hidden="false" customHeight="true" outlineLevel="0" collapsed="false">
      <c r="A602" s="1" t="s">
        <v>1316</v>
      </c>
      <c r="B602" s="1" t="s">
        <v>170</v>
      </c>
      <c r="C602" s="1" t="s">
        <v>1317</v>
      </c>
      <c r="D602" s="1" t="n">
        <v>42.45</v>
      </c>
      <c r="E602" s="1" t="s">
        <v>14</v>
      </c>
      <c r="F602" s="1" t="s">
        <v>41</v>
      </c>
      <c r="G602" s="1" t="s">
        <v>23</v>
      </c>
      <c r="H602" s="1" t="s">
        <v>17</v>
      </c>
      <c r="I602" s="1" t="s">
        <v>1303</v>
      </c>
      <c r="J602" s="1" t="n">
        <v>12</v>
      </c>
      <c r="K602" s="1" t="s">
        <v>123</v>
      </c>
    </row>
    <row r="603" customFormat="false" ht="15" hidden="false" customHeight="true" outlineLevel="0" collapsed="false">
      <c r="A603" s="1" t="s">
        <v>1318</v>
      </c>
      <c r="B603" s="1" t="s">
        <v>31</v>
      </c>
      <c r="C603" s="1" t="s">
        <v>1319</v>
      </c>
      <c r="D603" s="1" t="n">
        <v>123.19</v>
      </c>
      <c r="E603" s="1" t="s">
        <v>14</v>
      </c>
      <c r="F603" s="1" t="s">
        <v>15</v>
      </c>
      <c r="G603" s="1" t="s">
        <v>16</v>
      </c>
      <c r="H603" s="1" t="s">
        <v>24</v>
      </c>
      <c r="I603" s="1" t="s">
        <v>1303</v>
      </c>
      <c r="J603" s="1" t="n">
        <v>12</v>
      </c>
      <c r="K603" s="1" t="s">
        <v>123</v>
      </c>
    </row>
    <row r="604" customFormat="false" ht="15" hidden="false" customHeight="true" outlineLevel="0" collapsed="false">
      <c r="A604" s="1" t="s">
        <v>1320</v>
      </c>
      <c r="B604" s="1" t="s">
        <v>54</v>
      </c>
      <c r="C604" s="1" t="s">
        <v>1321</v>
      </c>
      <c r="D604" s="1" t="n">
        <v>55.55</v>
      </c>
      <c r="E604" s="1" t="s">
        <v>14</v>
      </c>
      <c r="F604" s="1" t="s">
        <v>56</v>
      </c>
      <c r="G604" s="1" t="s">
        <v>16</v>
      </c>
      <c r="H604" s="1" t="s">
        <v>24</v>
      </c>
      <c r="I604" s="1" t="s">
        <v>1303</v>
      </c>
      <c r="J604" s="1" t="n">
        <v>16</v>
      </c>
      <c r="K604" s="1" t="s">
        <v>123</v>
      </c>
    </row>
    <row r="605" customFormat="false" ht="15" hidden="false" customHeight="true" outlineLevel="0" collapsed="false">
      <c r="A605" s="1" t="s">
        <v>1322</v>
      </c>
      <c r="B605" s="1" t="s">
        <v>155</v>
      </c>
      <c r="C605" s="1" t="s">
        <v>1323</v>
      </c>
      <c r="D605" s="1" t="n">
        <v>113.94</v>
      </c>
      <c r="E605" s="1" t="s">
        <v>14</v>
      </c>
      <c r="F605" s="1" t="s">
        <v>41</v>
      </c>
      <c r="G605" s="1" t="s">
        <v>42</v>
      </c>
      <c r="H605" s="1" t="s">
        <v>17</v>
      </c>
      <c r="I605" s="1" t="s">
        <v>1303</v>
      </c>
      <c r="J605" s="1" t="n">
        <v>17</v>
      </c>
      <c r="K605" s="1" t="s">
        <v>123</v>
      </c>
    </row>
    <row r="606" customFormat="false" ht="15" hidden="false" customHeight="true" outlineLevel="0" collapsed="false">
      <c r="A606" s="1" t="s">
        <v>1324</v>
      </c>
      <c r="B606" s="1" t="s">
        <v>216</v>
      </c>
      <c r="C606" s="1" t="s">
        <v>1325</v>
      </c>
      <c r="D606" s="1" t="n">
        <v>16.9</v>
      </c>
      <c r="E606" s="1" t="s">
        <v>14</v>
      </c>
      <c r="F606" s="1" t="s">
        <v>49</v>
      </c>
      <c r="G606" s="1" t="s">
        <v>29</v>
      </c>
      <c r="H606" s="1" t="s">
        <v>17</v>
      </c>
      <c r="I606" s="1" t="s">
        <v>1303</v>
      </c>
      <c r="J606" s="1" t="n">
        <v>22</v>
      </c>
      <c r="K606" s="1" t="s">
        <v>123</v>
      </c>
    </row>
    <row r="607" customFormat="false" ht="15" hidden="false" customHeight="true" outlineLevel="0" collapsed="false">
      <c r="A607" s="1" t="s">
        <v>1326</v>
      </c>
      <c r="B607" s="1" t="s">
        <v>199</v>
      </c>
      <c r="C607" s="1" t="s">
        <v>1327</v>
      </c>
      <c r="D607" s="1" t="n">
        <v>30.8</v>
      </c>
      <c r="E607" s="1" t="s">
        <v>14</v>
      </c>
      <c r="F607" s="1" t="s">
        <v>41</v>
      </c>
      <c r="G607" s="1" t="s">
        <v>16</v>
      </c>
      <c r="H607" s="1" t="s">
        <v>37</v>
      </c>
      <c r="I607" s="1" t="s">
        <v>1303</v>
      </c>
      <c r="J607" s="1" t="n">
        <v>22</v>
      </c>
      <c r="K607" s="1" t="s">
        <v>123</v>
      </c>
    </row>
    <row r="608" customFormat="false" ht="15" hidden="false" customHeight="true" outlineLevel="0" collapsed="false">
      <c r="A608" s="1" t="s">
        <v>1328</v>
      </c>
      <c r="B608" s="1" t="s">
        <v>34</v>
      </c>
      <c r="C608" s="1" t="s">
        <v>1329</v>
      </c>
      <c r="D608" s="1" t="n">
        <v>64.49</v>
      </c>
      <c r="E608" s="1" t="s">
        <v>14</v>
      </c>
      <c r="F608" s="1" t="s">
        <v>15</v>
      </c>
      <c r="G608" s="1" t="s">
        <v>29</v>
      </c>
      <c r="H608" s="1" t="s">
        <v>17</v>
      </c>
      <c r="I608" s="1" t="s">
        <v>1330</v>
      </c>
      <c r="J608" s="1" t="n">
        <v>0</v>
      </c>
      <c r="K608" s="1" t="s">
        <v>151</v>
      </c>
    </row>
    <row r="609" customFormat="false" ht="15" hidden="false" customHeight="true" outlineLevel="0" collapsed="false">
      <c r="A609" s="1" t="s">
        <v>1331</v>
      </c>
      <c r="B609" s="1" t="s">
        <v>190</v>
      </c>
      <c r="C609" s="1" t="s">
        <v>1332</v>
      </c>
      <c r="D609" s="1" t="n">
        <v>161.35</v>
      </c>
      <c r="E609" s="1" t="s">
        <v>14</v>
      </c>
      <c r="F609" s="1" t="s">
        <v>49</v>
      </c>
      <c r="G609" s="1" t="s">
        <v>70</v>
      </c>
      <c r="H609" s="1" t="s">
        <v>17</v>
      </c>
      <c r="I609" s="1" t="s">
        <v>1330</v>
      </c>
      <c r="J609" s="1" t="n">
        <v>4</v>
      </c>
      <c r="K609" s="1" t="s">
        <v>151</v>
      </c>
    </row>
    <row r="610" customFormat="false" ht="15" hidden="false" customHeight="true" outlineLevel="0" collapsed="false">
      <c r="A610" s="1" t="s">
        <v>1333</v>
      </c>
      <c r="B610" s="1" t="s">
        <v>137</v>
      </c>
      <c r="C610" s="1" t="s">
        <v>1334</v>
      </c>
      <c r="D610" s="1" t="n">
        <v>71.28</v>
      </c>
      <c r="E610" s="1" t="s">
        <v>14</v>
      </c>
      <c r="F610" s="1" t="s">
        <v>49</v>
      </c>
      <c r="G610" s="1" t="s">
        <v>29</v>
      </c>
      <c r="H610" s="1" t="s">
        <v>17</v>
      </c>
      <c r="I610" s="1" t="s">
        <v>1330</v>
      </c>
      <c r="J610" s="1" t="n">
        <v>7</v>
      </c>
      <c r="K610" s="1" t="s">
        <v>151</v>
      </c>
    </row>
    <row r="611" customFormat="false" ht="15" hidden="false" customHeight="true" outlineLevel="0" collapsed="false">
      <c r="A611" s="1" t="s">
        <v>1335</v>
      </c>
      <c r="B611" s="1" t="s">
        <v>101</v>
      </c>
      <c r="C611" s="1" t="s">
        <v>1336</v>
      </c>
      <c r="D611" s="1" t="n">
        <v>119.85</v>
      </c>
      <c r="E611" s="1" t="s">
        <v>14</v>
      </c>
      <c r="F611" s="1" t="s">
        <v>49</v>
      </c>
      <c r="G611" s="1" t="s">
        <v>86</v>
      </c>
      <c r="H611" s="1" t="s">
        <v>24</v>
      </c>
      <c r="I611" s="1" t="s">
        <v>1330</v>
      </c>
      <c r="J611" s="1" t="n">
        <v>7</v>
      </c>
      <c r="K611" s="1" t="s">
        <v>151</v>
      </c>
    </row>
    <row r="612" customFormat="false" ht="15" hidden="false" customHeight="true" outlineLevel="0" collapsed="false">
      <c r="A612" s="1" t="s">
        <v>1337</v>
      </c>
      <c r="B612" s="1" t="s">
        <v>72</v>
      </c>
      <c r="C612" s="1" t="s">
        <v>1338</v>
      </c>
      <c r="D612" s="1" t="n">
        <v>104.18</v>
      </c>
      <c r="E612" s="1" t="s">
        <v>14</v>
      </c>
      <c r="F612" s="1" t="s">
        <v>49</v>
      </c>
      <c r="G612" s="1" t="s">
        <v>42</v>
      </c>
      <c r="H612" s="1" t="s">
        <v>17</v>
      </c>
      <c r="I612" s="1" t="s">
        <v>1330</v>
      </c>
      <c r="J612" s="1" t="n">
        <v>7</v>
      </c>
      <c r="K612" s="1" t="s">
        <v>151</v>
      </c>
    </row>
    <row r="613" customFormat="false" ht="15" hidden="false" customHeight="true" outlineLevel="0" collapsed="false">
      <c r="A613" s="1" t="s">
        <v>1339</v>
      </c>
      <c r="B613" s="1" t="s">
        <v>240</v>
      </c>
      <c r="C613" s="1" t="s">
        <v>1340</v>
      </c>
      <c r="D613" s="1" t="n">
        <v>108.31</v>
      </c>
      <c r="E613" s="1" t="s">
        <v>14</v>
      </c>
      <c r="F613" s="1" t="s">
        <v>56</v>
      </c>
      <c r="G613" s="1" t="s">
        <v>36</v>
      </c>
      <c r="H613" s="1" t="s">
        <v>17</v>
      </c>
      <c r="I613" s="1" t="s">
        <v>1330</v>
      </c>
      <c r="J613" s="1" t="n">
        <v>8</v>
      </c>
      <c r="K613" s="1" t="s">
        <v>151</v>
      </c>
    </row>
    <row r="614" customFormat="false" ht="15" hidden="false" customHeight="true" outlineLevel="0" collapsed="false">
      <c r="A614" s="1" t="s">
        <v>1341</v>
      </c>
      <c r="B614" s="1" t="s">
        <v>145</v>
      </c>
      <c r="C614" s="1" t="s">
        <v>1342</v>
      </c>
      <c r="D614" s="1" t="n">
        <v>237.08</v>
      </c>
      <c r="E614" s="1" t="s">
        <v>14</v>
      </c>
      <c r="F614" s="1" t="s">
        <v>15</v>
      </c>
      <c r="G614" s="1" t="s">
        <v>36</v>
      </c>
      <c r="H614" s="1" t="s">
        <v>24</v>
      </c>
      <c r="I614" s="1" t="s">
        <v>1330</v>
      </c>
      <c r="J614" s="1" t="n">
        <v>10</v>
      </c>
      <c r="K614" s="1" t="s">
        <v>151</v>
      </c>
    </row>
    <row r="615" customFormat="false" ht="15" hidden="false" customHeight="true" outlineLevel="0" collapsed="false">
      <c r="A615" s="1" t="s">
        <v>1343</v>
      </c>
      <c r="B615" s="1" t="s">
        <v>332</v>
      </c>
      <c r="C615" s="1" t="s">
        <v>1344</v>
      </c>
      <c r="D615" s="1" t="n">
        <v>18.54</v>
      </c>
      <c r="E615" s="1" t="s">
        <v>14</v>
      </c>
      <c r="F615" s="1" t="s">
        <v>49</v>
      </c>
      <c r="G615" s="1" t="s">
        <v>23</v>
      </c>
      <c r="H615" s="1" t="s">
        <v>17</v>
      </c>
      <c r="I615" s="1" t="s">
        <v>1330</v>
      </c>
      <c r="J615" s="1" t="n">
        <v>11</v>
      </c>
      <c r="K615" s="1" t="s">
        <v>151</v>
      </c>
    </row>
    <row r="616" customFormat="false" ht="15" hidden="false" customHeight="true" outlineLevel="0" collapsed="false">
      <c r="A616" s="1" t="s">
        <v>1345</v>
      </c>
      <c r="B616" s="1" t="s">
        <v>90</v>
      </c>
      <c r="C616" s="1" t="s">
        <v>1346</v>
      </c>
      <c r="D616" s="1" t="n">
        <v>35.53</v>
      </c>
      <c r="E616" s="1" t="s">
        <v>14</v>
      </c>
      <c r="F616" s="1" t="s">
        <v>41</v>
      </c>
      <c r="G616" s="1" t="s">
        <v>42</v>
      </c>
      <c r="H616" s="1" t="s">
        <v>37</v>
      </c>
      <c r="I616" s="1" t="s">
        <v>1330</v>
      </c>
      <c r="J616" s="1" t="n">
        <v>13</v>
      </c>
      <c r="K616" s="1" t="s">
        <v>151</v>
      </c>
    </row>
    <row r="617" customFormat="false" ht="15" hidden="false" customHeight="true" outlineLevel="0" collapsed="false">
      <c r="A617" s="1" t="s">
        <v>1347</v>
      </c>
      <c r="B617" s="1" t="s">
        <v>84</v>
      </c>
      <c r="C617" s="1" t="s">
        <v>1348</v>
      </c>
      <c r="D617" s="1" t="n">
        <v>37.1</v>
      </c>
      <c r="E617" s="1" t="s">
        <v>14</v>
      </c>
      <c r="F617" s="1" t="s">
        <v>56</v>
      </c>
      <c r="G617" s="1" t="s">
        <v>36</v>
      </c>
      <c r="H617" s="1" t="s">
        <v>24</v>
      </c>
      <c r="I617" s="1" t="s">
        <v>1330</v>
      </c>
      <c r="J617" s="1" t="n">
        <v>14</v>
      </c>
      <c r="K617" s="1" t="s">
        <v>151</v>
      </c>
    </row>
    <row r="618" customFormat="false" ht="15" hidden="false" customHeight="true" outlineLevel="0" collapsed="false">
      <c r="A618" s="1" t="s">
        <v>1349</v>
      </c>
      <c r="B618" s="1" t="s">
        <v>183</v>
      </c>
      <c r="C618" s="1" t="s">
        <v>1350</v>
      </c>
      <c r="D618" s="1" t="n">
        <v>44.62</v>
      </c>
      <c r="E618" s="1" t="s">
        <v>14</v>
      </c>
      <c r="F618" s="1" t="s">
        <v>15</v>
      </c>
      <c r="G618" s="1" t="s">
        <v>86</v>
      </c>
      <c r="H618" s="1" t="s">
        <v>24</v>
      </c>
      <c r="I618" s="1" t="s">
        <v>1330</v>
      </c>
      <c r="J618" s="1" t="n">
        <v>17</v>
      </c>
      <c r="K618" s="1" t="s">
        <v>151</v>
      </c>
    </row>
    <row r="619" customFormat="false" ht="15" hidden="false" customHeight="true" outlineLevel="0" collapsed="false">
      <c r="A619" s="1" t="s">
        <v>1351</v>
      </c>
      <c r="B619" s="1" t="s">
        <v>240</v>
      </c>
      <c r="C619" s="1" t="s">
        <v>1352</v>
      </c>
      <c r="D619" s="1" t="n">
        <v>262.65</v>
      </c>
      <c r="E619" s="1" t="s">
        <v>14</v>
      </c>
      <c r="F619" s="1" t="s">
        <v>56</v>
      </c>
      <c r="G619" s="1" t="s">
        <v>70</v>
      </c>
      <c r="H619" s="1" t="s">
        <v>37</v>
      </c>
      <c r="I619" s="1" t="s">
        <v>1330</v>
      </c>
      <c r="J619" s="1" t="n">
        <v>18</v>
      </c>
      <c r="K619" s="1" t="s">
        <v>151</v>
      </c>
    </row>
    <row r="620" customFormat="false" ht="15" hidden="false" customHeight="true" outlineLevel="0" collapsed="false">
      <c r="A620" s="1" t="s">
        <v>1353</v>
      </c>
      <c r="B620" s="1" t="s">
        <v>173</v>
      </c>
      <c r="C620" s="1" t="s">
        <v>1354</v>
      </c>
      <c r="D620" s="1" t="n">
        <v>27.64</v>
      </c>
      <c r="E620" s="1" t="s">
        <v>14</v>
      </c>
      <c r="F620" s="1" t="s">
        <v>28</v>
      </c>
      <c r="G620" s="1" t="s">
        <v>16</v>
      </c>
      <c r="H620" s="1" t="s">
        <v>17</v>
      </c>
      <c r="I620" s="1" t="s">
        <v>1330</v>
      </c>
      <c r="J620" s="1" t="n">
        <v>20</v>
      </c>
      <c r="K620" s="1" t="s">
        <v>151</v>
      </c>
    </row>
    <row r="621" customFormat="false" ht="15" hidden="false" customHeight="true" outlineLevel="0" collapsed="false">
      <c r="A621" s="1" t="s">
        <v>1355</v>
      </c>
      <c r="B621" s="1" t="s">
        <v>235</v>
      </c>
      <c r="C621" s="1" t="s">
        <v>1356</v>
      </c>
      <c r="D621" s="1" t="n">
        <v>18.88</v>
      </c>
      <c r="E621" s="1" t="s">
        <v>14</v>
      </c>
      <c r="F621" s="1" t="s">
        <v>41</v>
      </c>
      <c r="G621" s="1" t="s">
        <v>29</v>
      </c>
      <c r="H621" s="1" t="s">
        <v>17</v>
      </c>
      <c r="I621" s="1" t="s">
        <v>1357</v>
      </c>
      <c r="J621" s="1" t="n">
        <v>5</v>
      </c>
      <c r="K621" s="1" t="s">
        <v>186</v>
      </c>
    </row>
    <row r="622" customFormat="false" ht="15" hidden="false" customHeight="true" outlineLevel="0" collapsed="false">
      <c r="A622" s="1" t="s">
        <v>1358</v>
      </c>
      <c r="B622" s="1" t="s">
        <v>125</v>
      </c>
      <c r="C622" s="1" t="s">
        <v>1359</v>
      </c>
      <c r="D622" s="1" t="n">
        <v>67.8</v>
      </c>
      <c r="E622" s="1" t="s">
        <v>14</v>
      </c>
      <c r="F622" s="1" t="s">
        <v>28</v>
      </c>
      <c r="G622" s="1" t="s">
        <v>16</v>
      </c>
      <c r="H622" s="1" t="s">
        <v>24</v>
      </c>
      <c r="I622" s="1" t="s">
        <v>1357</v>
      </c>
      <c r="J622" s="1" t="n">
        <v>6</v>
      </c>
      <c r="K622" s="1" t="s">
        <v>186</v>
      </c>
    </row>
    <row r="623" customFormat="false" ht="15" hidden="false" customHeight="true" outlineLevel="0" collapsed="false">
      <c r="A623" s="1" t="s">
        <v>1360</v>
      </c>
      <c r="B623" s="1" t="s">
        <v>155</v>
      </c>
      <c r="C623" s="1" t="s">
        <v>1361</v>
      </c>
      <c r="D623" s="1" t="n">
        <v>59.32</v>
      </c>
      <c r="E623" s="1" t="s">
        <v>14</v>
      </c>
      <c r="F623" s="1" t="s">
        <v>41</v>
      </c>
      <c r="G623" s="1" t="s">
        <v>82</v>
      </c>
      <c r="H623" s="1" t="s">
        <v>37</v>
      </c>
      <c r="I623" s="1" t="s">
        <v>1357</v>
      </c>
      <c r="J623" s="1" t="n">
        <v>6</v>
      </c>
      <c r="K623" s="1" t="s">
        <v>186</v>
      </c>
    </row>
    <row r="624" customFormat="false" ht="15" hidden="false" customHeight="true" outlineLevel="0" collapsed="false">
      <c r="A624" s="1" t="s">
        <v>1362</v>
      </c>
      <c r="B624" s="1" t="s">
        <v>332</v>
      </c>
      <c r="C624" s="1" t="s">
        <v>1363</v>
      </c>
      <c r="D624" s="1" t="n">
        <v>60.27</v>
      </c>
      <c r="E624" s="1" t="s">
        <v>14</v>
      </c>
      <c r="F624" s="1" t="s">
        <v>49</v>
      </c>
      <c r="G624" s="1" t="s">
        <v>29</v>
      </c>
      <c r="H624" s="1" t="s">
        <v>17</v>
      </c>
      <c r="I624" s="1" t="s">
        <v>1357</v>
      </c>
      <c r="J624" s="1" t="n">
        <v>6</v>
      </c>
      <c r="K624" s="1" t="s">
        <v>186</v>
      </c>
    </row>
    <row r="625" customFormat="false" ht="15" hidden="false" customHeight="true" outlineLevel="0" collapsed="false">
      <c r="A625" s="1" t="s">
        <v>1364</v>
      </c>
      <c r="B625" s="1" t="s">
        <v>98</v>
      </c>
      <c r="C625" s="1" t="s">
        <v>1365</v>
      </c>
      <c r="D625" s="1" t="n">
        <v>78.74</v>
      </c>
      <c r="E625" s="1" t="s">
        <v>14</v>
      </c>
      <c r="F625" s="1" t="s">
        <v>15</v>
      </c>
      <c r="G625" s="1" t="s">
        <v>70</v>
      </c>
      <c r="H625" s="1" t="s">
        <v>37</v>
      </c>
      <c r="I625" s="1" t="s">
        <v>1357</v>
      </c>
      <c r="J625" s="1" t="n">
        <v>8</v>
      </c>
      <c r="K625" s="1" t="s">
        <v>186</v>
      </c>
    </row>
    <row r="626" customFormat="false" ht="15" hidden="false" customHeight="true" outlineLevel="0" collapsed="false">
      <c r="A626" s="1" t="s">
        <v>1366</v>
      </c>
      <c r="B626" s="1" t="s">
        <v>12</v>
      </c>
      <c r="C626" s="1" t="s">
        <v>1367</v>
      </c>
      <c r="D626" s="1" t="n">
        <v>35.36</v>
      </c>
      <c r="E626" s="1" t="s">
        <v>14</v>
      </c>
      <c r="F626" s="1" t="s">
        <v>15</v>
      </c>
      <c r="G626" s="1" t="s">
        <v>82</v>
      </c>
      <c r="H626" s="1" t="s">
        <v>24</v>
      </c>
      <c r="I626" s="1" t="s">
        <v>1357</v>
      </c>
      <c r="J626" s="1" t="n">
        <v>8</v>
      </c>
      <c r="K626" s="1" t="s">
        <v>186</v>
      </c>
    </row>
    <row r="627" customFormat="false" ht="15" hidden="false" customHeight="true" outlineLevel="0" collapsed="false">
      <c r="A627" s="1" t="s">
        <v>1368</v>
      </c>
      <c r="B627" s="1" t="s">
        <v>162</v>
      </c>
      <c r="C627" s="1" t="s">
        <v>1369</v>
      </c>
      <c r="D627" s="1" t="n">
        <v>117.86</v>
      </c>
      <c r="E627" s="1" t="s">
        <v>14</v>
      </c>
      <c r="F627" s="1" t="s">
        <v>49</v>
      </c>
      <c r="G627" s="1" t="s">
        <v>70</v>
      </c>
      <c r="H627" s="1" t="s">
        <v>17</v>
      </c>
      <c r="I627" s="1" t="s">
        <v>1357</v>
      </c>
      <c r="J627" s="1" t="n">
        <v>9</v>
      </c>
      <c r="K627" s="1" t="s">
        <v>186</v>
      </c>
    </row>
    <row r="628" customFormat="false" ht="15" hidden="false" customHeight="true" outlineLevel="0" collapsed="false">
      <c r="A628" s="1" t="s">
        <v>1370</v>
      </c>
      <c r="B628" s="1" t="s">
        <v>487</v>
      </c>
      <c r="C628" s="1" t="s">
        <v>1371</v>
      </c>
      <c r="D628" s="1" t="n">
        <v>41.55</v>
      </c>
      <c r="E628" s="1" t="s">
        <v>14</v>
      </c>
      <c r="F628" s="1" t="s">
        <v>49</v>
      </c>
      <c r="G628" s="1" t="s">
        <v>86</v>
      </c>
      <c r="H628" s="1" t="s">
        <v>17</v>
      </c>
      <c r="I628" s="1" t="s">
        <v>1357</v>
      </c>
      <c r="J628" s="1" t="n">
        <v>10</v>
      </c>
      <c r="K628" s="1" t="s">
        <v>186</v>
      </c>
    </row>
    <row r="629" customFormat="false" ht="15" hidden="false" customHeight="true" outlineLevel="0" collapsed="false">
      <c r="A629" s="1" t="s">
        <v>1372</v>
      </c>
      <c r="B629" s="1" t="s">
        <v>54</v>
      </c>
      <c r="C629" s="1" t="s">
        <v>1373</v>
      </c>
      <c r="D629" s="1" t="n">
        <v>72.09</v>
      </c>
      <c r="E629" s="1" t="s">
        <v>14</v>
      </c>
      <c r="F629" s="1" t="s">
        <v>56</v>
      </c>
      <c r="G629" s="1" t="s">
        <v>29</v>
      </c>
      <c r="H629" s="1" t="s">
        <v>24</v>
      </c>
      <c r="I629" s="1" t="s">
        <v>1357</v>
      </c>
      <c r="J629" s="1" t="n">
        <v>11</v>
      </c>
      <c r="K629" s="1" t="s">
        <v>186</v>
      </c>
    </row>
    <row r="630" customFormat="false" ht="15" hidden="false" customHeight="true" outlineLevel="0" collapsed="false">
      <c r="A630" s="1" t="s">
        <v>1374</v>
      </c>
      <c r="B630" s="1" t="s">
        <v>258</v>
      </c>
      <c r="C630" s="1" t="s">
        <v>1375</v>
      </c>
      <c r="D630" s="1" t="n">
        <v>21.63</v>
      </c>
      <c r="E630" s="1" t="s">
        <v>14</v>
      </c>
      <c r="F630" s="1" t="s">
        <v>28</v>
      </c>
      <c r="G630" s="1" t="s">
        <v>16</v>
      </c>
      <c r="H630" s="1" t="s">
        <v>24</v>
      </c>
      <c r="I630" s="1" t="s">
        <v>1357</v>
      </c>
      <c r="J630" s="1" t="n">
        <v>11</v>
      </c>
      <c r="K630" s="1" t="s">
        <v>186</v>
      </c>
    </row>
    <row r="631" customFormat="false" ht="15" hidden="false" customHeight="true" outlineLevel="0" collapsed="false">
      <c r="A631" s="1" t="s">
        <v>1376</v>
      </c>
      <c r="B631" s="1" t="s">
        <v>51</v>
      </c>
      <c r="C631" s="1" t="s">
        <v>1377</v>
      </c>
      <c r="D631" s="1" t="n">
        <v>27.05</v>
      </c>
      <c r="E631" s="1" t="s">
        <v>14</v>
      </c>
      <c r="F631" s="1" t="s">
        <v>41</v>
      </c>
      <c r="G631" s="1" t="s">
        <v>86</v>
      </c>
      <c r="H631" s="1" t="s">
        <v>37</v>
      </c>
      <c r="I631" s="1" t="s">
        <v>1357</v>
      </c>
      <c r="J631" s="1" t="n">
        <v>12</v>
      </c>
      <c r="K631" s="1" t="s">
        <v>186</v>
      </c>
    </row>
    <row r="632" customFormat="false" ht="15" hidden="false" customHeight="true" outlineLevel="0" collapsed="false">
      <c r="A632" s="1" t="s">
        <v>1378</v>
      </c>
      <c r="B632" s="1" t="s">
        <v>170</v>
      </c>
      <c r="C632" s="1" t="s">
        <v>1379</v>
      </c>
      <c r="D632" s="1" t="n">
        <v>32.21</v>
      </c>
      <c r="E632" s="1" t="s">
        <v>14</v>
      </c>
      <c r="F632" s="1" t="s">
        <v>41</v>
      </c>
      <c r="G632" s="1" t="s">
        <v>23</v>
      </c>
      <c r="H632" s="1" t="s">
        <v>17</v>
      </c>
      <c r="I632" s="1" t="s">
        <v>1357</v>
      </c>
      <c r="J632" s="1" t="n">
        <v>14</v>
      </c>
      <c r="K632" s="1" t="s">
        <v>186</v>
      </c>
    </row>
    <row r="633" customFormat="false" ht="15" hidden="false" customHeight="true" outlineLevel="0" collapsed="false">
      <c r="A633" s="1" t="s">
        <v>1380</v>
      </c>
      <c r="B633" s="1" t="s">
        <v>344</v>
      </c>
      <c r="C633" s="1" t="s">
        <v>1381</v>
      </c>
      <c r="D633" s="1" t="n">
        <v>108.74</v>
      </c>
      <c r="E633" s="1" t="s">
        <v>14</v>
      </c>
      <c r="F633" s="1" t="s">
        <v>49</v>
      </c>
      <c r="G633" s="1" t="s">
        <v>36</v>
      </c>
      <c r="H633" s="1" t="s">
        <v>37</v>
      </c>
      <c r="I633" s="1" t="s">
        <v>1357</v>
      </c>
      <c r="J633" s="1" t="n">
        <v>15</v>
      </c>
      <c r="K633" s="1" t="s">
        <v>186</v>
      </c>
    </row>
    <row r="634" customFormat="false" ht="15" hidden="false" customHeight="true" outlineLevel="0" collapsed="false">
      <c r="A634" s="1" t="s">
        <v>1382</v>
      </c>
      <c r="B634" s="1" t="s">
        <v>170</v>
      </c>
      <c r="C634" s="1" t="s">
        <v>1383</v>
      </c>
      <c r="D634" s="1" t="n">
        <v>272.65</v>
      </c>
      <c r="E634" s="1" t="s">
        <v>14</v>
      </c>
      <c r="F634" s="1" t="s">
        <v>41</v>
      </c>
      <c r="G634" s="1" t="s">
        <v>70</v>
      </c>
      <c r="H634" s="1" t="s">
        <v>24</v>
      </c>
      <c r="I634" s="1" t="s">
        <v>1357</v>
      </c>
      <c r="J634" s="1" t="n">
        <v>17</v>
      </c>
      <c r="K634" s="1" t="s">
        <v>186</v>
      </c>
    </row>
    <row r="635" customFormat="false" ht="15" hidden="false" customHeight="true" outlineLevel="0" collapsed="false">
      <c r="A635" s="1" t="s">
        <v>1384</v>
      </c>
      <c r="B635" s="1" t="s">
        <v>196</v>
      </c>
      <c r="C635" s="1" t="s">
        <v>1385</v>
      </c>
      <c r="D635" s="1" t="n">
        <v>79.27</v>
      </c>
      <c r="E635" s="1" t="s">
        <v>14</v>
      </c>
      <c r="F635" s="1" t="s">
        <v>15</v>
      </c>
      <c r="G635" s="1" t="s">
        <v>16</v>
      </c>
      <c r="H635" s="1" t="s">
        <v>37</v>
      </c>
      <c r="I635" s="1" t="s">
        <v>1357</v>
      </c>
      <c r="J635" s="1" t="n">
        <v>20</v>
      </c>
      <c r="K635" s="1" t="s">
        <v>186</v>
      </c>
    </row>
    <row r="636" customFormat="false" ht="15" hidden="false" customHeight="true" outlineLevel="0" collapsed="false">
      <c r="A636" s="1" t="s">
        <v>1386</v>
      </c>
      <c r="B636" s="1" t="s">
        <v>228</v>
      </c>
      <c r="C636" s="1" t="s">
        <v>1387</v>
      </c>
      <c r="D636" s="1" t="n">
        <v>21.07</v>
      </c>
      <c r="E636" s="1" t="s">
        <v>14</v>
      </c>
      <c r="F636" s="1" t="s">
        <v>28</v>
      </c>
      <c r="G636" s="1" t="s">
        <v>16</v>
      </c>
      <c r="H636" s="1" t="s">
        <v>17</v>
      </c>
      <c r="I636" s="1" t="s">
        <v>1388</v>
      </c>
      <c r="J636" s="1" t="n">
        <v>0</v>
      </c>
      <c r="K636" s="1" t="s">
        <v>219</v>
      </c>
    </row>
    <row r="637" customFormat="false" ht="15" hidden="false" customHeight="true" outlineLevel="0" collapsed="false">
      <c r="A637" s="1" t="s">
        <v>1389</v>
      </c>
      <c r="B637" s="1" t="s">
        <v>286</v>
      </c>
      <c r="C637" s="1" t="s">
        <v>1390</v>
      </c>
      <c r="D637" s="1" t="n">
        <v>17.63</v>
      </c>
      <c r="E637" s="1" t="s">
        <v>14</v>
      </c>
      <c r="F637" s="1" t="s">
        <v>15</v>
      </c>
      <c r="G637" s="1" t="s">
        <v>86</v>
      </c>
      <c r="H637" s="1" t="s">
        <v>17</v>
      </c>
      <c r="I637" s="1" t="s">
        <v>1388</v>
      </c>
      <c r="J637" s="1" t="n">
        <v>2</v>
      </c>
      <c r="K637" s="1" t="s">
        <v>219</v>
      </c>
    </row>
    <row r="638" customFormat="false" ht="15" hidden="false" customHeight="true" outlineLevel="0" collapsed="false">
      <c r="A638" s="1" t="s">
        <v>1391</v>
      </c>
      <c r="B638" s="1" t="s">
        <v>31</v>
      </c>
      <c r="C638" s="1" t="s">
        <v>1392</v>
      </c>
      <c r="D638" s="1" t="n">
        <v>41.85</v>
      </c>
      <c r="E638" s="1" t="s">
        <v>14</v>
      </c>
      <c r="F638" s="1" t="s">
        <v>15</v>
      </c>
      <c r="G638" s="1" t="s">
        <v>42</v>
      </c>
      <c r="H638" s="1" t="s">
        <v>24</v>
      </c>
      <c r="I638" s="1" t="s">
        <v>1388</v>
      </c>
      <c r="J638" s="1" t="n">
        <v>5</v>
      </c>
      <c r="K638" s="1" t="s">
        <v>219</v>
      </c>
    </row>
    <row r="639" customFormat="false" ht="15" hidden="false" customHeight="true" outlineLevel="0" collapsed="false">
      <c r="A639" s="1" t="s">
        <v>1393</v>
      </c>
      <c r="B639" s="1" t="s">
        <v>321</v>
      </c>
      <c r="C639" s="1" t="s">
        <v>1394</v>
      </c>
      <c r="D639" s="1" t="n">
        <v>31.62</v>
      </c>
      <c r="E639" s="1" t="s">
        <v>14</v>
      </c>
      <c r="F639" s="1" t="s">
        <v>15</v>
      </c>
      <c r="G639" s="1" t="s">
        <v>86</v>
      </c>
      <c r="H639" s="1" t="s">
        <v>37</v>
      </c>
      <c r="I639" s="1" t="s">
        <v>1388</v>
      </c>
      <c r="J639" s="1" t="n">
        <v>6</v>
      </c>
      <c r="K639" s="1" t="s">
        <v>219</v>
      </c>
    </row>
    <row r="640" customFormat="false" ht="15" hidden="false" customHeight="true" outlineLevel="0" collapsed="false">
      <c r="A640" s="1" t="s">
        <v>1395</v>
      </c>
      <c r="B640" s="1" t="s">
        <v>286</v>
      </c>
      <c r="C640" s="1" t="s">
        <v>1396</v>
      </c>
      <c r="D640" s="1" t="n">
        <v>1176.86</v>
      </c>
      <c r="E640" s="1" t="s">
        <v>14</v>
      </c>
      <c r="F640" s="1" t="s">
        <v>15</v>
      </c>
      <c r="G640" s="1" t="s">
        <v>42</v>
      </c>
      <c r="H640" s="1" t="s">
        <v>24</v>
      </c>
      <c r="I640" s="1" t="s">
        <v>1388</v>
      </c>
      <c r="J640" s="1" t="n">
        <v>8</v>
      </c>
      <c r="K640" s="1" t="s">
        <v>219</v>
      </c>
    </row>
    <row r="641" customFormat="false" ht="15" hidden="false" customHeight="true" outlineLevel="0" collapsed="false">
      <c r="A641" s="1" t="s">
        <v>1397</v>
      </c>
      <c r="B641" s="1" t="s">
        <v>80</v>
      </c>
      <c r="C641" s="1" t="s">
        <v>1398</v>
      </c>
      <c r="D641" s="1" t="n">
        <v>33.11</v>
      </c>
      <c r="E641" s="1" t="s">
        <v>14</v>
      </c>
      <c r="F641" s="1" t="s">
        <v>56</v>
      </c>
      <c r="G641" s="1" t="s">
        <v>82</v>
      </c>
      <c r="H641" s="1" t="s">
        <v>24</v>
      </c>
      <c r="I641" s="1" t="s">
        <v>1388</v>
      </c>
      <c r="J641" s="1" t="n">
        <v>8</v>
      </c>
      <c r="K641" s="1" t="s">
        <v>219</v>
      </c>
    </row>
    <row r="642" customFormat="false" ht="15" hidden="false" customHeight="true" outlineLevel="0" collapsed="false">
      <c r="A642" s="1" t="s">
        <v>1399</v>
      </c>
      <c r="B642" s="1" t="s">
        <v>64</v>
      </c>
      <c r="C642" s="1" t="s">
        <v>1400</v>
      </c>
      <c r="D642" s="1" t="n">
        <v>233.03</v>
      </c>
      <c r="E642" s="1" t="s">
        <v>14</v>
      </c>
      <c r="F642" s="1" t="s">
        <v>41</v>
      </c>
      <c r="G642" s="1" t="s">
        <v>29</v>
      </c>
      <c r="H642" s="1" t="s">
        <v>37</v>
      </c>
      <c r="I642" s="1" t="s">
        <v>1388</v>
      </c>
      <c r="J642" s="1" t="n">
        <v>8</v>
      </c>
      <c r="K642" s="1" t="s">
        <v>219</v>
      </c>
    </row>
    <row r="643" customFormat="false" ht="15" hidden="false" customHeight="true" outlineLevel="0" collapsed="false">
      <c r="A643" s="1" t="s">
        <v>1401</v>
      </c>
      <c r="B643" s="1" t="s">
        <v>54</v>
      </c>
      <c r="C643" s="1" t="s">
        <v>1402</v>
      </c>
      <c r="D643" s="1" t="n">
        <v>2613.82</v>
      </c>
      <c r="E643" s="1" t="s">
        <v>14</v>
      </c>
      <c r="F643" s="1" t="s">
        <v>56</v>
      </c>
      <c r="G643" s="1" t="s">
        <v>23</v>
      </c>
      <c r="H643" s="1" t="s">
        <v>276</v>
      </c>
      <c r="I643" s="1" t="s">
        <v>1388</v>
      </c>
      <c r="J643" s="1" t="n">
        <v>9</v>
      </c>
      <c r="K643" s="1" t="s">
        <v>219</v>
      </c>
    </row>
    <row r="644" customFormat="false" ht="15" hidden="false" customHeight="true" outlineLevel="0" collapsed="false">
      <c r="A644" s="1" t="s">
        <v>1403</v>
      </c>
      <c r="B644" s="1" t="s">
        <v>47</v>
      </c>
      <c r="C644" s="1" t="s">
        <v>1404</v>
      </c>
      <c r="D644" s="1" t="n">
        <v>44.12</v>
      </c>
      <c r="E644" s="1" t="s">
        <v>14</v>
      </c>
      <c r="F644" s="1" t="s">
        <v>49</v>
      </c>
      <c r="G644" s="1" t="s">
        <v>29</v>
      </c>
      <c r="H644" s="1" t="s">
        <v>24</v>
      </c>
      <c r="I644" s="1" t="s">
        <v>1388</v>
      </c>
      <c r="J644" s="1" t="n">
        <v>9</v>
      </c>
      <c r="K644" s="1" t="s">
        <v>219</v>
      </c>
    </row>
    <row r="645" customFormat="false" ht="15" hidden="false" customHeight="true" outlineLevel="0" collapsed="false">
      <c r="A645" s="1" t="s">
        <v>1405</v>
      </c>
      <c r="B645" s="1" t="s">
        <v>286</v>
      </c>
      <c r="C645" s="1" t="s">
        <v>1406</v>
      </c>
      <c r="D645" s="1" t="n">
        <v>1154.04</v>
      </c>
      <c r="E645" s="1" t="s">
        <v>14</v>
      </c>
      <c r="F645" s="1" t="s">
        <v>28</v>
      </c>
      <c r="G645" s="1" t="s">
        <v>82</v>
      </c>
      <c r="H645" s="1" t="s">
        <v>17</v>
      </c>
      <c r="I645" s="1" t="s">
        <v>1388</v>
      </c>
      <c r="J645" s="1" t="n">
        <v>10</v>
      </c>
      <c r="K645" s="1" t="s">
        <v>219</v>
      </c>
    </row>
    <row r="646" customFormat="false" ht="15" hidden="false" customHeight="true" outlineLevel="0" collapsed="false">
      <c r="A646" s="1" t="s">
        <v>1407</v>
      </c>
      <c r="B646" s="1" t="s">
        <v>170</v>
      </c>
      <c r="C646" s="1" t="s">
        <v>1408</v>
      </c>
      <c r="D646" s="1" t="n">
        <v>11.15</v>
      </c>
      <c r="E646" s="1" t="s">
        <v>14</v>
      </c>
      <c r="F646" s="1" t="s">
        <v>41</v>
      </c>
      <c r="G646" s="1" t="s">
        <v>16</v>
      </c>
      <c r="H646" s="1" t="s">
        <v>37</v>
      </c>
      <c r="I646" s="1" t="s">
        <v>1388</v>
      </c>
      <c r="J646" s="1" t="n">
        <v>10</v>
      </c>
      <c r="K646" s="1" t="s">
        <v>219</v>
      </c>
    </row>
    <row r="647" customFormat="false" ht="15" hidden="false" customHeight="true" outlineLevel="0" collapsed="false">
      <c r="A647" s="1" t="s">
        <v>1409</v>
      </c>
      <c r="B647" s="1" t="s">
        <v>140</v>
      </c>
      <c r="C647" s="1" t="s">
        <v>1410</v>
      </c>
      <c r="D647" s="1" t="n">
        <v>29.46</v>
      </c>
      <c r="E647" s="1" t="s">
        <v>14</v>
      </c>
      <c r="F647" s="1" t="s">
        <v>41</v>
      </c>
      <c r="G647" s="1" t="s">
        <v>70</v>
      </c>
      <c r="H647" s="1" t="s">
        <v>17</v>
      </c>
      <c r="I647" s="1" t="s">
        <v>1388</v>
      </c>
      <c r="J647" s="1" t="n">
        <v>10</v>
      </c>
      <c r="K647" s="1" t="s">
        <v>219</v>
      </c>
    </row>
    <row r="648" customFormat="false" ht="15" hidden="false" customHeight="true" outlineLevel="0" collapsed="false">
      <c r="A648" s="1" t="s">
        <v>1411</v>
      </c>
      <c r="B648" s="1" t="s">
        <v>344</v>
      </c>
      <c r="C648" s="1" t="s">
        <v>1412</v>
      </c>
      <c r="D648" s="1" t="n">
        <v>459.73</v>
      </c>
      <c r="E648" s="1" t="s">
        <v>14</v>
      </c>
      <c r="F648" s="1" t="s">
        <v>49</v>
      </c>
      <c r="G648" s="1" t="s">
        <v>42</v>
      </c>
      <c r="H648" s="1" t="s">
        <v>17</v>
      </c>
      <c r="I648" s="1" t="s">
        <v>1388</v>
      </c>
      <c r="J648" s="1" t="n">
        <v>10</v>
      </c>
      <c r="K648" s="1" t="s">
        <v>219</v>
      </c>
    </row>
    <row r="649" customFormat="false" ht="15" hidden="false" customHeight="true" outlineLevel="0" collapsed="false">
      <c r="A649" s="1" t="s">
        <v>1413</v>
      </c>
      <c r="B649" s="1" t="s">
        <v>54</v>
      </c>
      <c r="C649" s="1" t="s">
        <v>1414</v>
      </c>
      <c r="D649" s="1" t="n">
        <v>2753.87</v>
      </c>
      <c r="E649" s="1" t="s">
        <v>14</v>
      </c>
      <c r="F649" s="1" t="s">
        <v>56</v>
      </c>
      <c r="G649" s="1" t="s">
        <v>23</v>
      </c>
      <c r="H649" s="1" t="s">
        <v>276</v>
      </c>
      <c r="I649" s="1" t="s">
        <v>1388</v>
      </c>
      <c r="J649" s="1" t="n">
        <v>11</v>
      </c>
      <c r="K649" s="1" t="s">
        <v>219</v>
      </c>
    </row>
    <row r="650" customFormat="false" ht="15" hidden="false" customHeight="true" outlineLevel="0" collapsed="false">
      <c r="A650" s="1" t="s">
        <v>1415</v>
      </c>
      <c r="B650" s="1" t="s">
        <v>44</v>
      </c>
      <c r="C650" s="1" t="s">
        <v>1416</v>
      </c>
      <c r="D650" s="1" t="n">
        <v>280.07</v>
      </c>
      <c r="E650" s="1" t="s">
        <v>14</v>
      </c>
      <c r="F650" s="1" t="s">
        <v>28</v>
      </c>
      <c r="G650" s="1" t="s">
        <v>82</v>
      </c>
      <c r="H650" s="1" t="s">
        <v>37</v>
      </c>
      <c r="I650" s="1" t="s">
        <v>1388</v>
      </c>
      <c r="J650" s="1" t="n">
        <v>12</v>
      </c>
      <c r="K650" s="1" t="s">
        <v>219</v>
      </c>
    </row>
    <row r="651" customFormat="false" ht="15" hidden="false" customHeight="true" outlineLevel="0" collapsed="false">
      <c r="A651" s="1" t="s">
        <v>1417</v>
      </c>
      <c r="B651" s="1" t="s">
        <v>54</v>
      </c>
      <c r="C651" s="1" t="s">
        <v>1418</v>
      </c>
      <c r="D651" s="1" t="n">
        <v>2693.67</v>
      </c>
      <c r="E651" s="1" t="s">
        <v>14</v>
      </c>
      <c r="F651" s="1" t="s">
        <v>56</v>
      </c>
      <c r="G651" s="1" t="s">
        <v>23</v>
      </c>
      <c r="H651" s="1" t="s">
        <v>276</v>
      </c>
      <c r="I651" s="1" t="s">
        <v>1388</v>
      </c>
      <c r="J651" s="1" t="n">
        <v>12</v>
      </c>
      <c r="K651" s="1" t="s">
        <v>219</v>
      </c>
    </row>
    <row r="652" customFormat="false" ht="15" hidden="false" customHeight="true" outlineLevel="0" collapsed="false">
      <c r="A652" s="1" t="s">
        <v>1419</v>
      </c>
      <c r="B652" s="1" t="s">
        <v>125</v>
      </c>
      <c r="C652" s="1" t="s">
        <v>1420</v>
      </c>
      <c r="D652" s="1" t="n">
        <v>48.07</v>
      </c>
      <c r="E652" s="1" t="s">
        <v>14</v>
      </c>
      <c r="F652" s="1" t="s">
        <v>28</v>
      </c>
      <c r="G652" s="1" t="s">
        <v>29</v>
      </c>
      <c r="H652" s="1" t="s">
        <v>24</v>
      </c>
      <c r="I652" s="1" t="s">
        <v>1388</v>
      </c>
      <c r="J652" s="1" t="n">
        <v>13</v>
      </c>
      <c r="K652" s="1" t="s">
        <v>219</v>
      </c>
    </row>
    <row r="653" customFormat="false" ht="15" hidden="false" customHeight="true" outlineLevel="0" collapsed="false">
      <c r="A653" s="1" t="s">
        <v>1421</v>
      </c>
      <c r="B653" s="1" t="s">
        <v>54</v>
      </c>
      <c r="C653" s="1" t="s">
        <v>1422</v>
      </c>
      <c r="D653" s="1" t="n">
        <v>2931.62</v>
      </c>
      <c r="E653" s="1" t="s">
        <v>14</v>
      </c>
      <c r="F653" s="1" t="s">
        <v>56</v>
      </c>
      <c r="G653" s="1" t="s">
        <v>23</v>
      </c>
      <c r="H653" s="1" t="s">
        <v>276</v>
      </c>
      <c r="I653" s="1" t="s">
        <v>1388</v>
      </c>
      <c r="J653" s="1" t="n">
        <v>13</v>
      </c>
      <c r="K653" s="1" t="s">
        <v>219</v>
      </c>
    </row>
    <row r="654" customFormat="false" ht="15" hidden="false" customHeight="true" outlineLevel="0" collapsed="false">
      <c r="A654" s="1" t="s">
        <v>1423</v>
      </c>
      <c r="B654" s="1" t="s">
        <v>170</v>
      </c>
      <c r="C654" s="1" t="s">
        <v>1424</v>
      </c>
      <c r="D654" s="1" t="n">
        <v>41.83</v>
      </c>
      <c r="E654" s="1" t="s">
        <v>14</v>
      </c>
      <c r="F654" s="1" t="s">
        <v>41</v>
      </c>
      <c r="G654" s="1" t="s">
        <v>29</v>
      </c>
      <c r="H654" s="1" t="s">
        <v>17</v>
      </c>
      <c r="I654" s="1" t="s">
        <v>1388</v>
      </c>
      <c r="J654" s="1" t="n">
        <v>14</v>
      </c>
      <c r="K654" s="1" t="s">
        <v>219</v>
      </c>
    </row>
    <row r="655" customFormat="false" ht="15" hidden="false" customHeight="true" outlineLevel="0" collapsed="false">
      <c r="A655" s="1" t="s">
        <v>1425</v>
      </c>
      <c r="B655" s="1" t="s">
        <v>307</v>
      </c>
      <c r="C655" s="1" t="s">
        <v>1426</v>
      </c>
      <c r="D655" s="1" t="n">
        <v>63.21</v>
      </c>
      <c r="E655" s="1" t="s">
        <v>14</v>
      </c>
      <c r="F655" s="1" t="s">
        <v>15</v>
      </c>
      <c r="G655" s="1" t="s">
        <v>36</v>
      </c>
      <c r="H655" s="1" t="s">
        <v>17</v>
      </c>
      <c r="I655" s="1" t="s">
        <v>1388</v>
      </c>
      <c r="J655" s="1" t="n">
        <v>14</v>
      </c>
      <c r="K655" s="1" t="s">
        <v>219</v>
      </c>
    </row>
    <row r="656" customFormat="false" ht="15" hidden="false" customHeight="true" outlineLevel="0" collapsed="false">
      <c r="A656" s="1" t="s">
        <v>1427</v>
      </c>
      <c r="B656" s="1" t="s">
        <v>487</v>
      </c>
      <c r="C656" s="1" t="s">
        <v>1428</v>
      </c>
      <c r="D656" s="1" t="n">
        <v>76.35</v>
      </c>
      <c r="E656" s="1" t="s">
        <v>14</v>
      </c>
      <c r="F656" s="1" t="s">
        <v>49</v>
      </c>
      <c r="G656" s="1" t="s">
        <v>86</v>
      </c>
      <c r="H656" s="1" t="s">
        <v>17</v>
      </c>
      <c r="I656" s="1" t="s">
        <v>1388</v>
      </c>
      <c r="J656" s="1" t="n">
        <v>14</v>
      </c>
      <c r="K656" s="1" t="s">
        <v>219</v>
      </c>
    </row>
    <row r="657" customFormat="false" ht="15" hidden="false" customHeight="true" outlineLevel="0" collapsed="false">
      <c r="A657" s="1" t="s">
        <v>1429</v>
      </c>
      <c r="B657" s="1" t="s">
        <v>487</v>
      </c>
      <c r="C657" s="1" t="s">
        <v>1430</v>
      </c>
      <c r="D657" s="1" t="n">
        <v>78.65</v>
      </c>
      <c r="E657" s="1" t="s">
        <v>14</v>
      </c>
      <c r="F657" s="1" t="s">
        <v>49</v>
      </c>
      <c r="G657" s="1" t="s">
        <v>16</v>
      </c>
      <c r="H657" s="1" t="s">
        <v>17</v>
      </c>
      <c r="I657" s="1" t="s">
        <v>1388</v>
      </c>
      <c r="J657" s="1" t="n">
        <v>14</v>
      </c>
      <c r="K657" s="1" t="s">
        <v>219</v>
      </c>
    </row>
    <row r="658" customFormat="false" ht="15" hidden="false" customHeight="true" outlineLevel="0" collapsed="false">
      <c r="A658" s="1" t="s">
        <v>1431</v>
      </c>
      <c r="B658" s="1" t="s">
        <v>12</v>
      </c>
      <c r="C658" s="1" t="s">
        <v>1432</v>
      </c>
      <c r="D658" s="1" t="n">
        <v>178.07</v>
      </c>
      <c r="E658" s="1" t="s">
        <v>14</v>
      </c>
      <c r="F658" s="1" t="s">
        <v>15</v>
      </c>
      <c r="G658" s="1" t="s">
        <v>23</v>
      </c>
      <c r="H658" s="1" t="s">
        <v>24</v>
      </c>
      <c r="I658" s="1" t="s">
        <v>1388</v>
      </c>
      <c r="J658" s="1" t="n">
        <v>15</v>
      </c>
      <c r="K658" s="1" t="s">
        <v>219</v>
      </c>
    </row>
    <row r="659" customFormat="false" ht="15" hidden="false" customHeight="true" outlineLevel="0" collapsed="false">
      <c r="A659" s="1" t="s">
        <v>1433</v>
      </c>
      <c r="B659" s="1" t="s">
        <v>64</v>
      </c>
      <c r="C659" s="1" t="s">
        <v>1434</v>
      </c>
      <c r="D659" s="1" t="n">
        <v>38.53</v>
      </c>
      <c r="E659" s="1" t="s">
        <v>14</v>
      </c>
      <c r="F659" s="1" t="s">
        <v>41</v>
      </c>
      <c r="G659" s="1" t="s">
        <v>23</v>
      </c>
      <c r="H659" s="1" t="s">
        <v>37</v>
      </c>
      <c r="I659" s="1" t="s">
        <v>1388</v>
      </c>
      <c r="J659" s="1" t="n">
        <v>15</v>
      </c>
      <c r="K659" s="1" t="s">
        <v>219</v>
      </c>
    </row>
    <row r="660" customFormat="false" ht="15" hidden="false" customHeight="true" outlineLevel="0" collapsed="false">
      <c r="A660" s="1" t="s">
        <v>1435</v>
      </c>
      <c r="B660" s="1" t="s">
        <v>120</v>
      </c>
      <c r="C660" s="1" t="s">
        <v>1436</v>
      </c>
      <c r="D660" s="1" t="n">
        <v>38.88</v>
      </c>
      <c r="E660" s="1" t="s">
        <v>14</v>
      </c>
      <c r="F660" s="1" t="s">
        <v>49</v>
      </c>
      <c r="G660" s="1" t="s">
        <v>82</v>
      </c>
      <c r="H660" s="1" t="s">
        <v>37</v>
      </c>
      <c r="I660" s="1" t="s">
        <v>1388</v>
      </c>
      <c r="J660" s="1" t="n">
        <v>15</v>
      </c>
      <c r="K660" s="1" t="s">
        <v>219</v>
      </c>
    </row>
    <row r="661" customFormat="false" ht="15" hidden="false" customHeight="true" outlineLevel="0" collapsed="false">
      <c r="A661" s="1" t="s">
        <v>1437</v>
      </c>
      <c r="B661" s="1" t="s">
        <v>344</v>
      </c>
      <c r="C661" s="1" t="s">
        <v>1438</v>
      </c>
      <c r="D661" s="1" t="n">
        <v>35.45</v>
      </c>
      <c r="E661" s="1" t="s">
        <v>14</v>
      </c>
      <c r="F661" s="1" t="s">
        <v>49</v>
      </c>
      <c r="G661" s="1" t="s">
        <v>42</v>
      </c>
      <c r="H661" s="1" t="s">
        <v>37</v>
      </c>
      <c r="I661" s="1" t="s">
        <v>1388</v>
      </c>
      <c r="J661" s="1" t="n">
        <v>17</v>
      </c>
      <c r="K661" s="1" t="s">
        <v>219</v>
      </c>
    </row>
    <row r="662" customFormat="false" ht="15" hidden="false" customHeight="true" outlineLevel="0" collapsed="false">
      <c r="A662" s="1" t="s">
        <v>1439</v>
      </c>
      <c r="B662" s="1" t="s">
        <v>145</v>
      </c>
      <c r="C662" s="1" t="s">
        <v>1440</v>
      </c>
      <c r="D662" s="1" t="n">
        <v>48.11</v>
      </c>
      <c r="E662" s="1" t="s">
        <v>14</v>
      </c>
      <c r="F662" s="1" t="s">
        <v>15</v>
      </c>
      <c r="G662" s="1" t="s">
        <v>16</v>
      </c>
      <c r="H662" s="1" t="s">
        <v>37</v>
      </c>
      <c r="I662" s="1" t="s">
        <v>1388</v>
      </c>
      <c r="J662" s="1" t="n">
        <v>17</v>
      </c>
      <c r="K662" s="1" t="s">
        <v>219</v>
      </c>
    </row>
    <row r="663" customFormat="false" ht="15" hidden="false" customHeight="true" outlineLevel="0" collapsed="false">
      <c r="A663" s="1" t="s">
        <v>1441</v>
      </c>
      <c r="B663" s="1" t="s">
        <v>72</v>
      </c>
      <c r="C663" s="1" t="s">
        <v>1442</v>
      </c>
      <c r="D663" s="1" t="n">
        <v>194.09</v>
      </c>
      <c r="E663" s="1" t="s">
        <v>14</v>
      </c>
      <c r="F663" s="1" t="s">
        <v>49</v>
      </c>
      <c r="G663" s="1" t="s">
        <v>82</v>
      </c>
      <c r="H663" s="1" t="s">
        <v>37</v>
      </c>
      <c r="I663" s="1" t="s">
        <v>1388</v>
      </c>
      <c r="J663" s="1" t="n">
        <v>23</v>
      </c>
      <c r="K663" s="1" t="s">
        <v>219</v>
      </c>
    </row>
    <row r="664" customFormat="false" ht="15" hidden="false" customHeight="true" outlineLevel="0" collapsed="false">
      <c r="A664" s="1" t="s">
        <v>1443</v>
      </c>
      <c r="B664" s="1" t="s">
        <v>125</v>
      </c>
      <c r="C664" s="1" t="s">
        <v>1444</v>
      </c>
      <c r="D664" s="1" t="n">
        <v>14.41</v>
      </c>
      <c r="E664" s="1" t="s">
        <v>14</v>
      </c>
      <c r="F664" s="1" t="s">
        <v>28</v>
      </c>
      <c r="G664" s="1" t="s">
        <v>23</v>
      </c>
      <c r="H664" s="1" t="s">
        <v>17</v>
      </c>
      <c r="I664" s="1" t="s">
        <v>1445</v>
      </c>
      <c r="J664" s="1" t="n">
        <v>6</v>
      </c>
      <c r="K664" s="1" t="s">
        <v>263</v>
      </c>
    </row>
    <row r="665" customFormat="false" ht="15" hidden="false" customHeight="true" outlineLevel="0" collapsed="false">
      <c r="A665" s="1" t="s">
        <v>1446</v>
      </c>
      <c r="B665" s="1" t="s">
        <v>258</v>
      </c>
      <c r="C665" s="1" t="s">
        <v>1447</v>
      </c>
      <c r="D665" s="1" t="n">
        <v>56.46</v>
      </c>
      <c r="E665" s="1" t="s">
        <v>14</v>
      </c>
      <c r="F665" s="1" t="s">
        <v>28</v>
      </c>
      <c r="G665" s="1" t="s">
        <v>70</v>
      </c>
      <c r="H665" s="1" t="s">
        <v>37</v>
      </c>
      <c r="I665" s="1" t="s">
        <v>1445</v>
      </c>
      <c r="J665" s="1" t="n">
        <v>6</v>
      </c>
      <c r="K665" s="1" t="s">
        <v>263</v>
      </c>
    </row>
    <row r="666" customFormat="false" ht="15" hidden="false" customHeight="true" outlineLevel="0" collapsed="false">
      <c r="A666" s="1" t="s">
        <v>1448</v>
      </c>
      <c r="B666" s="1" t="s">
        <v>173</v>
      </c>
      <c r="C666" s="1" t="s">
        <v>1449</v>
      </c>
      <c r="D666" s="1" t="n">
        <v>90.04</v>
      </c>
      <c r="E666" s="1" t="s">
        <v>14</v>
      </c>
      <c r="F666" s="1" t="s">
        <v>28</v>
      </c>
      <c r="G666" s="1" t="s">
        <v>29</v>
      </c>
      <c r="H666" s="1" t="s">
        <v>17</v>
      </c>
      <c r="I666" s="1" t="s">
        <v>1445</v>
      </c>
      <c r="J666" s="1" t="n">
        <v>7</v>
      </c>
      <c r="K666" s="1" t="s">
        <v>263</v>
      </c>
    </row>
    <row r="667" customFormat="false" ht="15" hidden="false" customHeight="true" outlineLevel="0" collapsed="false">
      <c r="A667" s="1" t="s">
        <v>1450</v>
      </c>
      <c r="B667" s="1" t="s">
        <v>258</v>
      </c>
      <c r="C667" s="1" t="s">
        <v>1451</v>
      </c>
      <c r="D667" s="1" t="n">
        <v>116.09</v>
      </c>
      <c r="E667" s="1" t="s">
        <v>14</v>
      </c>
      <c r="F667" s="1" t="s">
        <v>28</v>
      </c>
      <c r="G667" s="1" t="s">
        <v>70</v>
      </c>
      <c r="H667" s="1" t="s">
        <v>24</v>
      </c>
      <c r="I667" s="1" t="s">
        <v>1445</v>
      </c>
      <c r="J667" s="1" t="n">
        <v>9</v>
      </c>
      <c r="K667" s="1" t="s">
        <v>263</v>
      </c>
    </row>
    <row r="668" customFormat="false" ht="15" hidden="false" customHeight="true" outlineLevel="0" collapsed="false">
      <c r="A668" s="1" t="s">
        <v>1452</v>
      </c>
      <c r="B668" s="1" t="s">
        <v>39</v>
      </c>
      <c r="C668" s="1" t="s">
        <v>1453</v>
      </c>
      <c r="D668" s="1" t="n">
        <v>68.76</v>
      </c>
      <c r="E668" s="1" t="s">
        <v>14</v>
      </c>
      <c r="F668" s="1" t="s">
        <v>41</v>
      </c>
      <c r="G668" s="1" t="s">
        <v>16</v>
      </c>
      <c r="H668" s="1" t="s">
        <v>37</v>
      </c>
      <c r="I668" s="1" t="s">
        <v>1445</v>
      </c>
      <c r="J668" s="1" t="n">
        <v>9</v>
      </c>
      <c r="K668" s="1" t="s">
        <v>263</v>
      </c>
    </row>
    <row r="669" customFormat="false" ht="15" hidden="false" customHeight="true" outlineLevel="0" collapsed="false">
      <c r="A669" s="1" t="s">
        <v>1454</v>
      </c>
      <c r="B669" s="1" t="s">
        <v>148</v>
      </c>
      <c r="C669" s="1" t="s">
        <v>1455</v>
      </c>
      <c r="D669" s="1" t="n">
        <v>64.64</v>
      </c>
      <c r="E669" s="1" t="s">
        <v>14</v>
      </c>
      <c r="F669" s="1" t="s">
        <v>41</v>
      </c>
      <c r="G669" s="1" t="s">
        <v>23</v>
      </c>
      <c r="H669" s="1" t="s">
        <v>37</v>
      </c>
      <c r="I669" s="1" t="s">
        <v>1445</v>
      </c>
      <c r="J669" s="1" t="n">
        <v>9</v>
      </c>
      <c r="K669" s="1" t="s">
        <v>263</v>
      </c>
    </row>
    <row r="670" customFormat="false" ht="15" hidden="false" customHeight="true" outlineLevel="0" collapsed="false">
      <c r="A670" s="1" t="s">
        <v>1456</v>
      </c>
      <c r="B670" s="1" t="s">
        <v>228</v>
      </c>
      <c r="C670" s="1" t="s">
        <v>1457</v>
      </c>
      <c r="D670" s="1" t="n">
        <v>272.86</v>
      </c>
      <c r="E670" s="1" t="s">
        <v>14</v>
      </c>
      <c r="F670" s="1" t="s">
        <v>28</v>
      </c>
      <c r="G670" s="1" t="s">
        <v>16</v>
      </c>
      <c r="H670" s="1" t="s">
        <v>37</v>
      </c>
      <c r="I670" s="1" t="s">
        <v>1445</v>
      </c>
      <c r="J670" s="1" t="n">
        <v>10</v>
      </c>
      <c r="K670" s="1" t="s">
        <v>263</v>
      </c>
    </row>
    <row r="671" customFormat="false" ht="15" hidden="false" customHeight="true" outlineLevel="0" collapsed="false">
      <c r="A671" s="1" t="s">
        <v>1458</v>
      </c>
      <c r="B671" s="1" t="s">
        <v>58</v>
      </c>
      <c r="C671" s="1" t="s">
        <v>1459</v>
      </c>
      <c r="D671" s="1" t="n">
        <v>249.41</v>
      </c>
      <c r="E671" s="1" t="s">
        <v>14</v>
      </c>
      <c r="F671" s="1" t="s">
        <v>15</v>
      </c>
      <c r="G671" s="1" t="s">
        <v>82</v>
      </c>
      <c r="H671" s="1" t="s">
        <v>37</v>
      </c>
      <c r="I671" s="1" t="s">
        <v>1445</v>
      </c>
      <c r="J671" s="1" t="n">
        <v>11</v>
      </c>
      <c r="K671" s="1" t="s">
        <v>263</v>
      </c>
    </row>
    <row r="672" customFormat="false" ht="15" hidden="false" customHeight="true" outlineLevel="0" collapsed="false">
      <c r="A672" s="1" t="s">
        <v>1460</v>
      </c>
      <c r="B672" s="1" t="s">
        <v>167</v>
      </c>
      <c r="C672" s="1" t="s">
        <v>1461</v>
      </c>
      <c r="D672" s="1" t="n">
        <v>1000</v>
      </c>
      <c r="E672" s="1" t="s">
        <v>14</v>
      </c>
      <c r="F672" s="1" t="s">
        <v>28</v>
      </c>
      <c r="G672" s="1" t="s">
        <v>23</v>
      </c>
      <c r="H672" s="1" t="s">
        <v>276</v>
      </c>
      <c r="I672" s="1" t="s">
        <v>1445</v>
      </c>
      <c r="J672" s="1" t="n">
        <v>12</v>
      </c>
      <c r="K672" s="1" t="s">
        <v>263</v>
      </c>
    </row>
    <row r="673" customFormat="false" ht="15" hidden="false" customHeight="true" outlineLevel="0" collapsed="false">
      <c r="A673" s="1" t="s">
        <v>1462</v>
      </c>
      <c r="B673" s="1" t="s">
        <v>180</v>
      </c>
      <c r="C673" s="1" t="s">
        <v>1463</v>
      </c>
      <c r="D673" s="1" t="n">
        <v>53.47</v>
      </c>
      <c r="E673" s="1" t="s">
        <v>14</v>
      </c>
      <c r="F673" s="1" t="s">
        <v>49</v>
      </c>
      <c r="G673" s="1" t="s">
        <v>16</v>
      </c>
      <c r="H673" s="1" t="s">
        <v>24</v>
      </c>
      <c r="I673" s="1" t="s">
        <v>1445</v>
      </c>
      <c r="J673" s="1" t="n">
        <v>13</v>
      </c>
      <c r="K673" s="1" t="s">
        <v>263</v>
      </c>
    </row>
    <row r="674" customFormat="false" ht="15" hidden="false" customHeight="true" outlineLevel="0" collapsed="false">
      <c r="A674" s="1" t="s">
        <v>1464</v>
      </c>
      <c r="B674" s="1" t="s">
        <v>307</v>
      </c>
      <c r="C674" s="1" t="s">
        <v>1465</v>
      </c>
      <c r="D674" s="1" t="n">
        <v>43.13</v>
      </c>
      <c r="E674" s="1" t="s">
        <v>14</v>
      </c>
      <c r="F674" s="1" t="s">
        <v>15</v>
      </c>
      <c r="G674" s="1" t="s">
        <v>36</v>
      </c>
      <c r="H674" s="1" t="s">
        <v>37</v>
      </c>
      <c r="I674" s="1" t="s">
        <v>1445</v>
      </c>
      <c r="J674" s="1" t="n">
        <v>13</v>
      </c>
      <c r="K674" s="1" t="s">
        <v>263</v>
      </c>
    </row>
    <row r="675" customFormat="false" ht="15" hidden="false" customHeight="true" outlineLevel="0" collapsed="false">
      <c r="A675" s="1" t="s">
        <v>1466</v>
      </c>
      <c r="B675" s="1" t="s">
        <v>34</v>
      </c>
      <c r="C675" s="1" t="s">
        <v>1467</v>
      </c>
      <c r="D675" s="1" t="n">
        <v>2000</v>
      </c>
      <c r="E675" s="1" t="s">
        <v>14</v>
      </c>
      <c r="F675" s="1" t="s">
        <v>15</v>
      </c>
      <c r="G675" s="1" t="s">
        <v>23</v>
      </c>
      <c r="H675" s="1" t="s">
        <v>276</v>
      </c>
      <c r="I675" s="1" t="s">
        <v>1445</v>
      </c>
      <c r="J675" s="1" t="n">
        <v>15</v>
      </c>
      <c r="K675" s="1" t="s">
        <v>263</v>
      </c>
    </row>
    <row r="676" customFormat="false" ht="15" hidden="false" customHeight="true" outlineLevel="0" collapsed="false">
      <c r="A676" s="1" t="s">
        <v>1468</v>
      </c>
      <c r="B676" s="1" t="s">
        <v>183</v>
      </c>
      <c r="C676" s="1" t="s">
        <v>1469</v>
      </c>
      <c r="D676" s="1" t="n">
        <v>28.67</v>
      </c>
      <c r="E676" s="1" t="s">
        <v>14</v>
      </c>
      <c r="F676" s="1" t="s">
        <v>15</v>
      </c>
      <c r="G676" s="1" t="s">
        <v>82</v>
      </c>
      <c r="H676" s="1" t="s">
        <v>37</v>
      </c>
      <c r="I676" s="1" t="s">
        <v>1445</v>
      </c>
      <c r="J676" s="1" t="n">
        <v>16</v>
      </c>
      <c r="K676" s="1" t="s">
        <v>263</v>
      </c>
    </row>
    <row r="677" customFormat="false" ht="15" hidden="false" customHeight="true" outlineLevel="0" collapsed="false">
      <c r="A677" s="1" t="s">
        <v>1470</v>
      </c>
      <c r="B677" s="1" t="s">
        <v>167</v>
      </c>
      <c r="C677" s="1" t="s">
        <v>1471</v>
      </c>
      <c r="D677" s="1" t="n">
        <v>43.34</v>
      </c>
      <c r="E677" s="1" t="s">
        <v>14</v>
      </c>
      <c r="F677" s="1" t="s">
        <v>28</v>
      </c>
      <c r="G677" s="1" t="s">
        <v>29</v>
      </c>
      <c r="H677" s="1" t="s">
        <v>24</v>
      </c>
      <c r="I677" s="1" t="s">
        <v>1445</v>
      </c>
      <c r="J677" s="1" t="n">
        <v>17</v>
      </c>
      <c r="K677" s="1" t="s">
        <v>263</v>
      </c>
    </row>
    <row r="678" customFormat="false" ht="15" hidden="false" customHeight="true" outlineLevel="0" collapsed="false">
      <c r="A678" s="1" t="s">
        <v>1472</v>
      </c>
      <c r="B678" s="1" t="s">
        <v>199</v>
      </c>
      <c r="C678" s="1" t="s">
        <v>1473</v>
      </c>
      <c r="D678" s="1" t="n">
        <v>160.02</v>
      </c>
      <c r="E678" s="1" t="s">
        <v>14</v>
      </c>
      <c r="F678" s="1" t="s">
        <v>41</v>
      </c>
      <c r="G678" s="1" t="s">
        <v>86</v>
      </c>
      <c r="H678" s="1" t="s">
        <v>24</v>
      </c>
      <c r="I678" s="1" t="s">
        <v>1445</v>
      </c>
      <c r="J678" s="1" t="n">
        <v>17</v>
      </c>
      <c r="K678" s="1" t="s">
        <v>263</v>
      </c>
    </row>
    <row r="679" customFormat="false" ht="15" hidden="false" customHeight="true" outlineLevel="0" collapsed="false">
      <c r="A679" s="1" t="s">
        <v>1474</v>
      </c>
      <c r="B679" s="1" t="s">
        <v>344</v>
      </c>
      <c r="C679" s="1" t="s">
        <v>1475</v>
      </c>
      <c r="D679" s="1" t="n">
        <v>85.72</v>
      </c>
      <c r="E679" s="1" t="s">
        <v>14</v>
      </c>
      <c r="F679" s="1" t="s">
        <v>49</v>
      </c>
      <c r="G679" s="1" t="s">
        <v>70</v>
      </c>
      <c r="H679" s="1" t="s">
        <v>37</v>
      </c>
      <c r="I679" s="1" t="s">
        <v>1445</v>
      </c>
      <c r="J679" s="1" t="n">
        <v>17</v>
      </c>
      <c r="K679" s="1" t="s">
        <v>263</v>
      </c>
    </row>
    <row r="680" customFormat="false" ht="15" hidden="false" customHeight="true" outlineLevel="0" collapsed="false">
      <c r="A680" s="1" t="s">
        <v>1476</v>
      </c>
      <c r="B680" s="1" t="s">
        <v>137</v>
      </c>
      <c r="C680" s="1" t="s">
        <v>1477</v>
      </c>
      <c r="D680" s="1" t="n">
        <v>10.64</v>
      </c>
      <c r="E680" s="1" t="s">
        <v>14</v>
      </c>
      <c r="F680" s="1" t="s">
        <v>49</v>
      </c>
      <c r="G680" s="1" t="s">
        <v>23</v>
      </c>
      <c r="H680" s="1" t="s">
        <v>37</v>
      </c>
      <c r="I680" s="1" t="s">
        <v>1445</v>
      </c>
      <c r="J680" s="1" t="n">
        <v>23</v>
      </c>
      <c r="K680" s="1" t="s">
        <v>263</v>
      </c>
    </row>
    <row r="681" customFormat="false" ht="15" hidden="false" customHeight="true" outlineLevel="0" collapsed="false">
      <c r="A681" s="1" t="s">
        <v>1478</v>
      </c>
      <c r="B681" s="1" t="s">
        <v>228</v>
      </c>
      <c r="C681" s="1" t="s">
        <v>1479</v>
      </c>
      <c r="D681" s="1" t="n">
        <v>126.16</v>
      </c>
      <c r="E681" s="1" t="s">
        <v>14</v>
      </c>
      <c r="F681" s="1" t="s">
        <v>28</v>
      </c>
      <c r="G681" s="1" t="s">
        <v>42</v>
      </c>
      <c r="H681" s="1" t="s">
        <v>24</v>
      </c>
      <c r="I681" s="1" t="s">
        <v>1480</v>
      </c>
      <c r="J681" s="1" t="n">
        <v>1</v>
      </c>
      <c r="K681" s="1" t="s">
        <v>19</v>
      </c>
    </row>
    <row r="682" customFormat="false" ht="15" hidden="false" customHeight="true" outlineLevel="0" collapsed="false">
      <c r="A682" s="1" t="s">
        <v>1481</v>
      </c>
      <c r="B682" s="1" t="s">
        <v>321</v>
      </c>
      <c r="C682" s="1" t="s">
        <v>1482</v>
      </c>
      <c r="D682" s="1" t="n">
        <v>140.17</v>
      </c>
      <c r="E682" s="1" t="s">
        <v>14</v>
      </c>
      <c r="F682" s="1" t="s">
        <v>15</v>
      </c>
      <c r="G682" s="1" t="s">
        <v>23</v>
      </c>
      <c r="H682" s="1" t="s">
        <v>37</v>
      </c>
      <c r="I682" s="1" t="s">
        <v>1480</v>
      </c>
      <c r="J682" s="1" t="n">
        <v>4</v>
      </c>
      <c r="K682" s="1" t="s">
        <v>19</v>
      </c>
    </row>
    <row r="683" customFormat="false" ht="15" hidden="false" customHeight="true" outlineLevel="0" collapsed="false">
      <c r="A683" s="1" t="s">
        <v>1483</v>
      </c>
      <c r="B683" s="1" t="s">
        <v>84</v>
      </c>
      <c r="C683" s="1" t="s">
        <v>1484</v>
      </c>
      <c r="D683" s="1" t="n">
        <v>145.36</v>
      </c>
      <c r="E683" s="1" t="s">
        <v>14</v>
      </c>
      <c r="F683" s="1" t="s">
        <v>56</v>
      </c>
      <c r="G683" s="1" t="s">
        <v>70</v>
      </c>
      <c r="H683" s="1" t="s">
        <v>24</v>
      </c>
      <c r="I683" s="1" t="s">
        <v>1480</v>
      </c>
      <c r="J683" s="1" t="n">
        <v>7</v>
      </c>
      <c r="K683" s="1" t="s">
        <v>19</v>
      </c>
    </row>
    <row r="684" customFormat="false" ht="15" hidden="false" customHeight="true" outlineLevel="0" collapsed="false">
      <c r="A684" s="1" t="s">
        <v>1485</v>
      </c>
      <c r="B684" s="1" t="s">
        <v>75</v>
      </c>
      <c r="C684" s="1" t="s">
        <v>1486</v>
      </c>
      <c r="D684" s="1" t="n">
        <v>20.8</v>
      </c>
      <c r="E684" s="1" t="s">
        <v>14</v>
      </c>
      <c r="F684" s="1" t="s">
        <v>15</v>
      </c>
      <c r="G684" s="1" t="s">
        <v>29</v>
      </c>
      <c r="H684" s="1" t="s">
        <v>37</v>
      </c>
      <c r="I684" s="1" t="s">
        <v>1480</v>
      </c>
      <c r="J684" s="1" t="n">
        <v>8</v>
      </c>
      <c r="K684" s="1" t="s">
        <v>19</v>
      </c>
    </row>
    <row r="685" customFormat="false" ht="15" hidden="false" customHeight="true" outlineLevel="0" collapsed="false">
      <c r="A685" s="1" t="s">
        <v>1487</v>
      </c>
      <c r="B685" s="1" t="s">
        <v>12</v>
      </c>
      <c r="C685" s="1" t="s">
        <v>1488</v>
      </c>
      <c r="D685" s="1" t="n">
        <v>300.46</v>
      </c>
      <c r="E685" s="1" t="s">
        <v>14</v>
      </c>
      <c r="F685" s="1" t="s">
        <v>15</v>
      </c>
      <c r="G685" s="1" t="s">
        <v>70</v>
      </c>
      <c r="H685" s="1" t="s">
        <v>24</v>
      </c>
      <c r="I685" s="1" t="s">
        <v>1480</v>
      </c>
      <c r="J685" s="1" t="n">
        <v>9</v>
      </c>
      <c r="K685" s="1" t="s">
        <v>19</v>
      </c>
    </row>
    <row r="686" customFormat="false" ht="15" hidden="false" customHeight="true" outlineLevel="0" collapsed="false">
      <c r="A686" s="1" t="s">
        <v>1489</v>
      </c>
      <c r="B686" s="1" t="s">
        <v>93</v>
      </c>
      <c r="C686" s="1" t="s">
        <v>1490</v>
      </c>
      <c r="D686" s="1" t="n">
        <v>45.31</v>
      </c>
      <c r="E686" s="1" t="s">
        <v>14</v>
      </c>
      <c r="F686" s="1" t="s">
        <v>28</v>
      </c>
      <c r="G686" s="1" t="s">
        <v>70</v>
      </c>
      <c r="H686" s="1" t="s">
        <v>17</v>
      </c>
      <c r="I686" s="1" t="s">
        <v>1480</v>
      </c>
      <c r="J686" s="1" t="n">
        <v>11</v>
      </c>
      <c r="K686" s="1" t="s">
        <v>19</v>
      </c>
    </row>
    <row r="687" customFormat="false" ht="15" hidden="false" customHeight="true" outlineLevel="0" collapsed="false">
      <c r="A687" s="1" t="s">
        <v>1491</v>
      </c>
      <c r="B687" s="1" t="s">
        <v>148</v>
      </c>
      <c r="C687" s="1" t="s">
        <v>1492</v>
      </c>
      <c r="D687" s="1" t="n">
        <v>364.15</v>
      </c>
      <c r="E687" s="1" t="s">
        <v>14</v>
      </c>
      <c r="F687" s="1" t="s">
        <v>41</v>
      </c>
      <c r="G687" s="1" t="s">
        <v>42</v>
      </c>
      <c r="H687" s="1" t="s">
        <v>24</v>
      </c>
      <c r="I687" s="1" t="s">
        <v>1480</v>
      </c>
      <c r="J687" s="1" t="n">
        <v>12</v>
      </c>
      <c r="K687" s="1" t="s">
        <v>19</v>
      </c>
    </row>
    <row r="688" customFormat="false" ht="15" hidden="false" customHeight="true" outlineLevel="0" collapsed="false">
      <c r="A688" s="1" t="s">
        <v>1493</v>
      </c>
      <c r="B688" s="1" t="s">
        <v>12</v>
      </c>
      <c r="C688" s="1" t="s">
        <v>1494</v>
      </c>
      <c r="D688" s="1" t="n">
        <v>82.3</v>
      </c>
      <c r="E688" s="1" t="s">
        <v>14</v>
      </c>
      <c r="F688" s="1" t="s">
        <v>15</v>
      </c>
      <c r="G688" s="1" t="s">
        <v>70</v>
      </c>
      <c r="H688" s="1" t="s">
        <v>17</v>
      </c>
      <c r="I688" s="1" t="s">
        <v>1480</v>
      </c>
      <c r="J688" s="1" t="n">
        <v>12</v>
      </c>
      <c r="K688" s="1" t="s">
        <v>19</v>
      </c>
    </row>
    <row r="689" customFormat="false" ht="15" hidden="false" customHeight="true" outlineLevel="0" collapsed="false">
      <c r="A689" s="1" t="s">
        <v>1495</v>
      </c>
      <c r="B689" s="1" t="s">
        <v>31</v>
      </c>
      <c r="C689" s="1" t="s">
        <v>1496</v>
      </c>
      <c r="D689" s="1" t="n">
        <v>41.36</v>
      </c>
      <c r="E689" s="1" t="s">
        <v>14</v>
      </c>
      <c r="F689" s="1" t="s">
        <v>15</v>
      </c>
      <c r="G689" s="1" t="s">
        <v>86</v>
      </c>
      <c r="H689" s="1" t="s">
        <v>17</v>
      </c>
      <c r="I689" s="1" t="s">
        <v>1480</v>
      </c>
      <c r="J689" s="1" t="n">
        <v>12</v>
      </c>
      <c r="K689" s="1" t="s">
        <v>19</v>
      </c>
    </row>
    <row r="690" customFormat="false" ht="15" hidden="false" customHeight="true" outlineLevel="0" collapsed="false">
      <c r="A690" s="1" t="s">
        <v>1497</v>
      </c>
      <c r="B690" s="1" t="s">
        <v>145</v>
      </c>
      <c r="C690" s="1" t="s">
        <v>1498</v>
      </c>
      <c r="D690" s="1" t="n">
        <v>44.66</v>
      </c>
      <c r="E690" s="1" t="s">
        <v>14</v>
      </c>
      <c r="F690" s="1" t="s">
        <v>15</v>
      </c>
      <c r="G690" s="1" t="s">
        <v>82</v>
      </c>
      <c r="H690" s="1" t="s">
        <v>17</v>
      </c>
      <c r="I690" s="1" t="s">
        <v>1480</v>
      </c>
      <c r="J690" s="1" t="n">
        <v>14</v>
      </c>
      <c r="K690" s="1" t="s">
        <v>19</v>
      </c>
    </row>
    <row r="691" customFormat="false" ht="15" hidden="false" customHeight="true" outlineLevel="0" collapsed="false">
      <c r="A691" s="1" t="s">
        <v>1499</v>
      </c>
      <c r="B691" s="1" t="s">
        <v>167</v>
      </c>
      <c r="C691" s="1" t="s">
        <v>1500</v>
      </c>
      <c r="D691" s="1" t="n">
        <v>84.8</v>
      </c>
      <c r="E691" s="1" t="s">
        <v>14</v>
      </c>
      <c r="F691" s="1" t="s">
        <v>28</v>
      </c>
      <c r="G691" s="1" t="s">
        <v>82</v>
      </c>
      <c r="H691" s="1" t="s">
        <v>24</v>
      </c>
      <c r="I691" s="1" t="s">
        <v>1480</v>
      </c>
      <c r="J691" s="1" t="n">
        <v>14</v>
      </c>
      <c r="K691" s="1" t="s">
        <v>19</v>
      </c>
    </row>
    <row r="692" customFormat="false" ht="15" hidden="false" customHeight="true" outlineLevel="0" collapsed="false">
      <c r="A692" s="1" t="s">
        <v>1501</v>
      </c>
      <c r="B692" s="1" t="s">
        <v>221</v>
      </c>
      <c r="C692" s="1" t="s">
        <v>1502</v>
      </c>
      <c r="D692" s="1" t="n">
        <v>159.88</v>
      </c>
      <c r="E692" s="1" t="s">
        <v>14</v>
      </c>
      <c r="F692" s="1" t="s">
        <v>15</v>
      </c>
      <c r="G692" s="1" t="s">
        <v>29</v>
      </c>
      <c r="H692" s="1" t="s">
        <v>17</v>
      </c>
      <c r="I692" s="1" t="s">
        <v>1480</v>
      </c>
      <c r="J692" s="1" t="n">
        <v>14</v>
      </c>
      <c r="K692" s="1" t="s">
        <v>19</v>
      </c>
    </row>
    <row r="693" customFormat="false" ht="15" hidden="false" customHeight="true" outlineLevel="0" collapsed="false">
      <c r="A693" s="1" t="s">
        <v>1503</v>
      </c>
      <c r="B693" s="1" t="s">
        <v>170</v>
      </c>
      <c r="C693" s="1" t="s">
        <v>1504</v>
      </c>
      <c r="D693" s="1" t="n">
        <v>92.32</v>
      </c>
      <c r="E693" s="1" t="s">
        <v>14</v>
      </c>
      <c r="F693" s="1" t="s">
        <v>41</v>
      </c>
      <c r="G693" s="1" t="s">
        <v>70</v>
      </c>
      <c r="H693" s="1" t="s">
        <v>37</v>
      </c>
      <c r="I693" s="1" t="s">
        <v>1480</v>
      </c>
      <c r="J693" s="1" t="n">
        <v>16</v>
      </c>
      <c r="K693" s="1" t="s">
        <v>19</v>
      </c>
    </row>
    <row r="694" customFormat="false" ht="15" hidden="false" customHeight="true" outlineLevel="0" collapsed="false">
      <c r="A694" s="1" t="s">
        <v>1505</v>
      </c>
      <c r="B694" s="1" t="s">
        <v>12</v>
      </c>
      <c r="C694" s="1" t="s">
        <v>1506</v>
      </c>
      <c r="D694" s="1" t="n">
        <v>71.41</v>
      </c>
      <c r="E694" s="1" t="s">
        <v>14</v>
      </c>
      <c r="F694" s="1" t="s">
        <v>15</v>
      </c>
      <c r="G694" s="1" t="s">
        <v>86</v>
      </c>
      <c r="H694" s="1" t="s">
        <v>37</v>
      </c>
      <c r="I694" s="1" t="s">
        <v>1480</v>
      </c>
      <c r="J694" s="1" t="n">
        <v>17</v>
      </c>
      <c r="K694" s="1" t="s">
        <v>19</v>
      </c>
    </row>
    <row r="695" customFormat="false" ht="15" hidden="false" customHeight="true" outlineLevel="0" collapsed="false">
      <c r="A695" s="1" t="s">
        <v>1507</v>
      </c>
      <c r="B695" s="1" t="s">
        <v>125</v>
      </c>
      <c r="C695" s="1" t="s">
        <v>1508</v>
      </c>
      <c r="D695" s="1" t="n">
        <v>41.03</v>
      </c>
      <c r="E695" s="1" t="s">
        <v>14</v>
      </c>
      <c r="F695" s="1" t="s">
        <v>28</v>
      </c>
      <c r="G695" s="1" t="s">
        <v>36</v>
      </c>
      <c r="H695" s="1" t="s">
        <v>37</v>
      </c>
      <c r="I695" s="1" t="s">
        <v>1480</v>
      </c>
      <c r="J695" s="1" t="n">
        <v>20</v>
      </c>
      <c r="K695" s="1" t="s">
        <v>19</v>
      </c>
    </row>
    <row r="696" customFormat="false" ht="15" hidden="false" customHeight="true" outlineLevel="0" collapsed="false">
      <c r="A696" s="1" t="s">
        <v>1509</v>
      </c>
      <c r="B696" s="1" t="s">
        <v>475</v>
      </c>
      <c r="C696" s="1" t="s">
        <v>1510</v>
      </c>
      <c r="D696" s="1" t="n">
        <v>34.54</v>
      </c>
      <c r="E696" s="1" t="s">
        <v>14</v>
      </c>
      <c r="F696" s="1" t="s">
        <v>56</v>
      </c>
      <c r="G696" s="1" t="s">
        <v>70</v>
      </c>
      <c r="H696" s="1" t="s">
        <v>17</v>
      </c>
      <c r="I696" s="1" t="s">
        <v>1480</v>
      </c>
      <c r="J696" s="1" t="n">
        <v>22</v>
      </c>
      <c r="K696" s="1" t="s">
        <v>19</v>
      </c>
    </row>
    <row r="697" customFormat="false" ht="15" hidden="false" customHeight="true" outlineLevel="0" collapsed="false">
      <c r="A697" s="1" t="s">
        <v>1511</v>
      </c>
      <c r="B697" s="1" t="s">
        <v>98</v>
      </c>
      <c r="C697" s="1" t="s">
        <v>1512</v>
      </c>
      <c r="D697" s="1" t="n">
        <v>29.15</v>
      </c>
      <c r="E697" s="1" t="s">
        <v>14</v>
      </c>
      <c r="F697" s="1" t="s">
        <v>15</v>
      </c>
      <c r="G697" s="1" t="s">
        <v>82</v>
      </c>
      <c r="H697" s="1" t="s">
        <v>24</v>
      </c>
      <c r="I697" s="1" t="s">
        <v>1513</v>
      </c>
      <c r="J697" s="1" t="n">
        <v>1</v>
      </c>
      <c r="K697" s="1" t="s">
        <v>67</v>
      </c>
    </row>
    <row r="698" customFormat="false" ht="15" hidden="false" customHeight="true" outlineLevel="0" collapsed="false">
      <c r="A698" s="1" t="s">
        <v>1514</v>
      </c>
      <c r="B698" s="1" t="s">
        <v>47</v>
      </c>
      <c r="C698" s="1" t="s">
        <v>1515</v>
      </c>
      <c r="D698" s="1" t="n">
        <v>303.55</v>
      </c>
      <c r="E698" s="1" t="s">
        <v>14</v>
      </c>
      <c r="F698" s="1" t="s">
        <v>49</v>
      </c>
      <c r="G698" s="1" t="s">
        <v>36</v>
      </c>
      <c r="H698" s="1" t="s">
        <v>37</v>
      </c>
      <c r="I698" s="1" t="s">
        <v>1513</v>
      </c>
      <c r="J698" s="1" t="n">
        <v>3</v>
      </c>
      <c r="K698" s="1" t="s">
        <v>67</v>
      </c>
    </row>
    <row r="699" customFormat="false" ht="15" hidden="false" customHeight="true" outlineLevel="0" collapsed="false">
      <c r="A699" s="1" t="s">
        <v>1516</v>
      </c>
      <c r="B699" s="1" t="s">
        <v>31</v>
      </c>
      <c r="C699" s="1" t="s">
        <v>1517</v>
      </c>
      <c r="D699" s="1" t="n">
        <v>113.48</v>
      </c>
      <c r="E699" s="1" t="s">
        <v>14</v>
      </c>
      <c r="F699" s="1" t="s">
        <v>15</v>
      </c>
      <c r="G699" s="1" t="s">
        <v>42</v>
      </c>
      <c r="H699" s="1" t="s">
        <v>17</v>
      </c>
      <c r="I699" s="1" t="s">
        <v>1513</v>
      </c>
      <c r="J699" s="1" t="n">
        <v>5</v>
      </c>
      <c r="K699" s="1" t="s">
        <v>67</v>
      </c>
    </row>
    <row r="700" customFormat="false" ht="15" hidden="false" customHeight="true" outlineLevel="0" collapsed="false">
      <c r="A700" s="1" t="s">
        <v>1518</v>
      </c>
      <c r="B700" s="1" t="s">
        <v>58</v>
      </c>
      <c r="C700" s="1" t="s">
        <v>1519</v>
      </c>
      <c r="D700" s="1" t="n">
        <v>40.2</v>
      </c>
      <c r="E700" s="1" t="s">
        <v>14</v>
      </c>
      <c r="F700" s="1" t="s">
        <v>15</v>
      </c>
      <c r="G700" s="1" t="s">
        <v>36</v>
      </c>
      <c r="H700" s="1" t="s">
        <v>37</v>
      </c>
      <c r="I700" s="1" t="s">
        <v>1513</v>
      </c>
      <c r="J700" s="1" t="n">
        <v>5</v>
      </c>
      <c r="K700" s="1" t="s">
        <v>67</v>
      </c>
    </row>
    <row r="701" customFormat="false" ht="15" hidden="false" customHeight="true" outlineLevel="0" collapsed="false">
      <c r="A701" s="1" t="s">
        <v>1520</v>
      </c>
      <c r="B701" s="1" t="s">
        <v>475</v>
      </c>
      <c r="C701" s="1" t="s">
        <v>1521</v>
      </c>
      <c r="D701" s="1" t="n">
        <v>117.88</v>
      </c>
      <c r="E701" s="1" t="s">
        <v>14</v>
      </c>
      <c r="F701" s="1" t="s">
        <v>56</v>
      </c>
      <c r="G701" s="1" t="s">
        <v>23</v>
      </c>
      <c r="H701" s="1" t="s">
        <v>37</v>
      </c>
      <c r="I701" s="1" t="s">
        <v>1513</v>
      </c>
      <c r="J701" s="1" t="n">
        <v>6</v>
      </c>
      <c r="K701" s="1" t="s">
        <v>67</v>
      </c>
    </row>
    <row r="702" customFormat="false" ht="15" hidden="false" customHeight="true" outlineLevel="0" collapsed="false">
      <c r="A702" s="1" t="s">
        <v>1522</v>
      </c>
      <c r="B702" s="1" t="s">
        <v>64</v>
      </c>
      <c r="C702" s="1" t="s">
        <v>1523</v>
      </c>
      <c r="D702" s="1" t="n">
        <v>56.97</v>
      </c>
      <c r="E702" s="1" t="s">
        <v>14</v>
      </c>
      <c r="F702" s="1" t="s">
        <v>41</v>
      </c>
      <c r="G702" s="1" t="s">
        <v>23</v>
      </c>
      <c r="H702" s="1" t="s">
        <v>37</v>
      </c>
      <c r="I702" s="1" t="s">
        <v>1513</v>
      </c>
      <c r="J702" s="1" t="n">
        <v>7</v>
      </c>
      <c r="K702" s="1" t="s">
        <v>67</v>
      </c>
    </row>
    <row r="703" customFormat="false" ht="15" hidden="false" customHeight="true" outlineLevel="0" collapsed="false">
      <c r="A703" s="1" t="s">
        <v>1524</v>
      </c>
      <c r="B703" s="1" t="s">
        <v>21</v>
      </c>
      <c r="C703" s="1" t="s">
        <v>1525</v>
      </c>
      <c r="D703" s="1" t="n">
        <v>91.96</v>
      </c>
      <c r="E703" s="1" t="s">
        <v>14</v>
      </c>
      <c r="F703" s="1" t="s">
        <v>15</v>
      </c>
      <c r="G703" s="1" t="s">
        <v>36</v>
      </c>
      <c r="H703" s="1" t="s">
        <v>24</v>
      </c>
      <c r="I703" s="1" t="s">
        <v>1513</v>
      </c>
      <c r="J703" s="1" t="n">
        <v>7</v>
      </c>
      <c r="K703" s="1" t="s">
        <v>67</v>
      </c>
    </row>
    <row r="704" customFormat="false" ht="15" hidden="false" customHeight="true" outlineLevel="0" collapsed="false">
      <c r="A704" s="1" t="s">
        <v>1526</v>
      </c>
      <c r="B704" s="1" t="s">
        <v>394</v>
      </c>
      <c r="C704" s="1" t="s">
        <v>1527</v>
      </c>
      <c r="D704" s="1" t="n">
        <v>102.45</v>
      </c>
      <c r="E704" s="1" t="s">
        <v>14</v>
      </c>
      <c r="F704" s="1" t="s">
        <v>56</v>
      </c>
      <c r="G704" s="1" t="s">
        <v>23</v>
      </c>
      <c r="H704" s="1" t="s">
        <v>24</v>
      </c>
      <c r="I704" s="1" t="s">
        <v>1513</v>
      </c>
      <c r="J704" s="1" t="n">
        <v>10</v>
      </c>
      <c r="K704" s="1" t="s">
        <v>67</v>
      </c>
    </row>
    <row r="705" customFormat="false" ht="15" hidden="false" customHeight="true" outlineLevel="0" collapsed="false">
      <c r="A705" s="1" t="s">
        <v>1528</v>
      </c>
      <c r="B705" s="1" t="s">
        <v>221</v>
      </c>
      <c r="C705" s="1" t="s">
        <v>1529</v>
      </c>
      <c r="D705" s="1" t="n">
        <v>323.7</v>
      </c>
      <c r="E705" s="1" t="s">
        <v>14</v>
      </c>
      <c r="F705" s="1" t="s">
        <v>15</v>
      </c>
      <c r="G705" s="1" t="s">
        <v>86</v>
      </c>
      <c r="H705" s="1" t="s">
        <v>17</v>
      </c>
      <c r="I705" s="1" t="s">
        <v>1513</v>
      </c>
      <c r="J705" s="1" t="n">
        <v>12</v>
      </c>
      <c r="K705" s="1" t="s">
        <v>67</v>
      </c>
    </row>
    <row r="706" customFormat="false" ht="15" hidden="false" customHeight="true" outlineLevel="0" collapsed="false">
      <c r="A706" s="1" t="s">
        <v>1530</v>
      </c>
      <c r="B706" s="1" t="s">
        <v>475</v>
      </c>
      <c r="C706" s="1" t="s">
        <v>1531</v>
      </c>
      <c r="D706" s="1" t="n">
        <v>120.63</v>
      </c>
      <c r="E706" s="1" t="s">
        <v>14</v>
      </c>
      <c r="F706" s="1" t="s">
        <v>56</v>
      </c>
      <c r="G706" s="1" t="s">
        <v>16</v>
      </c>
      <c r="H706" s="1" t="s">
        <v>37</v>
      </c>
      <c r="I706" s="1" t="s">
        <v>1513</v>
      </c>
      <c r="J706" s="1" t="n">
        <v>12</v>
      </c>
      <c r="K706" s="1" t="s">
        <v>67</v>
      </c>
    </row>
    <row r="707" customFormat="false" ht="15" hidden="false" customHeight="true" outlineLevel="0" collapsed="false">
      <c r="A707" s="1" t="s">
        <v>1532</v>
      </c>
      <c r="B707" s="1" t="s">
        <v>106</v>
      </c>
      <c r="C707" s="1" t="s">
        <v>1533</v>
      </c>
      <c r="D707" s="1" t="n">
        <v>78.65</v>
      </c>
      <c r="E707" s="1" t="s">
        <v>14</v>
      </c>
      <c r="F707" s="1" t="s">
        <v>15</v>
      </c>
      <c r="G707" s="1" t="s">
        <v>82</v>
      </c>
      <c r="H707" s="1" t="s">
        <v>17</v>
      </c>
      <c r="I707" s="1" t="s">
        <v>1513</v>
      </c>
      <c r="J707" s="1" t="n">
        <v>14</v>
      </c>
      <c r="K707" s="1" t="s">
        <v>67</v>
      </c>
    </row>
    <row r="708" customFormat="false" ht="15" hidden="false" customHeight="true" outlineLevel="0" collapsed="false">
      <c r="A708" s="1" t="s">
        <v>1534</v>
      </c>
      <c r="B708" s="1" t="s">
        <v>148</v>
      </c>
      <c r="C708" s="1" t="s">
        <v>1535</v>
      </c>
      <c r="D708" s="1" t="n">
        <v>65.11</v>
      </c>
      <c r="E708" s="1" t="s">
        <v>14</v>
      </c>
      <c r="F708" s="1" t="s">
        <v>41</v>
      </c>
      <c r="G708" s="1" t="s">
        <v>23</v>
      </c>
      <c r="H708" s="1" t="s">
        <v>17</v>
      </c>
      <c r="I708" s="1" t="s">
        <v>1513</v>
      </c>
      <c r="J708" s="1" t="n">
        <v>14</v>
      </c>
      <c r="K708" s="1" t="s">
        <v>67</v>
      </c>
    </row>
    <row r="709" customFormat="false" ht="15" hidden="false" customHeight="true" outlineLevel="0" collapsed="false">
      <c r="A709" s="1" t="s">
        <v>1536</v>
      </c>
      <c r="B709" s="1" t="s">
        <v>199</v>
      </c>
      <c r="C709" s="1" t="s">
        <v>1537</v>
      </c>
      <c r="D709" s="1" t="n">
        <v>93.9</v>
      </c>
      <c r="E709" s="1" t="s">
        <v>14</v>
      </c>
      <c r="F709" s="1" t="s">
        <v>41</v>
      </c>
      <c r="G709" s="1" t="s">
        <v>29</v>
      </c>
      <c r="H709" s="1" t="s">
        <v>37</v>
      </c>
      <c r="I709" s="1" t="s">
        <v>1513</v>
      </c>
      <c r="J709" s="1" t="n">
        <v>17</v>
      </c>
      <c r="K709" s="1" t="s">
        <v>67</v>
      </c>
    </row>
    <row r="710" customFormat="false" ht="15" hidden="false" customHeight="true" outlineLevel="0" collapsed="false">
      <c r="A710" s="1" t="s">
        <v>1538</v>
      </c>
      <c r="B710" s="1" t="s">
        <v>155</v>
      </c>
      <c r="C710" s="1" t="s">
        <v>1539</v>
      </c>
      <c r="D710" s="1" t="n">
        <v>31.93</v>
      </c>
      <c r="E710" s="1" t="s">
        <v>14</v>
      </c>
      <c r="F710" s="1" t="s">
        <v>41</v>
      </c>
      <c r="G710" s="1" t="s">
        <v>36</v>
      </c>
      <c r="H710" s="1" t="s">
        <v>17</v>
      </c>
      <c r="I710" s="1" t="s">
        <v>1513</v>
      </c>
      <c r="J710" s="1" t="n">
        <v>18</v>
      </c>
      <c r="K710" s="1" t="s">
        <v>67</v>
      </c>
    </row>
    <row r="711" customFormat="false" ht="15" hidden="false" customHeight="true" outlineLevel="0" collapsed="false">
      <c r="A711" s="1" t="s">
        <v>1540</v>
      </c>
      <c r="B711" s="1" t="s">
        <v>93</v>
      </c>
      <c r="C711" s="1" t="s">
        <v>1541</v>
      </c>
      <c r="D711" s="1" t="n">
        <v>81.57</v>
      </c>
      <c r="E711" s="1" t="s">
        <v>14</v>
      </c>
      <c r="F711" s="1" t="s">
        <v>28</v>
      </c>
      <c r="G711" s="1" t="s">
        <v>36</v>
      </c>
      <c r="H711" s="1" t="s">
        <v>24</v>
      </c>
      <c r="I711" s="1" t="s">
        <v>1513</v>
      </c>
      <c r="J711" s="1" t="n">
        <v>19</v>
      </c>
      <c r="K711" s="1" t="s">
        <v>67</v>
      </c>
    </row>
    <row r="712" customFormat="false" ht="15" hidden="false" customHeight="true" outlineLevel="0" collapsed="false">
      <c r="A712" s="1" t="s">
        <v>1542</v>
      </c>
      <c r="B712" s="1" t="s">
        <v>47</v>
      </c>
      <c r="C712" s="1" t="s">
        <v>1543</v>
      </c>
      <c r="D712" s="1" t="n">
        <v>274.95</v>
      </c>
      <c r="E712" s="1" t="s">
        <v>14</v>
      </c>
      <c r="F712" s="1" t="s">
        <v>49</v>
      </c>
      <c r="G712" s="1" t="s">
        <v>86</v>
      </c>
      <c r="H712" s="1" t="s">
        <v>17</v>
      </c>
      <c r="I712" s="1" t="s">
        <v>1513</v>
      </c>
      <c r="J712" s="1" t="n">
        <v>22</v>
      </c>
      <c r="K712" s="1" t="s">
        <v>67</v>
      </c>
    </row>
    <row r="713" customFormat="false" ht="15" hidden="false" customHeight="true" outlineLevel="0" collapsed="false">
      <c r="A713" s="1" t="s">
        <v>1544</v>
      </c>
      <c r="B713" s="1" t="s">
        <v>51</v>
      </c>
      <c r="C713" s="1" t="s">
        <v>1545</v>
      </c>
      <c r="D713" s="1" t="n">
        <v>31.67</v>
      </c>
      <c r="E713" s="1" t="s">
        <v>14</v>
      </c>
      <c r="F713" s="1" t="s">
        <v>41</v>
      </c>
      <c r="G713" s="1" t="s">
        <v>86</v>
      </c>
      <c r="H713" s="1" t="s">
        <v>37</v>
      </c>
      <c r="I713" s="1" t="s">
        <v>1513</v>
      </c>
      <c r="J713" s="1" t="n">
        <v>22</v>
      </c>
      <c r="K713" s="1" t="s">
        <v>67</v>
      </c>
    </row>
    <row r="714" customFormat="false" ht="15" hidden="false" customHeight="true" outlineLevel="0" collapsed="false">
      <c r="A714" s="1" t="s">
        <v>1546</v>
      </c>
      <c r="B714" s="1" t="s">
        <v>332</v>
      </c>
      <c r="C714" s="1" t="s">
        <v>1547</v>
      </c>
      <c r="D714" s="1" t="n">
        <v>80.09</v>
      </c>
      <c r="E714" s="1" t="s">
        <v>14</v>
      </c>
      <c r="F714" s="1" t="s">
        <v>49</v>
      </c>
      <c r="G714" s="1" t="s">
        <v>23</v>
      </c>
      <c r="H714" s="1" t="s">
        <v>17</v>
      </c>
      <c r="I714" s="1" t="s">
        <v>1548</v>
      </c>
      <c r="J714" s="1" t="n">
        <v>5</v>
      </c>
      <c r="K714" s="1" t="s">
        <v>123</v>
      </c>
    </row>
    <row r="715" customFormat="false" ht="15" hidden="false" customHeight="true" outlineLevel="0" collapsed="false">
      <c r="A715" s="1" t="s">
        <v>1549</v>
      </c>
      <c r="B715" s="1" t="s">
        <v>235</v>
      </c>
      <c r="C715" s="1" t="s">
        <v>1550</v>
      </c>
      <c r="D715" s="1" t="n">
        <v>186.52</v>
      </c>
      <c r="E715" s="1" t="s">
        <v>14</v>
      </c>
      <c r="F715" s="1" t="s">
        <v>41</v>
      </c>
      <c r="G715" s="1" t="s">
        <v>42</v>
      </c>
      <c r="H715" s="1" t="s">
        <v>24</v>
      </c>
      <c r="I715" s="1" t="s">
        <v>1548</v>
      </c>
      <c r="J715" s="1" t="n">
        <v>7</v>
      </c>
      <c r="K715" s="1" t="s">
        <v>123</v>
      </c>
    </row>
    <row r="716" customFormat="false" ht="15" hidden="false" customHeight="true" outlineLevel="0" collapsed="false">
      <c r="A716" s="1" t="s">
        <v>1551</v>
      </c>
      <c r="B716" s="1" t="s">
        <v>291</v>
      </c>
      <c r="C716" s="1" t="s">
        <v>1552</v>
      </c>
      <c r="D716" s="1" t="n">
        <v>195.5</v>
      </c>
      <c r="E716" s="1" t="s">
        <v>14</v>
      </c>
      <c r="F716" s="1" t="s">
        <v>28</v>
      </c>
      <c r="G716" s="1" t="s">
        <v>82</v>
      </c>
      <c r="H716" s="1" t="s">
        <v>37</v>
      </c>
      <c r="I716" s="1" t="s">
        <v>1548</v>
      </c>
      <c r="J716" s="1" t="n">
        <v>7</v>
      </c>
      <c r="K716" s="1" t="s">
        <v>123</v>
      </c>
    </row>
    <row r="717" customFormat="false" ht="15" hidden="false" customHeight="true" outlineLevel="0" collapsed="false">
      <c r="A717" s="1" t="s">
        <v>1553</v>
      </c>
      <c r="B717" s="1" t="s">
        <v>93</v>
      </c>
      <c r="C717" s="1" t="s">
        <v>1554</v>
      </c>
      <c r="D717" s="1" t="n">
        <v>14.53</v>
      </c>
      <c r="E717" s="1" t="s">
        <v>14</v>
      </c>
      <c r="F717" s="1" t="s">
        <v>28</v>
      </c>
      <c r="G717" s="1" t="s">
        <v>42</v>
      </c>
      <c r="H717" s="1" t="s">
        <v>37</v>
      </c>
      <c r="I717" s="1" t="s">
        <v>1548</v>
      </c>
      <c r="J717" s="1" t="n">
        <v>7</v>
      </c>
      <c r="K717" s="1" t="s">
        <v>123</v>
      </c>
    </row>
    <row r="718" customFormat="false" ht="15" hidden="false" customHeight="true" outlineLevel="0" collapsed="false">
      <c r="A718" s="1" t="s">
        <v>1555</v>
      </c>
      <c r="B718" s="1" t="s">
        <v>216</v>
      </c>
      <c r="C718" s="1" t="s">
        <v>1556</v>
      </c>
      <c r="D718" s="1" t="n">
        <v>53.67</v>
      </c>
      <c r="E718" s="1" t="s">
        <v>14</v>
      </c>
      <c r="F718" s="1" t="s">
        <v>49</v>
      </c>
      <c r="G718" s="1" t="s">
        <v>36</v>
      </c>
      <c r="H718" s="1" t="s">
        <v>24</v>
      </c>
      <c r="I718" s="1" t="s">
        <v>1548</v>
      </c>
      <c r="J718" s="1" t="n">
        <v>7</v>
      </c>
      <c r="K718" s="1" t="s">
        <v>123</v>
      </c>
    </row>
    <row r="719" customFormat="false" ht="15" hidden="false" customHeight="true" outlineLevel="0" collapsed="false">
      <c r="A719" s="1" t="s">
        <v>1557</v>
      </c>
      <c r="B719" s="1" t="s">
        <v>216</v>
      </c>
      <c r="C719" s="1" t="s">
        <v>1558</v>
      </c>
      <c r="D719" s="1" t="n">
        <v>2785.03</v>
      </c>
      <c r="E719" s="1" t="s">
        <v>14</v>
      </c>
      <c r="F719" s="1" t="s">
        <v>49</v>
      </c>
      <c r="G719" s="1" t="s">
        <v>23</v>
      </c>
      <c r="H719" s="1" t="s">
        <v>276</v>
      </c>
      <c r="I719" s="1" t="s">
        <v>1548</v>
      </c>
      <c r="J719" s="1" t="n">
        <v>9</v>
      </c>
      <c r="K719" s="1" t="s">
        <v>123</v>
      </c>
    </row>
    <row r="720" customFormat="false" ht="15" hidden="false" customHeight="true" outlineLevel="0" collapsed="false">
      <c r="A720" s="1" t="s">
        <v>1559</v>
      </c>
      <c r="B720" s="1" t="s">
        <v>47</v>
      </c>
      <c r="C720" s="1" t="s">
        <v>1560</v>
      </c>
      <c r="D720" s="1" t="n">
        <v>95.22</v>
      </c>
      <c r="E720" s="1" t="s">
        <v>14</v>
      </c>
      <c r="F720" s="1" t="s">
        <v>49</v>
      </c>
      <c r="G720" s="1" t="s">
        <v>36</v>
      </c>
      <c r="H720" s="1" t="s">
        <v>37</v>
      </c>
      <c r="I720" s="1" t="s">
        <v>1548</v>
      </c>
      <c r="J720" s="1" t="n">
        <v>10</v>
      </c>
      <c r="K720" s="1" t="s">
        <v>123</v>
      </c>
    </row>
    <row r="721" customFormat="false" ht="15" hidden="false" customHeight="true" outlineLevel="0" collapsed="false">
      <c r="A721" s="1" t="s">
        <v>1561</v>
      </c>
      <c r="B721" s="1" t="s">
        <v>216</v>
      </c>
      <c r="C721" s="1" t="s">
        <v>1562</v>
      </c>
      <c r="D721" s="1" t="n">
        <v>2716.05</v>
      </c>
      <c r="E721" s="1" t="s">
        <v>14</v>
      </c>
      <c r="F721" s="1" t="s">
        <v>49</v>
      </c>
      <c r="G721" s="1" t="s">
        <v>23</v>
      </c>
      <c r="H721" s="1" t="s">
        <v>276</v>
      </c>
      <c r="I721" s="1" t="s">
        <v>1548</v>
      </c>
      <c r="J721" s="1" t="n">
        <v>11</v>
      </c>
      <c r="K721" s="1" t="s">
        <v>123</v>
      </c>
    </row>
    <row r="722" customFormat="false" ht="15" hidden="false" customHeight="true" outlineLevel="0" collapsed="false">
      <c r="A722" s="1" t="s">
        <v>1563</v>
      </c>
      <c r="B722" s="1" t="s">
        <v>659</v>
      </c>
      <c r="C722" s="1" t="s">
        <v>1564</v>
      </c>
      <c r="D722" s="1" t="n">
        <v>97.8</v>
      </c>
      <c r="E722" s="1" t="s">
        <v>14</v>
      </c>
      <c r="F722" s="1" t="s">
        <v>15</v>
      </c>
      <c r="G722" s="1" t="s">
        <v>42</v>
      </c>
      <c r="H722" s="1" t="s">
        <v>17</v>
      </c>
      <c r="I722" s="1" t="s">
        <v>1548</v>
      </c>
      <c r="J722" s="1" t="n">
        <v>11</v>
      </c>
      <c r="K722" s="1" t="s">
        <v>123</v>
      </c>
    </row>
    <row r="723" customFormat="false" ht="15" hidden="false" customHeight="true" outlineLevel="0" collapsed="false">
      <c r="A723" s="1" t="s">
        <v>1565</v>
      </c>
      <c r="B723" s="1" t="s">
        <v>196</v>
      </c>
      <c r="C723" s="1" t="s">
        <v>1566</v>
      </c>
      <c r="D723" s="1" t="n">
        <v>51.35</v>
      </c>
      <c r="E723" s="1" t="s">
        <v>14</v>
      </c>
      <c r="F723" s="1" t="s">
        <v>15</v>
      </c>
      <c r="G723" s="1" t="s">
        <v>36</v>
      </c>
      <c r="H723" s="1" t="s">
        <v>37</v>
      </c>
      <c r="I723" s="1" t="s">
        <v>1548</v>
      </c>
      <c r="J723" s="1" t="n">
        <v>11</v>
      </c>
      <c r="K723" s="1" t="s">
        <v>123</v>
      </c>
    </row>
    <row r="724" customFormat="false" ht="15" hidden="false" customHeight="true" outlineLevel="0" collapsed="false">
      <c r="A724" s="1" t="s">
        <v>1567</v>
      </c>
      <c r="B724" s="1" t="s">
        <v>216</v>
      </c>
      <c r="C724" s="1" t="s">
        <v>1568</v>
      </c>
      <c r="D724" s="1" t="n">
        <v>2789.18</v>
      </c>
      <c r="E724" s="1" t="s">
        <v>14</v>
      </c>
      <c r="F724" s="1" t="s">
        <v>49</v>
      </c>
      <c r="G724" s="1" t="s">
        <v>23</v>
      </c>
      <c r="H724" s="1" t="s">
        <v>276</v>
      </c>
      <c r="I724" s="1" t="s">
        <v>1548</v>
      </c>
      <c r="J724" s="1" t="n">
        <v>12</v>
      </c>
      <c r="K724" s="1" t="s">
        <v>123</v>
      </c>
    </row>
    <row r="725" customFormat="false" ht="15" hidden="false" customHeight="true" outlineLevel="0" collapsed="false">
      <c r="A725" s="1" t="s">
        <v>1569</v>
      </c>
      <c r="B725" s="1" t="s">
        <v>137</v>
      </c>
      <c r="C725" s="1" t="s">
        <v>1570</v>
      </c>
      <c r="D725" s="1" t="n">
        <v>19.26</v>
      </c>
      <c r="E725" s="1" t="s">
        <v>14</v>
      </c>
      <c r="F725" s="1" t="s">
        <v>49</v>
      </c>
      <c r="G725" s="1" t="s">
        <v>29</v>
      </c>
      <c r="H725" s="1" t="s">
        <v>37</v>
      </c>
      <c r="I725" s="1" t="s">
        <v>1548</v>
      </c>
      <c r="J725" s="1" t="n">
        <v>12</v>
      </c>
      <c r="K725" s="1" t="s">
        <v>123</v>
      </c>
    </row>
    <row r="726" customFormat="false" ht="15" hidden="false" customHeight="true" outlineLevel="0" collapsed="false">
      <c r="A726" s="1" t="s">
        <v>1571</v>
      </c>
      <c r="B726" s="1" t="s">
        <v>196</v>
      </c>
      <c r="C726" s="1" t="s">
        <v>1572</v>
      </c>
      <c r="D726" s="1" t="n">
        <v>84.83</v>
      </c>
      <c r="E726" s="1" t="s">
        <v>14</v>
      </c>
      <c r="F726" s="1" t="s">
        <v>15</v>
      </c>
      <c r="G726" s="1" t="s">
        <v>16</v>
      </c>
      <c r="H726" s="1" t="s">
        <v>37</v>
      </c>
      <c r="I726" s="1" t="s">
        <v>1548</v>
      </c>
      <c r="J726" s="1" t="n">
        <v>13</v>
      </c>
      <c r="K726" s="1" t="s">
        <v>123</v>
      </c>
    </row>
    <row r="727" customFormat="false" ht="15" hidden="false" customHeight="true" outlineLevel="0" collapsed="false">
      <c r="A727" s="1" t="s">
        <v>1573</v>
      </c>
      <c r="B727" s="1" t="s">
        <v>113</v>
      </c>
      <c r="C727" s="1" t="s">
        <v>1574</v>
      </c>
      <c r="D727" s="1" t="n">
        <v>17.24</v>
      </c>
      <c r="E727" s="1" t="s">
        <v>14</v>
      </c>
      <c r="F727" s="1" t="s">
        <v>41</v>
      </c>
      <c r="G727" s="1" t="s">
        <v>36</v>
      </c>
      <c r="H727" s="1" t="s">
        <v>37</v>
      </c>
      <c r="I727" s="1" t="s">
        <v>1548</v>
      </c>
      <c r="J727" s="1" t="n">
        <v>15</v>
      </c>
      <c r="K727" s="1" t="s">
        <v>123</v>
      </c>
    </row>
    <row r="728" customFormat="false" ht="15" hidden="false" customHeight="true" outlineLevel="0" collapsed="false">
      <c r="A728" s="1" t="s">
        <v>1575</v>
      </c>
      <c r="B728" s="1" t="s">
        <v>199</v>
      </c>
      <c r="C728" s="1" t="s">
        <v>1576</v>
      </c>
      <c r="D728" s="1" t="n">
        <v>53.37</v>
      </c>
      <c r="E728" s="1" t="s">
        <v>14</v>
      </c>
      <c r="F728" s="1" t="s">
        <v>41</v>
      </c>
      <c r="G728" s="1" t="s">
        <v>23</v>
      </c>
      <c r="H728" s="1" t="s">
        <v>17</v>
      </c>
      <c r="I728" s="1" t="s">
        <v>1548</v>
      </c>
      <c r="J728" s="1" t="n">
        <v>18</v>
      </c>
      <c r="K728" s="1" t="s">
        <v>123</v>
      </c>
    </row>
    <row r="729" customFormat="false" ht="15" hidden="false" customHeight="true" outlineLevel="0" collapsed="false">
      <c r="A729" s="1" t="s">
        <v>1577</v>
      </c>
      <c r="B729" s="1" t="s">
        <v>120</v>
      </c>
      <c r="C729" s="1" t="s">
        <v>1578</v>
      </c>
      <c r="D729" s="1" t="n">
        <v>39.68</v>
      </c>
      <c r="E729" s="1" t="s">
        <v>14</v>
      </c>
      <c r="F729" s="1" t="s">
        <v>49</v>
      </c>
      <c r="G729" s="1" t="s">
        <v>29</v>
      </c>
      <c r="H729" s="1" t="s">
        <v>24</v>
      </c>
      <c r="I729" s="1" t="s">
        <v>1548</v>
      </c>
      <c r="J729" s="1" t="n">
        <v>21</v>
      </c>
      <c r="K729" s="1" t="s">
        <v>123</v>
      </c>
    </row>
    <row r="730" customFormat="false" ht="15" hidden="false" customHeight="true" outlineLevel="0" collapsed="false">
      <c r="A730" s="1" t="s">
        <v>1579</v>
      </c>
      <c r="B730" s="1" t="s">
        <v>137</v>
      </c>
      <c r="C730" s="1" t="s">
        <v>1580</v>
      </c>
      <c r="D730" s="1" t="n">
        <v>63.43</v>
      </c>
      <c r="E730" s="1" t="s">
        <v>14</v>
      </c>
      <c r="F730" s="1" t="s">
        <v>49</v>
      </c>
      <c r="G730" s="1" t="s">
        <v>36</v>
      </c>
      <c r="H730" s="1" t="s">
        <v>37</v>
      </c>
      <c r="I730" s="1" t="s">
        <v>1548</v>
      </c>
      <c r="J730" s="1" t="n">
        <v>21</v>
      </c>
      <c r="K730" s="1" t="s">
        <v>123</v>
      </c>
    </row>
    <row r="731" customFormat="false" ht="15" hidden="false" customHeight="true" outlineLevel="0" collapsed="false">
      <c r="A731" s="1" t="s">
        <v>1581</v>
      </c>
      <c r="B731" s="1" t="s">
        <v>64</v>
      </c>
      <c r="C731" s="1" t="s">
        <v>1582</v>
      </c>
      <c r="D731" s="1" t="n">
        <v>110.17</v>
      </c>
      <c r="E731" s="1" t="s">
        <v>14</v>
      </c>
      <c r="F731" s="1" t="s">
        <v>41</v>
      </c>
      <c r="G731" s="1" t="s">
        <v>42</v>
      </c>
      <c r="H731" s="1" t="s">
        <v>17</v>
      </c>
      <c r="I731" s="1" t="s">
        <v>1548</v>
      </c>
      <c r="J731" s="1" t="n">
        <v>23</v>
      </c>
      <c r="K731" s="1" t="s">
        <v>123</v>
      </c>
    </row>
    <row r="732" customFormat="false" ht="15" hidden="false" customHeight="true" outlineLevel="0" collapsed="false">
      <c r="A732" s="1" t="s">
        <v>1583</v>
      </c>
      <c r="B732" s="1" t="s">
        <v>216</v>
      </c>
      <c r="C732" s="1" t="s">
        <v>1584</v>
      </c>
      <c r="D732" s="1" t="n">
        <v>182.28</v>
      </c>
      <c r="E732" s="1" t="s">
        <v>14</v>
      </c>
      <c r="F732" s="1" t="s">
        <v>49</v>
      </c>
      <c r="G732" s="1" t="s">
        <v>70</v>
      </c>
      <c r="H732" s="1" t="s">
        <v>24</v>
      </c>
      <c r="I732" s="1" t="s">
        <v>1585</v>
      </c>
      <c r="J732" s="1" t="n">
        <v>6</v>
      </c>
      <c r="K732" s="1" t="s">
        <v>151</v>
      </c>
    </row>
    <row r="733" customFormat="false" ht="15" hidden="false" customHeight="true" outlineLevel="0" collapsed="false">
      <c r="A733" s="1" t="s">
        <v>1586</v>
      </c>
      <c r="B733" s="1" t="s">
        <v>302</v>
      </c>
      <c r="C733" s="1" t="s">
        <v>1587</v>
      </c>
      <c r="D733" s="1" t="n">
        <v>58.58</v>
      </c>
      <c r="E733" s="1" t="s">
        <v>14</v>
      </c>
      <c r="F733" s="1" t="s">
        <v>28</v>
      </c>
      <c r="G733" s="1" t="s">
        <v>42</v>
      </c>
      <c r="H733" s="1" t="s">
        <v>17</v>
      </c>
      <c r="I733" s="1" t="s">
        <v>1585</v>
      </c>
      <c r="J733" s="1" t="n">
        <v>7</v>
      </c>
      <c r="K733" s="1" t="s">
        <v>151</v>
      </c>
    </row>
    <row r="734" customFormat="false" ht="15" hidden="false" customHeight="true" outlineLevel="0" collapsed="false">
      <c r="A734" s="1" t="s">
        <v>1588</v>
      </c>
      <c r="B734" s="1" t="s">
        <v>196</v>
      </c>
      <c r="C734" s="1" t="s">
        <v>1589</v>
      </c>
      <c r="D734" s="1" t="n">
        <v>94.61</v>
      </c>
      <c r="E734" s="1" t="s">
        <v>14</v>
      </c>
      <c r="F734" s="1" t="s">
        <v>15</v>
      </c>
      <c r="G734" s="1" t="s">
        <v>70</v>
      </c>
      <c r="H734" s="1" t="s">
        <v>17</v>
      </c>
      <c r="I734" s="1" t="s">
        <v>1585</v>
      </c>
      <c r="J734" s="1" t="n">
        <v>8</v>
      </c>
      <c r="K734" s="1" t="s">
        <v>151</v>
      </c>
    </row>
    <row r="735" customFormat="false" ht="15" hidden="false" customHeight="true" outlineLevel="0" collapsed="false">
      <c r="A735" s="1" t="s">
        <v>1590</v>
      </c>
      <c r="B735" s="1" t="s">
        <v>93</v>
      </c>
      <c r="C735" s="1" t="s">
        <v>1591</v>
      </c>
      <c r="D735" s="1" t="n">
        <v>99.13</v>
      </c>
      <c r="E735" s="1" t="s">
        <v>14</v>
      </c>
      <c r="F735" s="1" t="s">
        <v>28</v>
      </c>
      <c r="G735" s="1" t="s">
        <v>70</v>
      </c>
      <c r="H735" s="1" t="s">
        <v>17</v>
      </c>
      <c r="I735" s="1" t="s">
        <v>1585</v>
      </c>
      <c r="J735" s="1" t="n">
        <v>9</v>
      </c>
      <c r="K735" s="1" t="s">
        <v>151</v>
      </c>
    </row>
    <row r="736" customFormat="false" ht="15" hidden="false" customHeight="true" outlineLevel="0" collapsed="false">
      <c r="A736" s="1" t="s">
        <v>1592</v>
      </c>
      <c r="B736" s="1" t="s">
        <v>54</v>
      </c>
      <c r="C736" s="1" t="s">
        <v>1593</v>
      </c>
      <c r="D736" s="1" t="n">
        <v>32.55</v>
      </c>
      <c r="E736" s="1" t="s">
        <v>14</v>
      </c>
      <c r="F736" s="1" t="s">
        <v>56</v>
      </c>
      <c r="G736" s="1" t="s">
        <v>23</v>
      </c>
      <c r="H736" s="1" t="s">
        <v>24</v>
      </c>
      <c r="I736" s="1" t="s">
        <v>1585</v>
      </c>
      <c r="J736" s="1" t="n">
        <v>12</v>
      </c>
      <c r="K736" s="1" t="s">
        <v>151</v>
      </c>
    </row>
    <row r="737" customFormat="false" ht="15" hidden="false" customHeight="true" outlineLevel="0" collapsed="false">
      <c r="A737" s="1" t="s">
        <v>1594</v>
      </c>
      <c r="B737" s="1" t="s">
        <v>54</v>
      </c>
      <c r="C737" s="1" t="s">
        <v>1595</v>
      </c>
      <c r="D737" s="1" t="n">
        <v>83.85</v>
      </c>
      <c r="E737" s="1" t="s">
        <v>14</v>
      </c>
      <c r="F737" s="1" t="s">
        <v>56</v>
      </c>
      <c r="G737" s="1" t="s">
        <v>82</v>
      </c>
      <c r="H737" s="1" t="s">
        <v>37</v>
      </c>
      <c r="I737" s="1" t="s">
        <v>1585</v>
      </c>
      <c r="J737" s="1" t="n">
        <v>12</v>
      </c>
      <c r="K737" s="1" t="s">
        <v>151</v>
      </c>
    </row>
    <row r="738" customFormat="false" ht="15" hidden="false" customHeight="true" outlineLevel="0" collapsed="false">
      <c r="A738" s="1" t="s">
        <v>1596</v>
      </c>
      <c r="B738" s="1" t="s">
        <v>167</v>
      </c>
      <c r="C738" s="1" t="s">
        <v>1597</v>
      </c>
      <c r="D738" s="1" t="n">
        <v>79.59</v>
      </c>
      <c r="E738" s="1" t="s">
        <v>14</v>
      </c>
      <c r="F738" s="1" t="s">
        <v>28</v>
      </c>
      <c r="G738" s="1" t="s">
        <v>36</v>
      </c>
      <c r="H738" s="1" t="s">
        <v>17</v>
      </c>
      <c r="I738" s="1" t="s">
        <v>1585</v>
      </c>
      <c r="J738" s="1" t="n">
        <v>12</v>
      </c>
      <c r="K738" s="1" t="s">
        <v>151</v>
      </c>
    </row>
    <row r="739" customFormat="false" ht="15" hidden="false" customHeight="true" outlineLevel="0" collapsed="false">
      <c r="A739" s="1" t="s">
        <v>1598</v>
      </c>
      <c r="B739" s="1" t="s">
        <v>61</v>
      </c>
      <c r="C739" s="1" t="s">
        <v>1599</v>
      </c>
      <c r="D739" s="1" t="n">
        <v>74.29</v>
      </c>
      <c r="E739" s="1" t="s">
        <v>14</v>
      </c>
      <c r="F739" s="1" t="s">
        <v>56</v>
      </c>
      <c r="G739" s="1" t="s">
        <v>70</v>
      </c>
      <c r="H739" s="1" t="s">
        <v>17</v>
      </c>
      <c r="I739" s="1" t="s">
        <v>1585</v>
      </c>
      <c r="J739" s="1" t="n">
        <v>14</v>
      </c>
      <c r="K739" s="1" t="s">
        <v>151</v>
      </c>
    </row>
    <row r="740" customFormat="false" ht="15" hidden="false" customHeight="true" outlineLevel="0" collapsed="false">
      <c r="A740" s="1" t="s">
        <v>1600</v>
      </c>
      <c r="B740" s="1" t="s">
        <v>137</v>
      </c>
      <c r="C740" s="1" t="s">
        <v>1601</v>
      </c>
      <c r="D740" s="1" t="n">
        <v>127.2</v>
      </c>
      <c r="E740" s="1" t="s">
        <v>14</v>
      </c>
      <c r="F740" s="1" t="s">
        <v>49</v>
      </c>
      <c r="G740" s="1" t="s">
        <v>29</v>
      </c>
      <c r="H740" s="1" t="s">
        <v>17</v>
      </c>
      <c r="I740" s="1" t="s">
        <v>1585</v>
      </c>
      <c r="J740" s="1" t="n">
        <v>14</v>
      </c>
      <c r="K740" s="1" t="s">
        <v>151</v>
      </c>
    </row>
    <row r="741" customFormat="false" ht="15" hidden="false" customHeight="true" outlineLevel="0" collapsed="false">
      <c r="A741" s="1" t="s">
        <v>1602</v>
      </c>
      <c r="B741" s="1" t="s">
        <v>84</v>
      </c>
      <c r="C741" s="1" t="s">
        <v>1603</v>
      </c>
      <c r="D741" s="1" t="n">
        <v>326.66</v>
      </c>
      <c r="E741" s="1" t="s">
        <v>14</v>
      </c>
      <c r="F741" s="1" t="s">
        <v>56</v>
      </c>
      <c r="G741" s="1" t="s">
        <v>82</v>
      </c>
      <c r="H741" s="1" t="s">
        <v>24</v>
      </c>
      <c r="I741" s="1" t="s">
        <v>1585</v>
      </c>
      <c r="J741" s="1" t="n">
        <v>16</v>
      </c>
      <c r="K741" s="1" t="s">
        <v>151</v>
      </c>
    </row>
    <row r="742" customFormat="false" ht="15" hidden="false" customHeight="true" outlineLevel="0" collapsed="false">
      <c r="A742" s="1" t="s">
        <v>1604</v>
      </c>
      <c r="B742" s="1" t="s">
        <v>394</v>
      </c>
      <c r="C742" s="1" t="s">
        <v>1605</v>
      </c>
      <c r="D742" s="1" t="n">
        <v>432.28</v>
      </c>
      <c r="E742" s="1" t="s">
        <v>14</v>
      </c>
      <c r="F742" s="1" t="s">
        <v>56</v>
      </c>
      <c r="G742" s="1" t="s">
        <v>86</v>
      </c>
      <c r="H742" s="1" t="s">
        <v>37</v>
      </c>
      <c r="I742" s="1" t="s">
        <v>1585</v>
      </c>
      <c r="J742" s="1" t="n">
        <v>17</v>
      </c>
      <c r="K742" s="1" t="s">
        <v>151</v>
      </c>
    </row>
    <row r="743" customFormat="false" ht="15" hidden="false" customHeight="true" outlineLevel="0" collapsed="false">
      <c r="A743" s="1" t="s">
        <v>1606</v>
      </c>
      <c r="B743" s="1" t="s">
        <v>173</v>
      </c>
      <c r="C743" s="1" t="s">
        <v>1607</v>
      </c>
      <c r="D743" s="1" t="n">
        <v>52.31</v>
      </c>
      <c r="E743" s="1" t="s">
        <v>14</v>
      </c>
      <c r="F743" s="1" t="s">
        <v>28</v>
      </c>
      <c r="G743" s="1" t="s">
        <v>36</v>
      </c>
      <c r="H743" s="1" t="s">
        <v>17</v>
      </c>
      <c r="I743" s="1" t="s">
        <v>1585</v>
      </c>
      <c r="J743" s="1" t="n">
        <v>17</v>
      </c>
      <c r="K743" s="1" t="s">
        <v>151</v>
      </c>
    </row>
    <row r="744" customFormat="false" ht="15" hidden="false" customHeight="true" outlineLevel="0" collapsed="false">
      <c r="A744" s="1" t="s">
        <v>1608</v>
      </c>
      <c r="B744" s="1" t="s">
        <v>302</v>
      </c>
      <c r="C744" s="1" t="s">
        <v>1609</v>
      </c>
      <c r="D744" s="1" t="n">
        <v>50.79</v>
      </c>
      <c r="E744" s="1" t="s">
        <v>14</v>
      </c>
      <c r="F744" s="1" t="s">
        <v>28</v>
      </c>
      <c r="G744" s="1" t="s">
        <v>29</v>
      </c>
      <c r="H744" s="1" t="s">
        <v>37</v>
      </c>
      <c r="I744" s="1" t="s">
        <v>1585</v>
      </c>
      <c r="J744" s="1" t="n">
        <v>22</v>
      </c>
      <c r="K744" s="1" t="s">
        <v>151</v>
      </c>
    </row>
    <row r="745" customFormat="false" ht="15" hidden="false" customHeight="true" outlineLevel="0" collapsed="false">
      <c r="A745" s="1" t="s">
        <v>1610</v>
      </c>
      <c r="B745" s="1" t="s">
        <v>132</v>
      </c>
      <c r="C745" s="1" t="s">
        <v>1611</v>
      </c>
      <c r="D745" s="1" t="n">
        <v>103.96</v>
      </c>
      <c r="E745" s="1" t="s">
        <v>14</v>
      </c>
      <c r="F745" s="1" t="s">
        <v>41</v>
      </c>
      <c r="G745" s="1" t="s">
        <v>29</v>
      </c>
      <c r="H745" s="1" t="s">
        <v>17</v>
      </c>
      <c r="I745" s="1" t="s">
        <v>1612</v>
      </c>
      <c r="J745" s="1" t="n">
        <v>0</v>
      </c>
      <c r="K745" s="1" t="s">
        <v>186</v>
      </c>
    </row>
    <row r="746" customFormat="false" ht="15" hidden="false" customHeight="true" outlineLevel="0" collapsed="false">
      <c r="A746" s="1" t="s">
        <v>1613</v>
      </c>
      <c r="B746" s="1" t="s">
        <v>51</v>
      </c>
      <c r="C746" s="1" t="s">
        <v>1614</v>
      </c>
      <c r="D746" s="1" t="n">
        <v>18.79</v>
      </c>
      <c r="E746" s="1" t="s">
        <v>14</v>
      </c>
      <c r="F746" s="1" t="s">
        <v>41</v>
      </c>
      <c r="G746" s="1" t="s">
        <v>42</v>
      </c>
      <c r="H746" s="1" t="s">
        <v>37</v>
      </c>
      <c r="I746" s="1" t="s">
        <v>1612</v>
      </c>
      <c r="J746" s="1" t="n">
        <v>3</v>
      </c>
      <c r="K746" s="1" t="s">
        <v>186</v>
      </c>
    </row>
    <row r="747" customFormat="false" ht="15" hidden="false" customHeight="true" outlineLevel="0" collapsed="false">
      <c r="A747" s="1" t="s">
        <v>1615</v>
      </c>
      <c r="B747" s="1" t="s">
        <v>39</v>
      </c>
      <c r="C747" s="1" t="s">
        <v>1616</v>
      </c>
      <c r="D747" s="1" t="n">
        <v>40.38</v>
      </c>
      <c r="E747" s="1" t="s">
        <v>14</v>
      </c>
      <c r="F747" s="1" t="s">
        <v>41</v>
      </c>
      <c r="G747" s="1" t="s">
        <v>23</v>
      </c>
      <c r="H747" s="1" t="s">
        <v>17</v>
      </c>
      <c r="I747" s="1" t="s">
        <v>1612</v>
      </c>
      <c r="J747" s="1" t="n">
        <v>4</v>
      </c>
      <c r="K747" s="1" t="s">
        <v>186</v>
      </c>
    </row>
    <row r="748" customFormat="false" ht="15" hidden="false" customHeight="true" outlineLevel="0" collapsed="false">
      <c r="A748" s="1" t="s">
        <v>1617</v>
      </c>
      <c r="B748" s="1" t="s">
        <v>44</v>
      </c>
      <c r="C748" s="1" t="s">
        <v>1618</v>
      </c>
      <c r="D748" s="1" t="n">
        <v>22.09</v>
      </c>
      <c r="E748" s="1" t="s">
        <v>14</v>
      </c>
      <c r="F748" s="1" t="s">
        <v>28</v>
      </c>
      <c r="G748" s="1" t="s">
        <v>16</v>
      </c>
      <c r="H748" s="1" t="s">
        <v>24</v>
      </c>
      <c r="I748" s="1" t="s">
        <v>1612</v>
      </c>
      <c r="J748" s="1" t="n">
        <v>7</v>
      </c>
      <c r="K748" s="1" t="s">
        <v>186</v>
      </c>
    </row>
    <row r="749" customFormat="false" ht="15" hidden="false" customHeight="true" outlineLevel="0" collapsed="false">
      <c r="A749" s="1" t="s">
        <v>1619</v>
      </c>
      <c r="B749" s="1" t="s">
        <v>475</v>
      </c>
      <c r="C749" s="1" t="s">
        <v>1620</v>
      </c>
      <c r="D749" s="1" t="n">
        <v>1309.61</v>
      </c>
      <c r="E749" s="1" t="s">
        <v>14</v>
      </c>
      <c r="F749" s="1" t="s">
        <v>56</v>
      </c>
      <c r="G749" s="1" t="s">
        <v>42</v>
      </c>
      <c r="H749" s="1" t="s">
        <v>24</v>
      </c>
      <c r="I749" s="1" t="s">
        <v>1612</v>
      </c>
      <c r="J749" s="1" t="n">
        <v>8</v>
      </c>
      <c r="K749" s="1" t="s">
        <v>186</v>
      </c>
    </row>
    <row r="750" customFormat="false" ht="15" hidden="false" customHeight="true" outlineLevel="0" collapsed="false">
      <c r="A750" s="1" t="s">
        <v>1621</v>
      </c>
      <c r="B750" s="1" t="s">
        <v>291</v>
      </c>
      <c r="C750" s="1" t="s">
        <v>1622</v>
      </c>
      <c r="D750" s="1" t="n">
        <v>16.93</v>
      </c>
      <c r="E750" s="1" t="s">
        <v>14</v>
      </c>
      <c r="F750" s="1" t="s">
        <v>28</v>
      </c>
      <c r="G750" s="1" t="s">
        <v>86</v>
      </c>
      <c r="H750" s="1" t="s">
        <v>17</v>
      </c>
      <c r="I750" s="1" t="s">
        <v>1612</v>
      </c>
      <c r="J750" s="1" t="n">
        <v>8</v>
      </c>
      <c r="K750" s="1" t="s">
        <v>186</v>
      </c>
    </row>
    <row r="751" customFormat="false" ht="15" hidden="false" customHeight="true" outlineLevel="0" collapsed="false">
      <c r="A751" s="1" t="s">
        <v>1623</v>
      </c>
      <c r="B751" s="1" t="s">
        <v>34</v>
      </c>
      <c r="C751" s="1" t="s">
        <v>1624</v>
      </c>
      <c r="D751" s="1" t="n">
        <v>52.82</v>
      </c>
      <c r="E751" s="1" t="s">
        <v>14</v>
      </c>
      <c r="F751" s="1" t="s">
        <v>15</v>
      </c>
      <c r="G751" s="1" t="s">
        <v>29</v>
      </c>
      <c r="H751" s="1" t="s">
        <v>24</v>
      </c>
      <c r="I751" s="1" t="s">
        <v>1612</v>
      </c>
      <c r="J751" s="1" t="n">
        <v>10</v>
      </c>
      <c r="K751" s="1" t="s">
        <v>186</v>
      </c>
    </row>
    <row r="752" customFormat="false" ht="15" hidden="false" customHeight="true" outlineLevel="0" collapsed="false">
      <c r="A752" s="1" t="s">
        <v>1625</v>
      </c>
      <c r="B752" s="1" t="s">
        <v>475</v>
      </c>
      <c r="C752" s="1" t="s">
        <v>1626</v>
      </c>
      <c r="D752" s="1" t="n">
        <v>1307.77</v>
      </c>
      <c r="E752" s="1" t="s">
        <v>14</v>
      </c>
      <c r="F752" s="1" t="s">
        <v>49</v>
      </c>
      <c r="G752" s="1" t="s">
        <v>82</v>
      </c>
      <c r="H752" s="1" t="s">
        <v>17</v>
      </c>
      <c r="I752" s="1" t="s">
        <v>1612</v>
      </c>
      <c r="J752" s="1" t="n">
        <v>13</v>
      </c>
      <c r="K752" s="1" t="s">
        <v>186</v>
      </c>
    </row>
    <row r="753" customFormat="false" ht="15" hidden="false" customHeight="true" outlineLevel="0" collapsed="false">
      <c r="A753" s="1" t="s">
        <v>1627</v>
      </c>
      <c r="B753" s="1" t="s">
        <v>75</v>
      </c>
      <c r="C753" s="1" t="s">
        <v>1628</v>
      </c>
      <c r="D753" s="1" t="n">
        <v>40.64</v>
      </c>
      <c r="E753" s="1" t="s">
        <v>14</v>
      </c>
      <c r="F753" s="1" t="s">
        <v>15</v>
      </c>
      <c r="G753" s="1" t="s">
        <v>36</v>
      </c>
      <c r="H753" s="1" t="s">
        <v>17</v>
      </c>
      <c r="I753" s="1" t="s">
        <v>1612</v>
      </c>
      <c r="J753" s="1" t="n">
        <v>13</v>
      </c>
      <c r="K753" s="1" t="s">
        <v>186</v>
      </c>
    </row>
    <row r="754" customFormat="false" ht="15" hidden="false" customHeight="true" outlineLevel="0" collapsed="false">
      <c r="A754" s="1" t="s">
        <v>1629</v>
      </c>
      <c r="B754" s="1" t="s">
        <v>659</v>
      </c>
      <c r="C754" s="1" t="s">
        <v>1630</v>
      </c>
      <c r="D754" s="1" t="n">
        <v>66.47</v>
      </c>
      <c r="E754" s="1" t="s">
        <v>14</v>
      </c>
      <c r="F754" s="1" t="s">
        <v>15</v>
      </c>
      <c r="G754" s="1" t="s">
        <v>16</v>
      </c>
      <c r="H754" s="1" t="s">
        <v>17</v>
      </c>
      <c r="I754" s="1" t="s">
        <v>1612</v>
      </c>
      <c r="J754" s="1" t="n">
        <v>13</v>
      </c>
      <c r="K754" s="1" t="s">
        <v>186</v>
      </c>
    </row>
    <row r="755" customFormat="false" ht="15" hidden="false" customHeight="true" outlineLevel="0" collapsed="false">
      <c r="A755" s="1" t="s">
        <v>1631</v>
      </c>
      <c r="B755" s="1" t="s">
        <v>221</v>
      </c>
      <c r="C755" s="1" t="s">
        <v>1632</v>
      </c>
      <c r="D755" s="1" t="n">
        <v>74</v>
      </c>
      <c r="E755" s="1" t="s">
        <v>14</v>
      </c>
      <c r="F755" s="1" t="s">
        <v>15</v>
      </c>
      <c r="G755" s="1" t="s">
        <v>23</v>
      </c>
      <c r="H755" s="1" t="s">
        <v>17</v>
      </c>
      <c r="I755" s="1" t="s">
        <v>1612</v>
      </c>
      <c r="J755" s="1" t="n">
        <v>16</v>
      </c>
      <c r="K755" s="1" t="s">
        <v>186</v>
      </c>
    </row>
    <row r="756" customFormat="false" ht="15" hidden="false" customHeight="true" outlineLevel="0" collapsed="false">
      <c r="A756" s="1" t="s">
        <v>1633</v>
      </c>
      <c r="B756" s="1" t="s">
        <v>245</v>
      </c>
      <c r="C756" s="1" t="s">
        <v>1634</v>
      </c>
      <c r="D756" s="1" t="n">
        <v>39.9</v>
      </c>
      <c r="E756" s="1" t="s">
        <v>14</v>
      </c>
      <c r="F756" s="1" t="s">
        <v>15</v>
      </c>
      <c r="G756" s="1" t="s">
        <v>23</v>
      </c>
      <c r="H756" s="1" t="s">
        <v>17</v>
      </c>
      <c r="I756" s="1" t="s">
        <v>1612</v>
      </c>
      <c r="J756" s="1" t="n">
        <v>16</v>
      </c>
      <c r="K756" s="1" t="s">
        <v>186</v>
      </c>
    </row>
    <row r="757" customFormat="false" ht="15" hidden="false" customHeight="true" outlineLevel="0" collapsed="false">
      <c r="A757" s="1" t="s">
        <v>1635</v>
      </c>
      <c r="B757" s="1" t="s">
        <v>221</v>
      </c>
      <c r="C757" s="1" t="s">
        <v>1636</v>
      </c>
      <c r="D757" s="1" t="n">
        <v>16.77</v>
      </c>
      <c r="E757" s="1" t="s">
        <v>14</v>
      </c>
      <c r="F757" s="1" t="s">
        <v>15</v>
      </c>
      <c r="G757" s="1" t="s">
        <v>42</v>
      </c>
      <c r="H757" s="1" t="s">
        <v>37</v>
      </c>
      <c r="I757" s="1" t="s">
        <v>1612</v>
      </c>
      <c r="J757" s="1" t="n">
        <v>16</v>
      </c>
      <c r="K757" s="1" t="s">
        <v>186</v>
      </c>
    </row>
    <row r="758" customFormat="false" ht="15" hidden="false" customHeight="true" outlineLevel="0" collapsed="false">
      <c r="A758" s="1" t="s">
        <v>1637</v>
      </c>
      <c r="B758" s="1" t="s">
        <v>31</v>
      </c>
      <c r="C758" s="1" t="s">
        <v>1638</v>
      </c>
      <c r="D758" s="1" t="n">
        <v>648.23</v>
      </c>
      <c r="E758" s="1" t="s">
        <v>14</v>
      </c>
      <c r="F758" s="1" t="s">
        <v>15</v>
      </c>
      <c r="G758" s="1" t="s">
        <v>70</v>
      </c>
      <c r="H758" s="1" t="s">
        <v>37</v>
      </c>
      <c r="I758" s="1" t="s">
        <v>1612</v>
      </c>
      <c r="J758" s="1" t="n">
        <v>17</v>
      </c>
      <c r="K758" s="1" t="s">
        <v>186</v>
      </c>
    </row>
    <row r="759" customFormat="false" ht="15" hidden="false" customHeight="true" outlineLevel="0" collapsed="false">
      <c r="A759" s="1" t="s">
        <v>1639</v>
      </c>
      <c r="B759" s="1" t="s">
        <v>190</v>
      </c>
      <c r="C759" s="1" t="s">
        <v>1640</v>
      </c>
      <c r="D759" s="1" t="n">
        <v>506.33</v>
      </c>
      <c r="E759" s="1" t="s">
        <v>14</v>
      </c>
      <c r="F759" s="1" t="s">
        <v>49</v>
      </c>
      <c r="G759" s="1" t="s">
        <v>70</v>
      </c>
      <c r="H759" s="1" t="s">
        <v>37</v>
      </c>
      <c r="I759" s="1" t="s">
        <v>1612</v>
      </c>
      <c r="J759" s="1" t="n">
        <v>18</v>
      </c>
      <c r="K759" s="1" t="s">
        <v>186</v>
      </c>
    </row>
    <row r="760" customFormat="false" ht="15" hidden="false" customHeight="true" outlineLevel="0" collapsed="false">
      <c r="A760" s="1" t="s">
        <v>1641</v>
      </c>
      <c r="B760" s="1" t="s">
        <v>240</v>
      </c>
      <c r="C760" s="1" t="s">
        <v>1642</v>
      </c>
      <c r="D760" s="1" t="n">
        <v>110.68</v>
      </c>
      <c r="E760" s="1" t="s">
        <v>14</v>
      </c>
      <c r="F760" s="1" t="s">
        <v>56</v>
      </c>
      <c r="G760" s="1" t="s">
        <v>70</v>
      </c>
      <c r="H760" s="1" t="s">
        <v>24</v>
      </c>
      <c r="I760" s="1" t="s">
        <v>1643</v>
      </c>
      <c r="J760" s="1" t="n">
        <v>4</v>
      </c>
      <c r="K760" s="1" t="s">
        <v>219</v>
      </c>
    </row>
    <row r="761" customFormat="false" ht="15" hidden="false" customHeight="true" outlineLevel="0" collapsed="false">
      <c r="A761" s="1" t="s">
        <v>1644</v>
      </c>
      <c r="B761" s="1" t="s">
        <v>84</v>
      </c>
      <c r="C761" s="1" t="s">
        <v>1645</v>
      </c>
      <c r="D761" s="1" t="n">
        <v>34.56</v>
      </c>
      <c r="E761" s="1" t="s">
        <v>14</v>
      </c>
      <c r="F761" s="1" t="s">
        <v>56</v>
      </c>
      <c r="G761" s="1" t="s">
        <v>86</v>
      </c>
      <c r="H761" s="1" t="s">
        <v>24</v>
      </c>
      <c r="I761" s="1" t="s">
        <v>1643</v>
      </c>
      <c r="J761" s="1" t="n">
        <v>5</v>
      </c>
      <c r="K761" s="1" t="s">
        <v>219</v>
      </c>
    </row>
    <row r="762" customFormat="false" ht="15" hidden="false" customHeight="true" outlineLevel="0" collapsed="false">
      <c r="A762" s="1" t="s">
        <v>1646</v>
      </c>
      <c r="B762" s="1" t="s">
        <v>307</v>
      </c>
      <c r="C762" s="1" t="s">
        <v>1647</v>
      </c>
      <c r="D762" s="1" t="n">
        <v>75.01</v>
      </c>
      <c r="E762" s="1" t="s">
        <v>14</v>
      </c>
      <c r="F762" s="1" t="s">
        <v>15</v>
      </c>
      <c r="G762" s="1" t="s">
        <v>70</v>
      </c>
      <c r="H762" s="1" t="s">
        <v>37</v>
      </c>
      <c r="I762" s="1" t="s">
        <v>1643</v>
      </c>
      <c r="J762" s="1" t="n">
        <v>5</v>
      </c>
      <c r="K762" s="1" t="s">
        <v>219</v>
      </c>
    </row>
    <row r="763" customFormat="false" ht="15" hidden="false" customHeight="true" outlineLevel="0" collapsed="false">
      <c r="A763" s="1" t="s">
        <v>1648</v>
      </c>
      <c r="B763" s="1" t="s">
        <v>199</v>
      </c>
      <c r="C763" s="1" t="s">
        <v>1649</v>
      </c>
      <c r="D763" s="1" t="n">
        <v>74.43</v>
      </c>
      <c r="E763" s="1" t="s">
        <v>14</v>
      </c>
      <c r="F763" s="1" t="s">
        <v>41</v>
      </c>
      <c r="G763" s="1" t="s">
        <v>29</v>
      </c>
      <c r="H763" s="1" t="s">
        <v>37</v>
      </c>
      <c r="I763" s="1" t="s">
        <v>1643</v>
      </c>
      <c r="J763" s="1" t="n">
        <v>6</v>
      </c>
      <c r="K763" s="1" t="s">
        <v>219</v>
      </c>
    </row>
    <row r="764" customFormat="false" ht="15" hidden="false" customHeight="true" outlineLevel="0" collapsed="false">
      <c r="A764" s="1" t="s">
        <v>1650</v>
      </c>
      <c r="B764" s="1" t="s">
        <v>84</v>
      </c>
      <c r="C764" s="1" t="s">
        <v>1651</v>
      </c>
      <c r="D764" s="1" t="n">
        <v>143.62</v>
      </c>
      <c r="E764" s="1" t="s">
        <v>14</v>
      </c>
      <c r="F764" s="1" t="s">
        <v>56</v>
      </c>
      <c r="G764" s="1" t="s">
        <v>70</v>
      </c>
      <c r="H764" s="1" t="s">
        <v>37</v>
      </c>
      <c r="I764" s="1" t="s">
        <v>1643</v>
      </c>
      <c r="J764" s="1" t="n">
        <v>7</v>
      </c>
      <c r="K764" s="1" t="s">
        <v>219</v>
      </c>
    </row>
    <row r="765" customFormat="false" ht="15" hidden="false" customHeight="true" outlineLevel="0" collapsed="false">
      <c r="A765" s="1" t="s">
        <v>1652</v>
      </c>
      <c r="B765" s="1" t="s">
        <v>75</v>
      </c>
      <c r="C765" s="1" t="s">
        <v>1653</v>
      </c>
      <c r="D765" s="1" t="n">
        <v>191.61</v>
      </c>
      <c r="E765" s="1" t="s">
        <v>14</v>
      </c>
      <c r="F765" s="1" t="s">
        <v>15</v>
      </c>
      <c r="G765" s="1" t="s">
        <v>29</v>
      </c>
      <c r="H765" s="1" t="s">
        <v>37</v>
      </c>
      <c r="I765" s="1" t="s">
        <v>1643</v>
      </c>
      <c r="J765" s="1" t="n">
        <v>9</v>
      </c>
      <c r="K765" s="1" t="s">
        <v>219</v>
      </c>
    </row>
    <row r="766" customFormat="false" ht="15" hidden="false" customHeight="true" outlineLevel="0" collapsed="false">
      <c r="A766" s="1" t="s">
        <v>1654</v>
      </c>
      <c r="B766" s="1" t="s">
        <v>26</v>
      </c>
      <c r="C766" s="1" t="s">
        <v>1655</v>
      </c>
      <c r="D766" s="1" t="n">
        <v>2511.72</v>
      </c>
      <c r="E766" s="1" t="s">
        <v>14</v>
      </c>
      <c r="F766" s="1" t="s">
        <v>28</v>
      </c>
      <c r="G766" s="1" t="s">
        <v>23</v>
      </c>
      <c r="H766" s="1" t="s">
        <v>276</v>
      </c>
      <c r="I766" s="1" t="s">
        <v>1643</v>
      </c>
      <c r="J766" s="1" t="n">
        <v>9</v>
      </c>
      <c r="K766" s="1" t="s">
        <v>219</v>
      </c>
    </row>
    <row r="767" customFormat="false" ht="15" hidden="false" customHeight="true" outlineLevel="0" collapsed="false">
      <c r="A767" s="1" t="s">
        <v>1656</v>
      </c>
      <c r="B767" s="1" t="s">
        <v>58</v>
      </c>
      <c r="C767" s="1" t="s">
        <v>1657</v>
      </c>
      <c r="D767" s="1" t="n">
        <v>58.88</v>
      </c>
      <c r="E767" s="1" t="s">
        <v>14</v>
      </c>
      <c r="F767" s="1" t="s">
        <v>15</v>
      </c>
      <c r="G767" s="1" t="s">
        <v>29</v>
      </c>
      <c r="H767" s="1" t="s">
        <v>17</v>
      </c>
      <c r="I767" s="1" t="s">
        <v>1643</v>
      </c>
      <c r="J767" s="1" t="n">
        <v>9</v>
      </c>
      <c r="K767" s="1" t="s">
        <v>219</v>
      </c>
    </row>
    <row r="768" customFormat="false" ht="15" hidden="false" customHeight="true" outlineLevel="0" collapsed="false">
      <c r="A768" s="1" t="s">
        <v>1658</v>
      </c>
      <c r="B768" s="1" t="s">
        <v>51</v>
      </c>
      <c r="C768" s="1" t="s">
        <v>1659</v>
      </c>
      <c r="D768" s="1" t="n">
        <v>89.16</v>
      </c>
      <c r="E768" s="1" t="s">
        <v>14</v>
      </c>
      <c r="F768" s="1" t="s">
        <v>41</v>
      </c>
      <c r="G768" s="1" t="s">
        <v>86</v>
      </c>
      <c r="H768" s="1" t="s">
        <v>37</v>
      </c>
      <c r="I768" s="1" t="s">
        <v>1643</v>
      </c>
      <c r="J768" s="1" t="n">
        <v>10</v>
      </c>
      <c r="K768" s="1" t="s">
        <v>219</v>
      </c>
    </row>
    <row r="769" customFormat="false" ht="15" hidden="false" customHeight="true" outlineLevel="0" collapsed="false">
      <c r="A769" s="1" t="s">
        <v>1660</v>
      </c>
      <c r="B769" s="1" t="s">
        <v>162</v>
      </c>
      <c r="C769" s="1" t="s">
        <v>1661</v>
      </c>
      <c r="D769" s="1" t="n">
        <v>186.68</v>
      </c>
      <c r="E769" s="1" t="s">
        <v>14</v>
      </c>
      <c r="F769" s="1" t="s">
        <v>49</v>
      </c>
      <c r="G769" s="1" t="s">
        <v>36</v>
      </c>
      <c r="H769" s="1" t="s">
        <v>37</v>
      </c>
      <c r="I769" s="1" t="s">
        <v>1643</v>
      </c>
      <c r="J769" s="1" t="n">
        <v>10</v>
      </c>
      <c r="K769" s="1" t="s">
        <v>219</v>
      </c>
    </row>
    <row r="770" customFormat="false" ht="15" hidden="false" customHeight="true" outlineLevel="0" collapsed="false">
      <c r="A770" s="1" t="s">
        <v>1662</v>
      </c>
      <c r="B770" s="1" t="s">
        <v>26</v>
      </c>
      <c r="C770" s="1" t="s">
        <v>1663</v>
      </c>
      <c r="D770" s="1" t="n">
        <v>2421.63</v>
      </c>
      <c r="E770" s="1" t="s">
        <v>14</v>
      </c>
      <c r="F770" s="1" t="s">
        <v>28</v>
      </c>
      <c r="G770" s="1" t="s">
        <v>23</v>
      </c>
      <c r="H770" s="1" t="s">
        <v>276</v>
      </c>
      <c r="I770" s="1" t="s">
        <v>1643</v>
      </c>
      <c r="J770" s="1" t="n">
        <v>10</v>
      </c>
      <c r="K770" s="1" t="s">
        <v>219</v>
      </c>
    </row>
    <row r="771" customFormat="false" ht="15" hidden="false" customHeight="true" outlineLevel="0" collapsed="false">
      <c r="A771" s="1" t="s">
        <v>1664</v>
      </c>
      <c r="B771" s="1" t="s">
        <v>80</v>
      </c>
      <c r="C771" s="1" t="s">
        <v>1665</v>
      </c>
      <c r="D771" s="1" t="n">
        <v>99.47</v>
      </c>
      <c r="E771" s="1" t="s">
        <v>14</v>
      </c>
      <c r="F771" s="1" t="s">
        <v>56</v>
      </c>
      <c r="G771" s="1" t="s">
        <v>16</v>
      </c>
      <c r="H771" s="1" t="s">
        <v>17</v>
      </c>
      <c r="I771" s="1" t="s">
        <v>1643</v>
      </c>
      <c r="J771" s="1" t="n">
        <v>11</v>
      </c>
      <c r="K771" s="1" t="s">
        <v>219</v>
      </c>
    </row>
    <row r="772" customFormat="false" ht="15" hidden="false" customHeight="true" outlineLevel="0" collapsed="false">
      <c r="A772" s="1" t="s">
        <v>1666</v>
      </c>
      <c r="B772" s="1" t="s">
        <v>26</v>
      </c>
      <c r="C772" s="1" t="s">
        <v>1667</v>
      </c>
      <c r="D772" s="1" t="n">
        <v>2763.4</v>
      </c>
      <c r="E772" s="1" t="s">
        <v>14</v>
      </c>
      <c r="F772" s="1" t="s">
        <v>28</v>
      </c>
      <c r="G772" s="1" t="s">
        <v>23</v>
      </c>
      <c r="H772" s="1" t="s">
        <v>276</v>
      </c>
      <c r="I772" s="1" t="s">
        <v>1643</v>
      </c>
      <c r="J772" s="1" t="n">
        <v>12</v>
      </c>
      <c r="K772" s="1" t="s">
        <v>219</v>
      </c>
    </row>
    <row r="773" customFormat="false" ht="15" hidden="false" customHeight="true" outlineLevel="0" collapsed="false">
      <c r="A773" s="1" t="s">
        <v>1668</v>
      </c>
      <c r="B773" s="1" t="s">
        <v>61</v>
      </c>
      <c r="C773" s="1" t="s">
        <v>1669</v>
      </c>
      <c r="D773" s="1" t="n">
        <v>431.7</v>
      </c>
      <c r="E773" s="1" t="s">
        <v>14</v>
      </c>
      <c r="F773" s="1" t="s">
        <v>56</v>
      </c>
      <c r="G773" s="1" t="s">
        <v>29</v>
      </c>
      <c r="H773" s="1" t="s">
        <v>37</v>
      </c>
      <c r="I773" s="1" t="s">
        <v>1643</v>
      </c>
      <c r="J773" s="1" t="n">
        <v>12</v>
      </c>
      <c r="K773" s="1" t="s">
        <v>219</v>
      </c>
    </row>
    <row r="774" customFormat="false" ht="15" hidden="false" customHeight="true" outlineLevel="0" collapsed="false">
      <c r="A774" s="1" t="s">
        <v>1670</v>
      </c>
      <c r="B774" s="1" t="s">
        <v>228</v>
      </c>
      <c r="C774" s="1" t="s">
        <v>1671</v>
      </c>
      <c r="D774" s="1" t="n">
        <v>40.46</v>
      </c>
      <c r="E774" s="1" t="s">
        <v>14</v>
      </c>
      <c r="F774" s="1" t="s">
        <v>28</v>
      </c>
      <c r="G774" s="1" t="s">
        <v>86</v>
      </c>
      <c r="H774" s="1" t="s">
        <v>37</v>
      </c>
      <c r="I774" s="1" t="s">
        <v>1643</v>
      </c>
      <c r="J774" s="1" t="n">
        <v>12</v>
      </c>
      <c r="K774" s="1" t="s">
        <v>219</v>
      </c>
    </row>
    <row r="775" customFormat="false" ht="15" hidden="false" customHeight="true" outlineLevel="0" collapsed="false">
      <c r="A775" s="1" t="s">
        <v>1672</v>
      </c>
      <c r="B775" s="1" t="s">
        <v>80</v>
      </c>
      <c r="C775" s="1" t="s">
        <v>1673</v>
      </c>
      <c r="D775" s="1" t="n">
        <v>24.14</v>
      </c>
      <c r="E775" s="1" t="s">
        <v>14</v>
      </c>
      <c r="F775" s="1" t="s">
        <v>56</v>
      </c>
      <c r="G775" s="1" t="s">
        <v>70</v>
      </c>
      <c r="H775" s="1" t="s">
        <v>17</v>
      </c>
      <c r="I775" s="1" t="s">
        <v>1643</v>
      </c>
      <c r="J775" s="1" t="n">
        <v>13</v>
      </c>
      <c r="K775" s="1" t="s">
        <v>219</v>
      </c>
    </row>
    <row r="776" customFormat="false" ht="15" hidden="false" customHeight="true" outlineLevel="0" collapsed="false">
      <c r="A776" s="1" t="s">
        <v>1674</v>
      </c>
      <c r="B776" s="1" t="s">
        <v>47</v>
      </c>
      <c r="C776" s="1" t="s">
        <v>1673</v>
      </c>
      <c r="D776" s="1" t="n">
        <v>16.14</v>
      </c>
      <c r="E776" s="1" t="s">
        <v>14</v>
      </c>
      <c r="F776" s="1" t="s">
        <v>49</v>
      </c>
      <c r="G776" s="1" t="s">
        <v>29</v>
      </c>
      <c r="H776" s="1" t="s">
        <v>37</v>
      </c>
      <c r="I776" s="1" t="s">
        <v>1643</v>
      </c>
      <c r="J776" s="1" t="n">
        <v>13</v>
      </c>
      <c r="K776" s="1" t="s">
        <v>219</v>
      </c>
    </row>
    <row r="777" customFormat="false" ht="15" hidden="false" customHeight="true" outlineLevel="0" collapsed="false">
      <c r="A777" s="1" t="s">
        <v>1675</v>
      </c>
      <c r="B777" s="1" t="s">
        <v>26</v>
      </c>
      <c r="C777" s="1" t="s">
        <v>1676</v>
      </c>
      <c r="D777" s="1" t="n">
        <v>2782.74</v>
      </c>
      <c r="E777" s="1" t="s">
        <v>14</v>
      </c>
      <c r="F777" s="1" t="s">
        <v>28</v>
      </c>
      <c r="G777" s="1" t="s">
        <v>23</v>
      </c>
      <c r="H777" s="1" t="s">
        <v>276</v>
      </c>
      <c r="I777" s="1" t="s">
        <v>1643</v>
      </c>
      <c r="J777" s="1" t="n">
        <v>13</v>
      </c>
      <c r="K777" s="1" t="s">
        <v>219</v>
      </c>
    </row>
    <row r="778" customFormat="false" ht="15" hidden="false" customHeight="true" outlineLevel="0" collapsed="false">
      <c r="A778" s="1" t="s">
        <v>1677</v>
      </c>
      <c r="B778" s="1" t="s">
        <v>155</v>
      </c>
      <c r="C778" s="1" t="s">
        <v>1678</v>
      </c>
      <c r="D778" s="1" t="n">
        <v>135.98</v>
      </c>
      <c r="E778" s="1" t="s">
        <v>14</v>
      </c>
      <c r="F778" s="1" t="s">
        <v>41</v>
      </c>
      <c r="G778" s="1" t="s">
        <v>86</v>
      </c>
      <c r="H778" s="1" t="s">
        <v>37</v>
      </c>
      <c r="I778" s="1" t="s">
        <v>1643</v>
      </c>
      <c r="J778" s="1" t="n">
        <v>14</v>
      </c>
      <c r="K778" s="1" t="s">
        <v>219</v>
      </c>
    </row>
    <row r="779" customFormat="false" ht="15" hidden="false" customHeight="true" outlineLevel="0" collapsed="false">
      <c r="A779" s="1" t="s">
        <v>1679</v>
      </c>
      <c r="B779" s="1" t="s">
        <v>84</v>
      </c>
      <c r="C779" s="1" t="s">
        <v>1680</v>
      </c>
      <c r="D779" s="1" t="n">
        <v>10.78</v>
      </c>
      <c r="E779" s="1" t="s">
        <v>14</v>
      </c>
      <c r="F779" s="1" t="s">
        <v>56</v>
      </c>
      <c r="G779" s="1" t="s">
        <v>23</v>
      </c>
      <c r="H779" s="1" t="s">
        <v>17</v>
      </c>
      <c r="I779" s="1" t="s">
        <v>1643</v>
      </c>
      <c r="J779" s="1" t="n">
        <v>14</v>
      </c>
      <c r="K779" s="1" t="s">
        <v>219</v>
      </c>
    </row>
    <row r="780" customFormat="false" ht="15" hidden="false" customHeight="true" outlineLevel="0" collapsed="false">
      <c r="A780" s="1" t="s">
        <v>1681</v>
      </c>
      <c r="B780" s="1" t="s">
        <v>26</v>
      </c>
      <c r="C780" s="1" t="s">
        <v>1682</v>
      </c>
      <c r="D780" s="1" t="n">
        <v>2746.84</v>
      </c>
      <c r="E780" s="1" t="s">
        <v>14</v>
      </c>
      <c r="F780" s="1" t="s">
        <v>28</v>
      </c>
      <c r="G780" s="1" t="s">
        <v>23</v>
      </c>
      <c r="H780" s="1" t="s">
        <v>276</v>
      </c>
      <c r="I780" s="1" t="s">
        <v>1643</v>
      </c>
      <c r="J780" s="1" t="n">
        <v>15</v>
      </c>
      <c r="K780" s="1" t="s">
        <v>219</v>
      </c>
    </row>
    <row r="781" customFormat="false" ht="15" hidden="false" customHeight="true" outlineLevel="0" collapsed="false">
      <c r="A781" s="1" t="s">
        <v>1683</v>
      </c>
      <c r="B781" s="1" t="s">
        <v>167</v>
      </c>
      <c r="C781" s="1" t="s">
        <v>1684</v>
      </c>
      <c r="D781" s="1" t="n">
        <v>85.15</v>
      </c>
      <c r="E781" s="1" t="s">
        <v>14</v>
      </c>
      <c r="F781" s="1" t="s">
        <v>28</v>
      </c>
      <c r="G781" s="1" t="s">
        <v>23</v>
      </c>
      <c r="H781" s="1" t="s">
        <v>17</v>
      </c>
      <c r="I781" s="1" t="s">
        <v>1643</v>
      </c>
      <c r="J781" s="1" t="n">
        <v>17</v>
      </c>
      <c r="K781" s="1" t="s">
        <v>219</v>
      </c>
    </row>
    <row r="782" customFormat="false" ht="15" hidden="false" customHeight="true" outlineLevel="0" collapsed="false">
      <c r="A782" s="1" t="s">
        <v>1685</v>
      </c>
      <c r="B782" s="1" t="s">
        <v>113</v>
      </c>
      <c r="C782" s="1" t="s">
        <v>1686</v>
      </c>
      <c r="D782" s="1" t="n">
        <v>49.29</v>
      </c>
      <c r="E782" s="1" t="s">
        <v>14</v>
      </c>
      <c r="F782" s="1" t="s">
        <v>41</v>
      </c>
      <c r="G782" s="1" t="s">
        <v>23</v>
      </c>
      <c r="H782" s="1" t="s">
        <v>24</v>
      </c>
      <c r="I782" s="1" t="s">
        <v>1643</v>
      </c>
      <c r="J782" s="1" t="n">
        <v>18</v>
      </c>
      <c r="K782" s="1" t="s">
        <v>219</v>
      </c>
    </row>
    <row r="783" customFormat="false" ht="15" hidden="false" customHeight="true" outlineLevel="0" collapsed="false">
      <c r="A783" s="1" t="s">
        <v>1687</v>
      </c>
      <c r="B783" s="1" t="s">
        <v>64</v>
      </c>
      <c r="C783" s="1" t="s">
        <v>1688</v>
      </c>
      <c r="D783" s="1" t="n">
        <v>20.48</v>
      </c>
      <c r="E783" s="1" t="s">
        <v>14</v>
      </c>
      <c r="F783" s="1" t="s">
        <v>41</v>
      </c>
      <c r="G783" s="1" t="s">
        <v>42</v>
      </c>
      <c r="H783" s="1" t="s">
        <v>17</v>
      </c>
      <c r="I783" s="1" t="s">
        <v>1643</v>
      </c>
      <c r="J783" s="1" t="n">
        <v>19</v>
      </c>
      <c r="K783" s="1" t="s">
        <v>219</v>
      </c>
    </row>
    <row r="784" customFormat="false" ht="15" hidden="false" customHeight="true" outlineLevel="0" collapsed="false">
      <c r="A784" s="1" t="s">
        <v>1689</v>
      </c>
      <c r="B784" s="1" t="s">
        <v>321</v>
      </c>
      <c r="C784" s="1" t="s">
        <v>1690</v>
      </c>
      <c r="D784" s="1" t="n">
        <v>54.82</v>
      </c>
      <c r="E784" s="1" t="s">
        <v>14</v>
      </c>
      <c r="F784" s="1" t="s">
        <v>15</v>
      </c>
      <c r="G784" s="1" t="s">
        <v>23</v>
      </c>
      <c r="H784" s="1" t="s">
        <v>37</v>
      </c>
      <c r="I784" s="1" t="s">
        <v>1643</v>
      </c>
      <c r="J784" s="1" t="n">
        <v>20</v>
      </c>
      <c r="K784" s="1" t="s">
        <v>219</v>
      </c>
    </row>
    <row r="785" customFormat="false" ht="15" hidden="false" customHeight="true" outlineLevel="0" collapsed="false">
      <c r="A785" s="1" t="s">
        <v>1691</v>
      </c>
      <c r="B785" s="1" t="s">
        <v>145</v>
      </c>
      <c r="C785" s="1" t="s">
        <v>1692</v>
      </c>
      <c r="D785" s="1" t="n">
        <v>51.75</v>
      </c>
      <c r="E785" s="1" t="s">
        <v>14</v>
      </c>
      <c r="F785" s="1" t="s">
        <v>15</v>
      </c>
      <c r="G785" s="1" t="s">
        <v>82</v>
      </c>
      <c r="H785" s="1" t="s">
        <v>17</v>
      </c>
      <c r="I785" s="1" t="s">
        <v>1643</v>
      </c>
      <c r="J785" s="1" t="n">
        <v>21</v>
      </c>
      <c r="K785" s="1" t="s">
        <v>219</v>
      </c>
    </row>
    <row r="786" customFormat="false" ht="15" hidden="false" customHeight="true" outlineLevel="0" collapsed="false">
      <c r="A786" s="1" t="s">
        <v>1693</v>
      </c>
      <c r="B786" s="1" t="s">
        <v>39</v>
      </c>
      <c r="C786" s="1" t="s">
        <v>1694</v>
      </c>
      <c r="D786" s="1" t="n">
        <v>61.59</v>
      </c>
      <c r="E786" s="1" t="s">
        <v>14</v>
      </c>
      <c r="F786" s="1" t="s">
        <v>41</v>
      </c>
      <c r="G786" s="1" t="s">
        <v>82</v>
      </c>
      <c r="H786" s="1" t="s">
        <v>17</v>
      </c>
      <c r="I786" s="1" t="s">
        <v>1695</v>
      </c>
      <c r="J786" s="1" t="n">
        <v>2</v>
      </c>
      <c r="K786" s="1" t="s">
        <v>263</v>
      </c>
    </row>
    <row r="787" customFormat="false" ht="15" hidden="false" customHeight="true" outlineLevel="0" collapsed="false">
      <c r="A787" s="1" t="s">
        <v>1696</v>
      </c>
      <c r="B787" s="1" t="s">
        <v>155</v>
      </c>
      <c r="C787" s="1" t="s">
        <v>1697</v>
      </c>
      <c r="D787" s="1" t="n">
        <v>438.41</v>
      </c>
      <c r="E787" s="1" t="s">
        <v>14</v>
      </c>
      <c r="F787" s="1" t="s">
        <v>41</v>
      </c>
      <c r="G787" s="1" t="s">
        <v>36</v>
      </c>
      <c r="H787" s="1" t="s">
        <v>17</v>
      </c>
      <c r="I787" s="1" t="s">
        <v>1695</v>
      </c>
      <c r="J787" s="1" t="n">
        <v>6</v>
      </c>
      <c r="K787" s="1" t="s">
        <v>263</v>
      </c>
    </row>
    <row r="788" customFormat="false" ht="15" hidden="false" customHeight="true" outlineLevel="0" collapsed="false">
      <c r="A788" s="1" t="s">
        <v>1698</v>
      </c>
      <c r="B788" s="1" t="s">
        <v>54</v>
      </c>
      <c r="C788" s="1" t="s">
        <v>1699</v>
      </c>
      <c r="D788" s="1" t="n">
        <v>43</v>
      </c>
      <c r="E788" s="1" t="s">
        <v>14</v>
      </c>
      <c r="F788" s="1" t="s">
        <v>56</v>
      </c>
      <c r="G788" s="1" t="s">
        <v>29</v>
      </c>
      <c r="H788" s="1" t="s">
        <v>37</v>
      </c>
      <c r="I788" s="1" t="s">
        <v>1695</v>
      </c>
      <c r="J788" s="1" t="n">
        <v>6</v>
      </c>
      <c r="K788" s="1" t="s">
        <v>263</v>
      </c>
    </row>
    <row r="789" customFormat="false" ht="15" hidden="false" customHeight="true" outlineLevel="0" collapsed="false">
      <c r="A789" s="1" t="s">
        <v>1700</v>
      </c>
      <c r="B789" s="1" t="s">
        <v>162</v>
      </c>
      <c r="C789" s="1" t="s">
        <v>1701</v>
      </c>
      <c r="D789" s="1" t="n">
        <v>10.65</v>
      </c>
      <c r="E789" s="1" t="s">
        <v>14</v>
      </c>
      <c r="F789" s="1" t="s">
        <v>49</v>
      </c>
      <c r="G789" s="1" t="s">
        <v>23</v>
      </c>
      <c r="H789" s="1" t="s">
        <v>37</v>
      </c>
      <c r="I789" s="1" t="s">
        <v>1695</v>
      </c>
      <c r="J789" s="1" t="n">
        <v>8</v>
      </c>
      <c r="K789" s="1" t="s">
        <v>263</v>
      </c>
    </row>
    <row r="790" customFormat="false" ht="15" hidden="false" customHeight="true" outlineLevel="0" collapsed="false">
      <c r="A790" s="1" t="s">
        <v>1702</v>
      </c>
      <c r="B790" s="1" t="s">
        <v>659</v>
      </c>
      <c r="C790" s="1" t="s">
        <v>1703</v>
      </c>
      <c r="D790" s="1" t="n">
        <v>336.27</v>
      </c>
      <c r="E790" s="1" t="s">
        <v>14</v>
      </c>
      <c r="F790" s="1" t="s">
        <v>15</v>
      </c>
      <c r="G790" s="1" t="s">
        <v>42</v>
      </c>
      <c r="H790" s="1" t="s">
        <v>24</v>
      </c>
      <c r="I790" s="1" t="s">
        <v>1695</v>
      </c>
      <c r="J790" s="1" t="n">
        <v>10</v>
      </c>
      <c r="K790" s="1" t="s">
        <v>263</v>
      </c>
    </row>
    <row r="791" customFormat="false" ht="15" hidden="false" customHeight="true" outlineLevel="0" collapsed="false">
      <c r="A791" s="1" t="s">
        <v>1704</v>
      </c>
      <c r="B791" s="1" t="s">
        <v>216</v>
      </c>
      <c r="C791" s="1" t="s">
        <v>1705</v>
      </c>
      <c r="D791" s="1" t="n">
        <v>351.42</v>
      </c>
      <c r="E791" s="1" t="s">
        <v>14</v>
      </c>
      <c r="F791" s="1" t="s">
        <v>49</v>
      </c>
      <c r="G791" s="1" t="s">
        <v>42</v>
      </c>
      <c r="H791" s="1" t="s">
        <v>37</v>
      </c>
      <c r="I791" s="1" t="s">
        <v>1695</v>
      </c>
      <c r="J791" s="1" t="n">
        <v>10</v>
      </c>
      <c r="K791" s="1" t="s">
        <v>263</v>
      </c>
    </row>
    <row r="792" customFormat="false" ht="15" hidden="false" customHeight="true" outlineLevel="0" collapsed="false">
      <c r="A792" s="1" t="s">
        <v>1706</v>
      </c>
      <c r="B792" s="1" t="s">
        <v>332</v>
      </c>
      <c r="C792" s="1" t="s">
        <v>1707</v>
      </c>
      <c r="D792" s="1" t="n">
        <v>15.71</v>
      </c>
      <c r="E792" s="1" t="s">
        <v>14</v>
      </c>
      <c r="F792" s="1" t="s">
        <v>49</v>
      </c>
      <c r="G792" s="1" t="s">
        <v>36</v>
      </c>
      <c r="H792" s="1" t="s">
        <v>17</v>
      </c>
      <c r="I792" s="1" t="s">
        <v>1695</v>
      </c>
      <c r="J792" s="1" t="n">
        <v>10</v>
      </c>
      <c r="K792" s="1" t="s">
        <v>263</v>
      </c>
    </row>
    <row r="793" customFormat="false" ht="15" hidden="false" customHeight="true" outlineLevel="0" collapsed="false">
      <c r="A793" s="1" t="s">
        <v>1708</v>
      </c>
      <c r="B793" s="1" t="s">
        <v>148</v>
      </c>
      <c r="C793" s="1" t="s">
        <v>1709</v>
      </c>
      <c r="D793" s="1" t="n">
        <v>84.08</v>
      </c>
      <c r="E793" s="1" t="s">
        <v>14</v>
      </c>
      <c r="F793" s="1" t="s">
        <v>41</v>
      </c>
      <c r="G793" s="1" t="s">
        <v>29</v>
      </c>
      <c r="H793" s="1" t="s">
        <v>37</v>
      </c>
      <c r="I793" s="1" t="s">
        <v>1695</v>
      </c>
      <c r="J793" s="1" t="n">
        <v>11</v>
      </c>
      <c r="K793" s="1" t="s">
        <v>263</v>
      </c>
    </row>
    <row r="794" customFormat="false" ht="15" hidden="false" customHeight="true" outlineLevel="0" collapsed="false">
      <c r="A794" s="1" t="s">
        <v>1710</v>
      </c>
      <c r="B794" s="1" t="s">
        <v>98</v>
      </c>
      <c r="C794" s="1" t="s">
        <v>1711</v>
      </c>
      <c r="D794" s="1" t="n">
        <v>35.06</v>
      </c>
      <c r="E794" s="1" t="s">
        <v>14</v>
      </c>
      <c r="F794" s="1" t="s">
        <v>15</v>
      </c>
      <c r="G794" s="1" t="s">
        <v>29</v>
      </c>
      <c r="H794" s="1" t="s">
        <v>17</v>
      </c>
      <c r="I794" s="1" t="s">
        <v>1695</v>
      </c>
      <c r="J794" s="1" t="n">
        <v>11</v>
      </c>
      <c r="K794" s="1" t="s">
        <v>263</v>
      </c>
    </row>
    <row r="795" customFormat="false" ht="15" hidden="false" customHeight="true" outlineLevel="0" collapsed="false">
      <c r="A795" s="1" t="s">
        <v>1712</v>
      </c>
      <c r="B795" s="1" t="s">
        <v>93</v>
      </c>
      <c r="C795" s="1" t="s">
        <v>1713</v>
      </c>
      <c r="D795" s="1" t="n">
        <v>227.63</v>
      </c>
      <c r="E795" s="1" t="s">
        <v>14</v>
      </c>
      <c r="F795" s="1" t="s">
        <v>28</v>
      </c>
      <c r="G795" s="1" t="s">
        <v>70</v>
      </c>
      <c r="H795" s="1" t="s">
        <v>37</v>
      </c>
      <c r="I795" s="1" t="s">
        <v>1695</v>
      </c>
      <c r="J795" s="1" t="n">
        <v>12</v>
      </c>
      <c r="K795" s="1" t="s">
        <v>263</v>
      </c>
    </row>
    <row r="796" customFormat="false" ht="15" hidden="false" customHeight="true" outlineLevel="0" collapsed="false">
      <c r="A796" s="1" t="s">
        <v>1714</v>
      </c>
      <c r="B796" s="1" t="s">
        <v>93</v>
      </c>
      <c r="C796" s="1" t="s">
        <v>1715</v>
      </c>
      <c r="D796" s="1" t="n">
        <v>73.32</v>
      </c>
      <c r="E796" s="1" t="s">
        <v>14</v>
      </c>
      <c r="F796" s="1" t="s">
        <v>28</v>
      </c>
      <c r="G796" s="1" t="s">
        <v>16</v>
      </c>
      <c r="H796" s="1" t="s">
        <v>37</v>
      </c>
      <c r="I796" s="1" t="s">
        <v>1695</v>
      </c>
      <c r="J796" s="1" t="n">
        <v>12</v>
      </c>
      <c r="K796" s="1" t="s">
        <v>263</v>
      </c>
    </row>
    <row r="797" customFormat="false" ht="15" hidden="false" customHeight="true" outlineLevel="0" collapsed="false">
      <c r="A797" s="1" t="s">
        <v>1716</v>
      </c>
      <c r="B797" s="1" t="s">
        <v>258</v>
      </c>
      <c r="C797" s="1" t="s">
        <v>1717</v>
      </c>
      <c r="D797" s="1" t="n">
        <v>80.63</v>
      </c>
      <c r="E797" s="1" t="s">
        <v>14</v>
      </c>
      <c r="F797" s="1" t="s">
        <v>28</v>
      </c>
      <c r="G797" s="1" t="s">
        <v>82</v>
      </c>
      <c r="H797" s="1" t="s">
        <v>24</v>
      </c>
      <c r="I797" s="1" t="s">
        <v>1695</v>
      </c>
      <c r="J797" s="1" t="n">
        <v>14</v>
      </c>
      <c r="K797" s="1" t="s">
        <v>263</v>
      </c>
    </row>
    <row r="798" customFormat="false" ht="15" hidden="false" customHeight="true" outlineLevel="0" collapsed="false">
      <c r="A798" s="1" t="s">
        <v>1718</v>
      </c>
      <c r="B798" s="1" t="s">
        <v>170</v>
      </c>
      <c r="C798" s="1" t="s">
        <v>1719</v>
      </c>
      <c r="D798" s="1" t="n">
        <v>152</v>
      </c>
      <c r="E798" s="1" t="s">
        <v>14</v>
      </c>
      <c r="F798" s="1" t="s">
        <v>41</v>
      </c>
      <c r="G798" s="1" t="s">
        <v>36</v>
      </c>
      <c r="H798" s="1" t="s">
        <v>17</v>
      </c>
      <c r="I798" s="1" t="s">
        <v>1695</v>
      </c>
      <c r="J798" s="1" t="n">
        <v>14</v>
      </c>
      <c r="K798" s="1" t="s">
        <v>263</v>
      </c>
    </row>
    <row r="799" customFormat="false" ht="15" hidden="false" customHeight="true" outlineLevel="0" collapsed="false">
      <c r="A799" s="1" t="s">
        <v>1720</v>
      </c>
      <c r="B799" s="1" t="s">
        <v>332</v>
      </c>
      <c r="C799" s="1" t="s">
        <v>1721</v>
      </c>
      <c r="D799" s="1" t="n">
        <v>37.27</v>
      </c>
      <c r="E799" s="1" t="s">
        <v>14</v>
      </c>
      <c r="F799" s="1" t="s">
        <v>49</v>
      </c>
      <c r="G799" s="1" t="s">
        <v>86</v>
      </c>
      <c r="H799" s="1" t="s">
        <v>37</v>
      </c>
      <c r="I799" s="1" t="s">
        <v>1695</v>
      </c>
      <c r="J799" s="1" t="n">
        <v>17</v>
      </c>
      <c r="K799" s="1" t="s">
        <v>263</v>
      </c>
    </row>
    <row r="800" customFormat="false" ht="15" hidden="false" customHeight="true" outlineLevel="0" collapsed="false">
      <c r="A800" s="1" t="s">
        <v>1722</v>
      </c>
      <c r="B800" s="1" t="s">
        <v>167</v>
      </c>
      <c r="C800" s="1" t="s">
        <v>1723</v>
      </c>
      <c r="D800" s="1" t="n">
        <v>72.71</v>
      </c>
      <c r="E800" s="1" t="s">
        <v>14</v>
      </c>
      <c r="F800" s="1" t="s">
        <v>28</v>
      </c>
      <c r="G800" s="1" t="s">
        <v>29</v>
      </c>
      <c r="H800" s="1" t="s">
        <v>24</v>
      </c>
      <c r="I800" s="1" t="s">
        <v>1695</v>
      </c>
      <c r="J800" s="1" t="n">
        <v>17</v>
      </c>
      <c r="K800" s="1" t="s">
        <v>263</v>
      </c>
    </row>
    <row r="801" customFormat="false" ht="15" hidden="false" customHeight="true" outlineLevel="0" collapsed="false">
      <c r="A801" s="1" t="s">
        <v>1724</v>
      </c>
      <c r="B801" s="1" t="s">
        <v>80</v>
      </c>
      <c r="C801" s="1" t="s">
        <v>1725</v>
      </c>
      <c r="D801" s="1" t="n">
        <v>126.68</v>
      </c>
      <c r="E801" s="1" t="s">
        <v>14</v>
      </c>
      <c r="F801" s="1" t="s">
        <v>56</v>
      </c>
      <c r="G801" s="1" t="s">
        <v>29</v>
      </c>
      <c r="H801" s="1" t="s">
        <v>24</v>
      </c>
      <c r="I801" s="1" t="s">
        <v>1695</v>
      </c>
      <c r="J801" s="1" t="n">
        <v>17</v>
      </c>
      <c r="K801" s="1" t="s">
        <v>263</v>
      </c>
    </row>
    <row r="802" customFormat="false" ht="15" hidden="false" customHeight="true" outlineLevel="0" collapsed="false">
      <c r="A802" s="1" t="s">
        <v>1726</v>
      </c>
      <c r="B802" s="1" t="s">
        <v>659</v>
      </c>
      <c r="C802" s="1" t="s">
        <v>1727</v>
      </c>
      <c r="D802" s="1" t="n">
        <v>135.26</v>
      </c>
      <c r="E802" s="1" t="s">
        <v>14</v>
      </c>
      <c r="F802" s="1" t="s">
        <v>15</v>
      </c>
      <c r="G802" s="1" t="s">
        <v>23</v>
      </c>
      <c r="H802" s="1" t="s">
        <v>37</v>
      </c>
      <c r="I802" s="1" t="s">
        <v>1695</v>
      </c>
      <c r="J802" s="1" t="n">
        <v>22</v>
      </c>
      <c r="K802" s="1" t="s">
        <v>263</v>
      </c>
    </row>
    <row r="803" customFormat="false" ht="15" hidden="false" customHeight="true" outlineLevel="0" collapsed="false">
      <c r="A803" s="1" t="s">
        <v>1728</v>
      </c>
      <c r="B803" s="1" t="s">
        <v>196</v>
      </c>
      <c r="C803" s="1" t="s">
        <v>1729</v>
      </c>
      <c r="D803" s="1" t="n">
        <v>24.7</v>
      </c>
      <c r="E803" s="1" t="s">
        <v>14</v>
      </c>
      <c r="F803" s="1" t="s">
        <v>15</v>
      </c>
      <c r="G803" s="1" t="s">
        <v>23</v>
      </c>
      <c r="H803" s="1" t="s">
        <v>24</v>
      </c>
      <c r="I803" s="1" t="s">
        <v>1730</v>
      </c>
      <c r="J803" s="1" t="n">
        <v>2</v>
      </c>
      <c r="K803" s="1" t="s">
        <v>19</v>
      </c>
    </row>
    <row r="804" customFormat="false" ht="15" hidden="false" customHeight="true" outlineLevel="0" collapsed="false">
      <c r="A804" s="1" t="s">
        <v>1731</v>
      </c>
      <c r="B804" s="1" t="s">
        <v>113</v>
      </c>
      <c r="C804" s="1" t="s">
        <v>1732</v>
      </c>
      <c r="D804" s="1" t="n">
        <v>183.81</v>
      </c>
      <c r="E804" s="1" t="s">
        <v>14</v>
      </c>
      <c r="F804" s="1" t="s">
        <v>41</v>
      </c>
      <c r="G804" s="1" t="s">
        <v>16</v>
      </c>
      <c r="H804" s="1" t="s">
        <v>17</v>
      </c>
      <c r="I804" s="1" t="s">
        <v>1730</v>
      </c>
      <c r="J804" s="1" t="n">
        <v>5</v>
      </c>
      <c r="K804" s="1" t="s">
        <v>19</v>
      </c>
    </row>
    <row r="805" customFormat="false" ht="15" hidden="false" customHeight="true" outlineLevel="0" collapsed="false">
      <c r="A805" s="1" t="s">
        <v>1733</v>
      </c>
      <c r="B805" s="1" t="s">
        <v>286</v>
      </c>
      <c r="C805" s="1" t="s">
        <v>1734</v>
      </c>
      <c r="D805" s="1" t="n">
        <v>77.81</v>
      </c>
      <c r="E805" s="1" t="s">
        <v>14</v>
      </c>
      <c r="F805" s="1" t="s">
        <v>15</v>
      </c>
      <c r="G805" s="1" t="s">
        <v>86</v>
      </c>
      <c r="H805" s="1" t="s">
        <v>37</v>
      </c>
      <c r="I805" s="1" t="s">
        <v>1730</v>
      </c>
      <c r="J805" s="1" t="n">
        <v>8</v>
      </c>
      <c r="K805" s="1" t="s">
        <v>19</v>
      </c>
    </row>
    <row r="806" customFormat="false" ht="15" hidden="false" customHeight="true" outlineLevel="0" collapsed="false">
      <c r="A806" s="1" t="s">
        <v>1735</v>
      </c>
      <c r="B806" s="1" t="s">
        <v>106</v>
      </c>
      <c r="C806" s="1" t="s">
        <v>1736</v>
      </c>
      <c r="D806" s="1" t="n">
        <v>57.07</v>
      </c>
      <c r="E806" s="1" t="s">
        <v>14</v>
      </c>
      <c r="F806" s="1" t="s">
        <v>15</v>
      </c>
      <c r="G806" s="1" t="s">
        <v>29</v>
      </c>
      <c r="H806" s="1" t="s">
        <v>37</v>
      </c>
      <c r="I806" s="1" t="s">
        <v>1730</v>
      </c>
      <c r="J806" s="1" t="n">
        <v>9</v>
      </c>
      <c r="K806" s="1" t="s">
        <v>19</v>
      </c>
    </row>
    <row r="807" customFormat="false" ht="15" hidden="false" customHeight="true" outlineLevel="0" collapsed="false">
      <c r="A807" s="1" t="s">
        <v>1737</v>
      </c>
      <c r="B807" s="1" t="s">
        <v>54</v>
      </c>
      <c r="C807" s="1" t="s">
        <v>1738</v>
      </c>
      <c r="D807" s="1" t="n">
        <v>38.72</v>
      </c>
      <c r="E807" s="1" t="s">
        <v>14</v>
      </c>
      <c r="F807" s="1" t="s">
        <v>56</v>
      </c>
      <c r="G807" s="1" t="s">
        <v>16</v>
      </c>
      <c r="H807" s="1" t="s">
        <v>24</v>
      </c>
      <c r="I807" s="1" t="s">
        <v>1730</v>
      </c>
      <c r="J807" s="1" t="n">
        <v>9</v>
      </c>
      <c r="K807" s="1" t="s">
        <v>19</v>
      </c>
    </row>
    <row r="808" customFormat="false" ht="15" hidden="false" customHeight="true" outlineLevel="0" collapsed="false">
      <c r="A808" s="1" t="s">
        <v>1739</v>
      </c>
      <c r="B808" s="1" t="s">
        <v>31</v>
      </c>
      <c r="C808" s="1" t="s">
        <v>1740</v>
      </c>
      <c r="D808" s="1" t="n">
        <v>119.56</v>
      </c>
      <c r="E808" s="1" t="s">
        <v>14</v>
      </c>
      <c r="F808" s="1" t="s">
        <v>15</v>
      </c>
      <c r="G808" s="1" t="s">
        <v>70</v>
      </c>
      <c r="H808" s="1" t="s">
        <v>37</v>
      </c>
      <c r="I808" s="1" t="s">
        <v>1730</v>
      </c>
      <c r="J808" s="1" t="n">
        <v>10</v>
      </c>
      <c r="K808" s="1" t="s">
        <v>19</v>
      </c>
    </row>
    <row r="809" customFormat="false" ht="15" hidden="false" customHeight="true" outlineLevel="0" collapsed="false">
      <c r="A809" s="1" t="s">
        <v>1741</v>
      </c>
      <c r="B809" s="1" t="s">
        <v>344</v>
      </c>
      <c r="C809" s="1" t="s">
        <v>1742</v>
      </c>
      <c r="D809" s="1" t="n">
        <v>149.22</v>
      </c>
      <c r="E809" s="1" t="s">
        <v>14</v>
      </c>
      <c r="F809" s="1" t="s">
        <v>49</v>
      </c>
      <c r="G809" s="1" t="s">
        <v>36</v>
      </c>
      <c r="H809" s="1" t="s">
        <v>24</v>
      </c>
      <c r="I809" s="1" t="s">
        <v>1730</v>
      </c>
      <c r="J809" s="1" t="n">
        <v>11</v>
      </c>
      <c r="K809" s="1" t="s">
        <v>19</v>
      </c>
    </row>
    <row r="810" customFormat="false" ht="15" hidden="false" customHeight="true" outlineLevel="0" collapsed="false">
      <c r="A810" s="1" t="s">
        <v>1743</v>
      </c>
      <c r="B810" s="1" t="s">
        <v>132</v>
      </c>
      <c r="C810" s="1" t="s">
        <v>1744</v>
      </c>
      <c r="D810" s="1" t="n">
        <v>106.26</v>
      </c>
      <c r="E810" s="1" t="s">
        <v>14</v>
      </c>
      <c r="F810" s="1" t="s">
        <v>41</v>
      </c>
      <c r="G810" s="1" t="s">
        <v>36</v>
      </c>
      <c r="H810" s="1" t="s">
        <v>37</v>
      </c>
      <c r="I810" s="1" t="s">
        <v>1730</v>
      </c>
      <c r="J810" s="1" t="n">
        <v>11</v>
      </c>
      <c r="K810" s="1" t="s">
        <v>19</v>
      </c>
    </row>
    <row r="811" customFormat="false" ht="15" hidden="false" customHeight="true" outlineLevel="0" collapsed="false">
      <c r="A811" s="1" t="s">
        <v>1745</v>
      </c>
      <c r="B811" s="1" t="s">
        <v>145</v>
      </c>
      <c r="C811" s="1" t="s">
        <v>1746</v>
      </c>
      <c r="D811" s="1" t="n">
        <v>27.01</v>
      </c>
      <c r="E811" s="1" t="s">
        <v>14</v>
      </c>
      <c r="F811" s="1" t="s">
        <v>15</v>
      </c>
      <c r="G811" s="1" t="s">
        <v>36</v>
      </c>
      <c r="H811" s="1" t="s">
        <v>24</v>
      </c>
      <c r="I811" s="1" t="s">
        <v>1730</v>
      </c>
      <c r="J811" s="1" t="n">
        <v>12</v>
      </c>
      <c r="K811" s="1" t="s">
        <v>19</v>
      </c>
    </row>
    <row r="812" customFormat="false" ht="15" hidden="false" customHeight="true" outlineLevel="0" collapsed="false">
      <c r="A812" s="1" t="s">
        <v>1747</v>
      </c>
      <c r="B812" s="1" t="s">
        <v>173</v>
      </c>
      <c r="C812" s="1" t="s">
        <v>1748</v>
      </c>
      <c r="D812" s="1" t="n">
        <v>42.14</v>
      </c>
      <c r="E812" s="1" t="s">
        <v>14</v>
      </c>
      <c r="F812" s="1" t="s">
        <v>28</v>
      </c>
      <c r="G812" s="1" t="s">
        <v>16</v>
      </c>
      <c r="H812" s="1" t="s">
        <v>37</v>
      </c>
      <c r="I812" s="1" t="s">
        <v>1730</v>
      </c>
      <c r="J812" s="1" t="n">
        <v>13</v>
      </c>
      <c r="K812" s="1" t="s">
        <v>19</v>
      </c>
    </row>
    <row r="813" customFormat="false" ht="15" hidden="false" customHeight="true" outlineLevel="0" collapsed="false">
      <c r="A813" s="1" t="s">
        <v>1749</v>
      </c>
      <c r="B813" s="1" t="s">
        <v>31</v>
      </c>
      <c r="C813" s="1" t="s">
        <v>1750</v>
      </c>
      <c r="D813" s="1" t="n">
        <v>231.35</v>
      </c>
      <c r="E813" s="1" t="s">
        <v>14</v>
      </c>
      <c r="F813" s="1" t="s">
        <v>15</v>
      </c>
      <c r="G813" s="1" t="s">
        <v>82</v>
      </c>
      <c r="H813" s="1" t="s">
        <v>17</v>
      </c>
      <c r="I813" s="1" t="s">
        <v>1730</v>
      </c>
      <c r="J813" s="1" t="n">
        <v>14</v>
      </c>
      <c r="K813" s="1" t="s">
        <v>19</v>
      </c>
    </row>
    <row r="814" customFormat="false" ht="15" hidden="false" customHeight="true" outlineLevel="0" collapsed="false">
      <c r="A814" s="1" t="s">
        <v>1751</v>
      </c>
      <c r="B814" s="1" t="s">
        <v>113</v>
      </c>
      <c r="C814" s="1" t="s">
        <v>1752</v>
      </c>
      <c r="D814" s="1" t="n">
        <v>24.63</v>
      </c>
      <c r="E814" s="1" t="s">
        <v>14</v>
      </c>
      <c r="F814" s="1" t="s">
        <v>41</v>
      </c>
      <c r="G814" s="1" t="s">
        <v>23</v>
      </c>
      <c r="H814" s="1" t="s">
        <v>37</v>
      </c>
      <c r="I814" s="1" t="s">
        <v>1730</v>
      </c>
      <c r="J814" s="1" t="n">
        <v>17</v>
      </c>
      <c r="K814" s="1" t="s">
        <v>19</v>
      </c>
    </row>
    <row r="815" customFormat="false" ht="15" hidden="false" customHeight="true" outlineLevel="0" collapsed="false">
      <c r="A815" s="1" t="s">
        <v>1753</v>
      </c>
      <c r="B815" s="1" t="s">
        <v>61</v>
      </c>
      <c r="C815" s="1" t="s">
        <v>1754</v>
      </c>
      <c r="D815" s="1" t="n">
        <v>39.79</v>
      </c>
      <c r="E815" s="1" t="s">
        <v>14</v>
      </c>
      <c r="F815" s="1" t="s">
        <v>56</v>
      </c>
      <c r="G815" s="1" t="s">
        <v>29</v>
      </c>
      <c r="H815" s="1" t="s">
        <v>17</v>
      </c>
      <c r="I815" s="1" t="s">
        <v>1730</v>
      </c>
      <c r="J815" s="1" t="n">
        <v>20</v>
      </c>
      <c r="K815" s="1" t="s">
        <v>19</v>
      </c>
    </row>
    <row r="816" customFormat="false" ht="15" hidden="false" customHeight="true" outlineLevel="0" collapsed="false">
      <c r="A816" s="1" t="s">
        <v>1755</v>
      </c>
      <c r="B816" s="1" t="s">
        <v>487</v>
      </c>
      <c r="C816" s="1" t="s">
        <v>1756</v>
      </c>
      <c r="D816" s="1" t="n">
        <v>33.26</v>
      </c>
      <c r="E816" s="1" t="s">
        <v>14</v>
      </c>
      <c r="F816" s="1" t="s">
        <v>49</v>
      </c>
      <c r="G816" s="1" t="s">
        <v>36</v>
      </c>
      <c r="H816" s="1" t="s">
        <v>17</v>
      </c>
      <c r="I816" s="1" t="s">
        <v>1730</v>
      </c>
      <c r="J816" s="1" t="n">
        <v>21</v>
      </c>
      <c r="K816" s="1" t="s">
        <v>19</v>
      </c>
    </row>
    <row r="817" customFormat="false" ht="15" hidden="false" customHeight="true" outlineLevel="0" collapsed="false">
      <c r="A817" s="1" t="s">
        <v>1757</v>
      </c>
      <c r="B817" s="1" t="s">
        <v>61</v>
      </c>
      <c r="C817" s="1" t="s">
        <v>1758</v>
      </c>
      <c r="D817" s="1" t="n">
        <v>49.98</v>
      </c>
      <c r="E817" s="1" t="s">
        <v>14</v>
      </c>
      <c r="F817" s="1" t="s">
        <v>56</v>
      </c>
      <c r="G817" s="1" t="s">
        <v>16</v>
      </c>
      <c r="H817" s="1" t="s">
        <v>24</v>
      </c>
      <c r="I817" s="1" t="s">
        <v>1730</v>
      </c>
      <c r="J817" s="1" t="n">
        <v>22</v>
      </c>
      <c r="K817" s="1" t="s">
        <v>19</v>
      </c>
    </row>
    <row r="818" customFormat="false" ht="15" hidden="false" customHeight="true" outlineLevel="0" collapsed="false">
      <c r="A818" s="1" t="s">
        <v>1759</v>
      </c>
      <c r="B818" s="1" t="s">
        <v>155</v>
      </c>
      <c r="C818" s="1" t="s">
        <v>1760</v>
      </c>
      <c r="D818" s="1" t="n">
        <v>58.42</v>
      </c>
      <c r="E818" s="1" t="s">
        <v>14</v>
      </c>
      <c r="F818" s="1" t="s">
        <v>41</v>
      </c>
      <c r="G818" s="1" t="s">
        <v>70</v>
      </c>
      <c r="H818" s="1" t="s">
        <v>24</v>
      </c>
      <c r="I818" s="1" t="s">
        <v>1730</v>
      </c>
      <c r="J818" s="1" t="n">
        <v>23</v>
      </c>
      <c r="K818" s="1" t="s">
        <v>19</v>
      </c>
    </row>
    <row r="819" customFormat="false" ht="15" hidden="false" customHeight="true" outlineLevel="0" collapsed="false">
      <c r="A819" s="1" t="s">
        <v>1761</v>
      </c>
      <c r="B819" s="1" t="s">
        <v>140</v>
      </c>
      <c r="C819" s="1" t="s">
        <v>1762</v>
      </c>
      <c r="D819" s="1" t="n">
        <v>29.55</v>
      </c>
      <c r="E819" s="1" t="s">
        <v>14</v>
      </c>
      <c r="F819" s="1" t="s">
        <v>41</v>
      </c>
      <c r="G819" s="1" t="s">
        <v>86</v>
      </c>
      <c r="H819" s="1" t="s">
        <v>17</v>
      </c>
      <c r="I819" s="1" t="s">
        <v>1763</v>
      </c>
      <c r="J819" s="1" t="n">
        <v>3</v>
      </c>
      <c r="K819" s="1" t="s">
        <v>67</v>
      </c>
    </row>
    <row r="820" customFormat="false" ht="15" hidden="false" customHeight="true" outlineLevel="0" collapsed="false">
      <c r="A820" s="1" t="s">
        <v>1764</v>
      </c>
      <c r="B820" s="1" t="s">
        <v>190</v>
      </c>
      <c r="C820" s="1" t="s">
        <v>1765</v>
      </c>
      <c r="D820" s="1" t="n">
        <v>143.75</v>
      </c>
      <c r="E820" s="1" t="s">
        <v>14</v>
      </c>
      <c r="F820" s="1" t="s">
        <v>49</v>
      </c>
      <c r="G820" s="1" t="s">
        <v>16</v>
      </c>
      <c r="H820" s="1" t="s">
        <v>37</v>
      </c>
      <c r="I820" s="1" t="s">
        <v>1763</v>
      </c>
      <c r="J820" s="1" t="n">
        <v>6</v>
      </c>
      <c r="K820" s="1" t="s">
        <v>67</v>
      </c>
    </row>
    <row r="821" customFormat="false" ht="15" hidden="false" customHeight="true" outlineLevel="0" collapsed="false">
      <c r="A821" s="1" t="s">
        <v>1766</v>
      </c>
      <c r="B821" s="1" t="s">
        <v>106</v>
      </c>
      <c r="C821" s="1" t="s">
        <v>1767</v>
      </c>
      <c r="D821" s="1" t="n">
        <v>19.4</v>
      </c>
      <c r="E821" s="1" t="s">
        <v>14</v>
      </c>
      <c r="F821" s="1" t="s">
        <v>15</v>
      </c>
      <c r="G821" s="1" t="s">
        <v>16</v>
      </c>
      <c r="H821" s="1" t="s">
        <v>24</v>
      </c>
      <c r="I821" s="1" t="s">
        <v>1763</v>
      </c>
      <c r="J821" s="1" t="n">
        <v>6</v>
      </c>
      <c r="K821" s="1" t="s">
        <v>67</v>
      </c>
    </row>
    <row r="822" customFormat="false" ht="15" hidden="false" customHeight="true" outlineLevel="0" collapsed="false">
      <c r="A822" s="1" t="s">
        <v>1768</v>
      </c>
      <c r="B822" s="1" t="s">
        <v>196</v>
      </c>
      <c r="C822" s="1" t="s">
        <v>1769</v>
      </c>
      <c r="D822" s="1" t="n">
        <v>61.01</v>
      </c>
      <c r="E822" s="1" t="s">
        <v>14</v>
      </c>
      <c r="F822" s="1" t="s">
        <v>15</v>
      </c>
      <c r="G822" s="1" t="s">
        <v>82</v>
      </c>
      <c r="H822" s="1" t="s">
        <v>37</v>
      </c>
      <c r="I822" s="1" t="s">
        <v>1763</v>
      </c>
      <c r="J822" s="1" t="n">
        <v>6</v>
      </c>
      <c r="K822" s="1" t="s">
        <v>67</v>
      </c>
    </row>
    <row r="823" customFormat="false" ht="15" hidden="false" customHeight="true" outlineLevel="0" collapsed="false">
      <c r="A823" s="1" t="s">
        <v>1770</v>
      </c>
      <c r="B823" s="1" t="s">
        <v>496</v>
      </c>
      <c r="C823" s="1" t="s">
        <v>1771</v>
      </c>
      <c r="D823" s="1" t="n">
        <v>18.4</v>
      </c>
      <c r="E823" s="1" t="s">
        <v>14</v>
      </c>
      <c r="F823" s="1" t="s">
        <v>28</v>
      </c>
      <c r="G823" s="1" t="s">
        <v>29</v>
      </c>
      <c r="H823" s="1" t="s">
        <v>24</v>
      </c>
      <c r="I823" s="1" t="s">
        <v>1763</v>
      </c>
      <c r="J823" s="1" t="n">
        <v>7</v>
      </c>
      <c r="K823" s="1" t="s">
        <v>67</v>
      </c>
    </row>
    <row r="824" customFormat="false" ht="15" hidden="false" customHeight="true" outlineLevel="0" collapsed="false">
      <c r="A824" s="1" t="s">
        <v>1772</v>
      </c>
      <c r="B824" s="1" t="s">
        <v>84</v>
      </c>
      <c r="C824" s="1" t="s">
        <v>1773</v>
      </c>
      <c r="D824" s="1" t="n">
        <v>60.14</v>
      </c>
      <c r="E824" s="1" t="s">
        <v>14</v>
      </c>
      <c r="F824" s="1" t="s">
        <v>56</v>
      </c>
      <c r="G824" s="1" t="s">
        <v>86</v>
      </c>
      <c r="H824" s="1" t="s">
        <v>24</v>
      </c>
      <c r="I824" s="1" t="s">
        <v>1763</v>
      </c>
      <c r="J824" s="1" t="n">
        <v>8</v>
      </c>
      <c r="K824" s="1" t="s">
        <v>67</v>
      </c>
    </row>
    <row r="825" customFormat="false" ht="15" hidden="false" customHeight="true" outlineLevel="0" collapsed="false">
      <c r="A825" s="1" t="s">
        <v>1774</v>
      </c>
      <c r="B825" s="1" t="s">
        <v>199</v>
      </c>
      <c r="C825" s="1" t="s">
        <v>1775</v>
      </c>
      <c r="D825" s="1" t="n">
        <v>125.25</v>
      </c>
      <c r="E825" s="1" t="s">
        <v>14</v>
      </c>
      <c r="F825" s="1" t="s">
        <v>41</v>
      </c>
      <c r="G825" s="1" t="s">
        <v>29</v>
      </c>
      <c r="H825" s="1" t="s">
        <v>24</v>
      </c>
      <c r="I825" s="1" t="s">
        <v>1763</v>
      </c>
      <c r="J825" s="1" t="n">
        <v>11</v>
      </c>
      <c r="K825" s="1" t="s">
        <v>67</v>
      </c>
    </row>
    <row r="826" customFormat="false" ht="15" hidden="false" customHeight="true" outlineLevel="0" collapsed="false">
      <c r="A826" s="1" t="s">
        <v>1776</v>
      </c>
      <c r="B826" s="1" t="s">
        <v>258</v>
      </c>
      <c r="C826" s="1" t="s">
        <v>1777</v>
      </c>
      <c r="D826" s="1" t="n">
        <v>41.66</v>
      </c>
      <c r="E826" s="1" t="s">
        <v>14</v>
      </c>
      <c r="F826" s="1" t="s">
        <v>28</v>
      </c>
      <c r="G826" s="1" t="s">
        <v>29</v>
      </c>
      <c r="H826" s="1" t="s">
        <v>37</v>
      </c>
      <c r="I826" s="1" t="s">
        <v>1763</v>
      </c>
      <c r="J826" s="1" t="n">
        <v>12</v>
      </c>
      <c r="K826" s="1" t="s">
        <v>67</v>
      </c>
    </row>
    <row r="827" customFormat="false" ht="15" hidden="false" customHeight="true" outlineLevel="0" collapsed="false">
      <c r="A827" s="1" t="s">
        <v>1778</v>
      </c>
      <c r="B827" s="1" t="s">
        <v>93</v>
      </c>
      <c r="C827" s="1" t="s">
        <v>1779</v>
      </c>
      <c r="D827" s="1" t="n">
        <v>15.9</v>
      </c>
      <c r="E827" s="1" t="s">
        <v>14</v>
      </c>
      <c r="F827" s="1" t="s">
        <v>28</v>
      </c>
      <c r="G827" s="1" t="s">
        <v>82</v>
      </c>
      <c r="H827" s="1" t="s">
        <v>17</v>
      </c>
      <c r="I827" s="1" t="s">
        <v>1763</v>
      </c>
      <c r="J827" s="1" t="n">
        <v>15</v>
      </c>
      <c r="K827" s="1" t="s">
        <v>67</v>
      </c>
    </row>
    <row r="828" customFormat="false" ht="15" hidden="false" customHeight="true" outlineLevel="0" collapsed="false">
      <c r="A828" s="1" t="s">
        <v>1780</v>
      </c>
      <c r="B828" s="1" t="s">
        <v>61</v>
      </c>
      <c r="C828" s="1" t="s">
        <v>1781</v>
      </c>
      <c r="D828" s="1" t="n">
        <v>79.67</v>
      </c>
      <c r="E828" s="1" t="s">
        <v>14</v>
      </c>
      <c r="F828" s="1" t="s">
        <v>56</v>
      </c>
      <c r="G828" s="1" t="s">
        <v>86</v>
      </c>
      <c r="H828" s="1" t="s">
        <v>24</v>
      </c>
      <c r="I828" s="1" t="s">
        <v>1763</v>
      </c>
      <c r="J828" s="1" t="n">
        <v>16</v>
      </c>
      <c r="K828" s="1" t="s">
        <v>67</v>
      </c>
    </row>
    <row r="829" customFormat="false" ht="15" hidden="false" customHeight="true" outlineLevel="0" collapsed="false">
      <c r="A829" s="1" t="s">
        <v>1782</v>
      </c>
      <c r="B829" s="1" t="s">
        <v>21</v>
      </c>
      <c r="C829" s="1" t="s">
        <v>1783</v>
      </c>
      <c r="D829" s="1" t="n">
        <v>113.24</v>
      </c>
      <c r="E829" s="1" t="s">
        <v>14</v>
      </c>
      <c r="F829" s="1" t="s">
        <v>15</v>
      </c>
      <c r="G829" s="1" t="s">
        <v>23</v>
      </c>
      <c r="H829" s="1" t="s">
        <v>24</v>
      </c>
      <c r="I829" s="1" t="s">
        <v>1763</v>
      </c>
      <c r="J829" s="1" t="n">
        <v>17</v>
      </c>
      <c r="K829" s="1" t="s">
        <v>67</v>
      </c>
    </row>
    <row r="830" customFormat="false" ht="15" hidden="false" customHeight="true" outlineLevel="0" collapsed="false">
      <c r="A830" s="1" t="s">
        <v>1784</v>
      </c>
      <c r="B830" s="1" t="s">
        <v>199</v>
      </c>
      <c r="C830" s="1" t="s">
        <v>1785</v>
      </c>
      <c r="D830" s="1" t="n">
        <v>78.25</v>
      </c>
      <c r="E830" s="1" t="s">
        <v>14</v>
      </c>
      <c r="F830" s="1" t="s">
        <v>41</v>
      </c>
      <c r="G830" s="1" t="s">
        <v>70</v>
      </c>
      <c r="H830" s="1" t="s">
        <v>24</v>
      </c>
      <c r="I830" s="1" t="s">
        <v>1763</v>
      </c>
      <c r="J830" s="1" t="n">
        <v>18</v>
      </c>
      <c r="K830" s="1" t="s">
        <v>67</v>
      </c>
    </row>
    <row r="831" customFormat="false" ht="15" hidden="false" customHeight="true" outlineLevel="0" collapsed="false">
      <c r="A831" s="1" t="s">
        <v>1786</v>
      </c>
      <c r="B831" s="1" t="s">
        <v>31</v>
      </c>
      <c r="C831" s="1" t="s">
        <v>1787</v>
      </c>
      <c r="D831" s="1" t="n">
        <v>57.37</v>
      </c>
      <c r="E831" s="1" t="s">
        <v>14</v>
      </c>
      <c r="F831" s="1" t="s">
        <v>15</v>
      </c>
      <c r="G831" s="1" t="s">
        <v>86</v>
      </c>
      <c r="H831" s="1" t="s">
        <v>24</v>
      </c>
      <c r="I831" s="1" t="s">
        <v>1763</v>
      </c>
      <c r="J831" s="1" t="n">
        <v>22</v>
      </c>
      <c r="K831" s="1" t="s">
        <v>67</v>
      </c>
    </row>
    <row r="832" customFormat="false" ht="15" hidden="false" customHeight="true" outlineLevel="0" collapsed="false">
      <c r="A832" s="1" t="s">
        <v>1788</v>
      </c>
      <c r="B832" s="1" t="s">
        <v>167</v>
      </c>
      <c r="C832" s="1" t="s">
        <v>1789</v>
      </c>
      <c r="D832" s="1" t="n">
        <v>44.89</v>
      </c>
      <c r="E832" s="1" t="s">
        <v>14</v>
      </c>
      <c r="F832" s="1" t="s">
        <v>28</v>
      </c>
      <c r="G832" s="1" t="s">
        <v>70</v>
      </c>
      <c r="H832" s="1" t="s">
        <v>37</v>
      </c>
      <c r="I832" s="1" t="s">
        <v>1790</v>
      </c>
      <c r="J832" s="1" t="n">
        <v>10</v>
      </c>
      <c r="K832" s="1" t="s">
        <v>123</v>
      </c>
    </row>
    <row r="833" customFormat="false" ht="15" hidden="false" customHeight="true" outlineLevel="0" collapsed="false">
      <c r="A833" s="1" t="s">
        <v>1791</v>
      </c>
      <c r="B833" s="1" t="s">
        <v>307</v>
      </c>
      <c r="C833" s="1" t="s">
        <v>1792</v>
      </c>
      <c r="D833" s="1" t="n">
        <v>28.96</v>
      </c>
      <c r="E833" s="1" t="s">
        <v>14</v>
      </c>
      <c r="F833" s="1" t="s">
        <v>15</v>
      </c>
      <c r="G833" s="1" t="s">
        <v>82</v>
      </c>
      <c r="H833" s="1" t="s">
        <v>37</v>
      </c>
      <c r="I833" s="1" t="s">
        <v>1790</v>
      </c>
      <c r="J833" s="1" t="n">
        <v>10</v>
      </c>
      <c r="K833" s="1" t="s">
        <v>123</v>
      </c>
    </row>
    <row r="834" customFormat="false" ht="15" hidden="false" customHeight="true" outlineLevel="0" collapsed="false">
      <c r="A834" s="1" t="s">
        <v>1793</v>
      </c>
      <c r="B834" s="1" t="s">
        <v>140</v>
      </c>
      <c r="C834" s="1" t="s">
        <v>1794</v>
      </c>
      <c r="D834" s="1" t="n">
        <v>62.84</v>
      </c>
      <c r="E834" s="1" t="s">
        <v>14</v>
      </c>
      <c r="F834" s="1" t="s">
        <v>41</v>
      </c>
      <c r="G834" s="1" t="s">
        <v>86</v>
      </c>
      <c r="H834" s="1" t="s">
        <v>24</v>
      </c>
      <c r="I834" s="1" t="s">
        <v>1790</v>
      </c>
      <c r="J834" s="1" t="n">
        <v>10</v>
      </c>
      <c r="K834" s="1" t="s">
        <v>123</v>
      </c>
    </row>
    <row r="835" customFormat="false" ht="15" hidden="false" customHeight="true" outlineLevel="0" collapsed="false">
      <c r="A835" s="1" t="s">
        <v>1795</v>
      </c>
      <c r="B835" s="1" t="s">
        <v>31</v>
      </c>
      <c r="C835" s="1" t="s">
        <v>1794</v>
      </c>
      <c r="D835" s="1" t="n">
        <v>81.57</v>
      </c>
      <c r="E835" s="1" t="s">
        <v>14</v>
      </c>
      <c r="F835" s="1" t="s">
        <v>15</v>
      </c>
      <c r="G835" s="1" t="s">
        <v>42</v>
      </c>
      <c r="H835" s="1" t="s">
        <v>24</v>
      </c>
      <c r="I835" s="1" t="s">
        <v>1790</v>
      </c>
      <c r="J835" s="1" t="n">
        <v>10</v>
      </c>
      <c r="K835" s="1" t="s">
        <v>123</v>
      </c>
    </row>
    <row r="836" customFormat="false" ht="15" hidden="false" customHeight="true" outlineLevel="0" collapsed="false">
      <c r="A836" s="1" t="s">
        <v>1796</v>
      </c>
      <c r="B836" s="1" t="s">
        <v>21</v>
      </c>
      <c r="C836" s="1" t="s">
        <v>1797</v>
      </c>
      <c r="D836" s="1" t="n">
        <v>143.26</v>
      </c>
      <c r="E836" s="1" t="s">
        <v>14</v>
      </c>
      <c r="F836" s="1" t="s">
        <v>15</v>
      </c>
      <c r="G836" s="1" t="s">
        <v>29</v>
      </c>
      <c r="H836" s="1" t="s">
        <v>17</v>
      </c>
      <c r="I836" s="1" t="s">
        <v>1790</v>
      </c>
      <c r="J836" s="1" t="n">
        <v>12</v>
      </c>
      <c r="K836" s="1" t="s">
        <v>123</v>
      </c>
    </row>
    <row r="837" customFormat="false" ht="15" hidden="false" customHeight="true" outlineLevel="0" collapsed="false">
      <c r="A837" s="1" t="s">
        <v>1798</v>
      </c>
      <c r="B837" s="1" t="s">
        <v>162</v>
      </c>
      <c r="C837" s="1" t="s">
        <v>1799</v>
      </c>
      <c r="D837" s="1" t="n">
        <v>54.75</v>
      </c>
      <c r="E837" s="1" t="s">
        <v>14</v>
      </c>
      <c r="F837" s="1" t="s">
        <v>49</v>
      </c>
      <c r="G837" s="1" t="s">
        <v>23</v>
      </c>
      <c r="H837" s="1" t="s">
        <v>17</v>
      </c>
      <c r="I837" s="1" t="s">
        <v>1790</v>
      </c>
      <c r="J837" s="1" t="n">
        <v>12</v>
      </c>
      <c r="K837" s="1" t="s">
        <v>123</v>
      </c>
    </row>
    <row r="838" customFormat="false" ht="15" hidden="false" customHeight="true" outlineLevel="0" collapsed="false">
      <c r="A838" s="1" t="s">
        <v>1800</v>
      </c>
      <c r="B838" s="1" t="s">
        <v>659</v>
      </c>
      <c r="C838" s="1" t="s">
        <v>1801</v>
      </c>
      <c r="D838" s="1" t="n">
        <v>80.44</v>
      </c>
      <c r="E838" s="1" t="s">
        <v>14</v>
      </c>
      <c r="F838" s="1" t="s">
        <v>15</v>
      </c>
      <c r="G838" s="1" t="s">
        <v>42</v>
      </c>
      <c r="H838" s="1" t="s">
        <v>17</v>
      </c>
      <c r="I838" s="1" t="s">
        <v>1790</v>
      </c>
      <c r="J838" s="1" t="n">
        <v>13</v>
      </c>
      <c r="K838" s="1" t="s">
        <v>123</v>
      </c>
    </row>
    <row r="839" customFormat="false" ht="15" hidden="false" customHeight="true" outlineLevel="0" collapsed="false">
      <c r="A839" s="1" t="s">
        <v>1802</v>
      </c>
      <c r="B839" s="1" t="s">
        <v>173</v>
      </c>
      <c r="C839" s="1" t="s">
        <v>1803</v>
      </c>
      <c r="D839" s="1" t="n">
        <v>140.79</v>
      </c>
      <c r="E839" s="1" t="s">
        <v>14</v>
      </c>
      <c r="F839" s="1" t="s">
        <v>28</v>
      </c>
      <c r="G839" s="1" t="s">
        <v>23</v>
      </c>
      <c r="H839" s="1" t="s">
        <v>37</v>
      </c>
      <c r="I839" s="1" t="s">
        <v>1790</v>
      </c>
      <c r="J839" s="1" t="n">
        <v>14</v>
      </c>
      <c r="K839" s="1" t="s">
        <v>123</v>
      </c>
    </row>
    <row r="840" customFormat="false" ht="15" hidden="false" customHeight="true" outlineLevel="0" collapsed="false">
      <c r="A840" s="1" t="s">
        <v>1804</v>
      </c>
      <c r="B840" s="1" t="s">
        <v>167</v>
      </c>
      <c r="C840" s="1" t="s">
        <v>1805</v>
      </c>
      <c r="D840" s="1" t="n">
        <v>29.81</v>
      </c>
      <c r="E840" s="1" t="s">
        <v>14</v>
      </c>
      <c r="F840" s="1" t="s">
        <v>28</v>
      </c>
      <c r="G840" s="1" t="s">
        <v>36</v>
      </c>
      <c r="H840" s="1" t="s">
        <v>17</v>
      </c>
      <c r="I840" s="1" t="s">
        <v>1790</v>
      </c>
      <c r="J840" s="1" t="n">
        <v>14</v>
      </c>
      <c r="K840" s="1" t="s">
        <v>123</v>
      </c>
    </row>
    <row r="841" customFormat="false" ht="15" hidden="false" customHeight="true" outlineLevel="0" collapsed="false">
      <c r="A841" s="1" t="s">
        <v>1806</v>
      </c>
      <c r="B841" s="1" t="s">
        <v>286</v>
      </c>
      <c r="C841" s="1" t="s">
        <v>1807</v>
      </c>
      <c r="D841" s="1" t="n">
        <v>22.23</v>
      </c>
      <c r="E841" s="1" t="s">
        <v>14</v>
      </c>
      <c r="F841" s="1" t="s">
        <v>15</v>
      </c>
      <c r="G841" s="1" t="s">
        <v>16</v>
      </c>
      <c r="H841" s="1" t="s">
        <v>24</v>
      </c>
      <c r="I841" s="1" t="s">
        <v>1790</v>
      </c>
      <c r="J841" s="1" t="n">
        <v>15</v>
      </c>
      <c r="K841" s="1" t="s">
        <v>123</v>
      </c>
    </row>
    <row r="842" customFormat="false" ht="15" hidden="false" customHeight="true" outlineLevel="0" collapsed="false">
      <c r="A842" s="1" t="s">
        <v>1808</v>
      </c>
      <c r="B842" s="1" t="s">
        <v>344</v>
      </c>
      <c r="C842" s="1" t="s">
        <v>1809</v>
      </c>
      <c r="D842" s="1" t="n">
        <v>31.44</v>
      </c>
      <c r="E842" s="1" t="s">
        <v>14</v>
      </c>
      <c r="F842" s="1" t="s">
        <v>49</v>
      </c>
      <c r="G842" s="1" t="s">
        <v>23</v>
      </c>
      <c r="H842" s="1" t="s">
        <v>17</v>
      </c>
      <c r="I842" s="1" t="s">
        <v>1790</v>
      </c>
      <c r="J842" s="1" t="n">
        <v>16</v>
      </c>
      <c r="K842" s="1" t="s">
        <v>123</v>
      </c>
    </row>
    <row r="843" customFormat="false" ht="15" hidden="false" customHeight="true" outlineLevel="0" collapsed="false">
      <c r="A843" s="1" t="s">
        <v>1810</v>
      </c>
      <c r="B843" s="1" t="s">
        <v>31</v>
      </c>
      <c r="C843" s="1" t="s">
        <v>1811</v>
      </c>
      <c r="D843" s="1" t="n">
        <v>64.73</v>
      </c>
      <c r="E843" s="1" t="s">
        <v>14</v>
      </c>
      <c r="F843" s="1" t="s">
        <v>15</v>
      </c>
      <c r="G843" s="1" t="s">
        <v>86</v>
      </c>
      <c r="H843" s="1" t="s">
        <v>37</v>
      </c>
      <c r="I843" s="1" t="s">
        <v>1790</v>
      </c>
      <c r="J843" s="1" t="n">
        <v>17</v>
      </c>
      <c r="K843" s="1" t="s">
        <v>123</v>
      </c>
    </row>
    <row r="844" customFormat="false" ht="15" hidden="false" customHeight="true" outlineLevel="0" collapsed="false">
      <c r="A844" s="1" t="s">
        <v>1812</v>
      </c>
      <c r="B844" s="1" t="s">
        <v>286</v>
      </c>
      <c r="C844" s="1" t="s">
        <v>1813</v>
      </c>
      <c r="D844" s="1" t="n">
        <v>129.62</v>
      </c>
      <c r="E844" s="1" t="s">
        <v>14</v>
      </c>
      <c r="F844" s="1" t="s">
        <v>15</v>
      </c>
      <c r="G844" s="1" t="s">
        <v>23</v>
      </c>
      <c r="H844" s="1" t="s">
        <v>24</v>
      </c>
      <c r="I844" s="1" t="s">
        <v>1790</v>
      </c>
      <c r="J844" s="1" t="n">
        <v>19</v>
      </c>
      <c r="K844" s="1" t="s">
        <v>123</v>
      </c>
    </row>
    <row r="845" customFormat="false" ht="15" hidden="false" customHeight="true" outlineLevel="0" collapsed="false">
      <c r="A845" s="1" t="s">
        <v>1814</v>
      </c>
      <c r="B845" s="1" t="s">
        <v>659</v>
      </c>
      <c r="C845" s="1" t="s">
        <v>1815</v>
      </c>
      <c r="D845" s="1" t="n">
        <v>146.88</v>
      </c>
      <c r="E845" s="1" t="s">
        <v>14</v>
      </c>
      <c r="F845" s="1" t="s">
        <v>15</v>
      </c>
      <c r="G845" s="1" t="s">
        <v>36</v>
      </c>
      <c r="H845" s="1" t="s">
        <v>17</v>
      </c>
      <c r="I845" s="1" t="s">
        <v>1816</v>
      </c>
      <c r="J845" s="1" t="n">
        <v>1</v>
      </c>
      <c r="K845" s="1" t="s">
        <v>151</v>
      </c>
    </row>
    <row r="846" customFormat="false" ht="15" hidden="false" customHeight="true" outlineLevel="0" collapsed="false">
      <c r="A846" s="1" t="s">
        <v>1817</v>
      </c>
      <c r="B846" s="1" t="s">
        <v>80</v>
      </c>
      <c r="C846" s="1" t="s">
        <v>1818</v>
      </c>
      <c r="D846" s="1" t="n">
        <v>103.59</v>
      </c>
      <c r="E846" s="1" t="s">
        <v>14</v>
      </c>
      <c r="F846" s="1" t="s">
        <v>56</v>
      </c>
      <c r="G846" s="1" t="s">
        <v>82</v>
      </c>
      <c r="H846" s="1" t="s">
        <v>17</v>
      </c>
      <c r="I846" s="1" t="s">
        <v>1816</v>
      </c>
      <c r="J846" s="1" t="n">
        <v>1</v>
      </c>
      <c r="K846" s="1" t="s">
        <v>151</v>
      </c>
    </row>
    <row r="847" customFormat="false" ht="15" hidden="false" customHeight="true" outlineLevel="0" collapsed="false">
      <c r="A847" s="1" t="s">
        <v>1819</v>
      </c>
      <c r="B847" s="1" t="s">
        <v>106</v>
      </c>
      <c r="C847" s="1" t="s">
        <v>1820</v>
      </c>
      <c r="D847" s="1" t="n">
        <v>112.32</v>
      </c>
      <c r="E847" s="1" t="s">
        <v>14</v>
      </c>
      <c r="F847" s="1" t="s">
        <v>15</v>
      </c>
      <c r="G847" s="1" t="s">
        <v>86</v>
      </c>
      <c r="H847" s="1" t="s">
        <v>37</v>
      </c>
      <c r="I847" s="1" t="s">
        <v>1816</v>
      </c>
      <c r="J847" s="1" t="n">
        <v>4</v>
      </c>
      <c r="K847" s="1" t="s">
        <v>151</v>
      </c>
    </row>
    <row r="848" customFormat="false" ht="15" hidden="false" customHeight="true" outlineLevel="0" collapsed="false">
      <c r="A848" s="1" t="s">
        <v>1821</v>
      </c>
      <c r="B848" s="1" t="s">
        <v>140</v>
      </c>
      <c r="C848" s="1" t="s">
        <v>1822</v>
      </c>
      <c r="D848" s="1" t="n">
        <v>108.75</v>
      </c>
      <c r="E848" s="1" t="s">
        <v>14</v>
      </c>
      <c r="F848" s="1" t="s">
        <v>41</v>
      </c>
      <c r="G848" s="1" t="s">
        <v>70</v>
      </c>
      <c r="H848" s="1" t="s">
        <v>24</v>
      </c>
      <c r="I848" s="1" t="s">
        <v>1816</v>
      </c>
      <c r="J848" s="1" t="n">
        <v>6</v>
      </c>
      <c r="K848" s="1" t="s">
        <v>151</v>
      </c>
    </row>
    <row r="849" customFormat="false" ht="15" hidden="false" customHeight="true" outlineLevel="0" collapsed="false">
      <c r="A849" s="1" t="s">
        <v>1823</v>
      </c>
      <c r="B849" s="1" t="s">
        <v>344</v>
      </c>
      <c r="C849" s="1" t="s">
        <v>1824</v>
      </c>
      <c r="D849" s="1" t="n">
        <v>204.99</v>
      </c>
      <c r="E849" s="1" t="s">
        <v>14</v>
      </c>
      <c r="F849" s="1" t="s">
        <v>49</v>
      </c>
      <c r="G849" s="1" t="s">
        <v>70</v>
      </c>
      <c r="H849" s="1" t="s">
        <v>24</v>
      </c>
      <c r="I849" s="1" t="s">
        <v>1816</v>
      </c>
      <c r="J849" s="1" t="n">
        <v>7</v>
      </c>
      <c r="K849" s="1" t="s">
        <v>151</v>
      </c>
    </row>
    <row r="850" customFormat="false" ht="15" hidden="false" customHeight="true" outlineLevel="0" collapsed="false">
      <c r="A850" s="1" t="s">
        <v>1825</v>
      </c>
      <c r="B850" s="1" t="s">
        <v>39</v>
      </c>
      <c r="C850" s="1" t="s">
        <v>1826</v>
      </c>
      <c r="D850" s="1" t="n">
        <v>69.37</v>
      </c>
      <c r="E850" s="1" t="s">
        <v>14</v>
      </c>
      <c r="F850" s="1" t="s">
        <v>41</v>
      </c>
      <c r="G850" s="1" t="s">
        <v>36</v>
      </c>
      <c r="H850" s="1" t="s">
        <v>37</v>
      </c>
      <c r="I850" s="1" t="s">
        <v>1816</v>
      </c>
      <c r="J850" s="1" t="n">
        <v>9</v>
      </c>
      <c r="K850" s="1" t="s">
        <v>151</v>
      </c>
    </row>
    <row r="851" customFormat="false" ht="15" hidden="false" customHeight="true" outlineLevel="0" collapsed="false">
      <c r="A851" s="1" t="s">
        <v>1827</v>
      </c>
      <c r="B851" s="1" t="s">
        <v>228</v>
      </c>
      <c r="C851" s="1" t="s">
        <v>1828</v>
      </c>
      <c r="D851" s="1" t="n">
        <v>40.14</v>
      </c>
      <c r="E851" s="1" t="s">
        <v>14</v>
      </c>
      <c r="F851" s="1" t="s">
        <v>28</v>
      </c>
      <c r="G851" s="1" t="s">
        <v>23</v>
      </c>
      <c r="H851" s="1" t="s">
        <v>37</v>
      </c>
      <c r="I851" s="1" t="s">
        <v>1816</v>
      </c>
      <c r="J851" s="1" t="n">
        <v>10</v>
      </c>
      <c r="K851" s="1" t="s">
        <v>151</v>
      </c>
    </row>
    <row r="852" customFormat="false" ht="15" hidden="false" customHeight="true" outlineLevel="0" collapsed="false">
      <c r="A852" s="1" t="s">
        <v>1829</v>
      </c>
      <c r="B852" s="1" t="s">
        <v>39</v>
      </c>
      <c r="C852" s="1" t="s">
        <v>1830</v>
      </c>
      <c r="D852" s="1" t="n">
        <v>288.75</v>
      </c>
      <c r="E852" s="1" t="s">
        <v>14</v>
      </c>
      <c r="F852" s="1" t="s">
        <v>41</v>
      </c>
      <c r="G852" s="1" t="s">
        <v>42</v>
      </c>
      <c r="H852" s="1" t="s">
        <v>24</v>
      </c>
      <c r="I852" s="1" t="s">
        <v>1816</v>
      </c>
      <c r="J852" s="1" t="n">
        <v>11</v>
      </c>
      <c r="K852" s="1" t="s">
        <v>151</v>
      </c>
    </row>
    <row r="853" customFormat="false" ht="15" hidden="false" customHeight="true" outlineLevel="0" collapsed="false">
      <c r="A853" s="1" t="s">
        <v>1831</v>
      </c>
      <c r="B853" s="1" t="s">
        <v>98</v>
      </c>
      <c r="C853" s="1" t="s">
        <v>1832</v>
      </c>
      <c r="D853" s="1" t="n">
        <v>138.68</v>
      </c>
      <c r="E853" s="1" t="s">
        <v>14</v>
      </c>
      <c r="F853" s="1" t="s">
        <v>15</v>
      </c>
      <c r="G853" s="1" t="s">
        <v>70</v>
      </c>
      <c r="H853" s="1" t="s">
        <v>17</v>
      </c>
      <c r="I853" s="1" t="s">
        <v>1816</v>
      </c>
      <c r="J853" s="1" t="n">
        <v>11</v>
      </c>
      <c r="K853" s="1" t="s">
        <v>151</v>
      </c>
    </row>
    <row r="854" customFormat="false" ht="15" hidden="false" customHeight="true" outlineLevel="0" collapsed="false">
      <c r="A854" s="1" t="s">
        <v>1833</v>
      </c>
      <c r="B854" s="1" t="s">
        <v>167</v>
      </c>
      <c r="C854" s="1" t="s">
        <v>1834</v>
      </c>
      <c r="D854" s="1" t="n">
        <v>68.5</v>
      </c>
      <c r="E854" s="1" t="s">
        <v>14</v>
      </c>
      <c r="F854" s="1" t="s">
        <v>28</v>
      </c>
      <c r="G854" s="1" t="s">
        <v>42</v>
      </c>
      <c r="H854" s="1" t="s">
        <v>37</v>
      </c>
      <c r="I854" s="1" t="s">
        <v>1816</v>
      </c>
      <c r="J854" s="1" t="n">
        <v>12</v>
      </c>
      <c r="K854" s="1" t="s">
        <v>151</v>
      </c>
    </row>
    <row r="855" customFormat="false" ht="15" hidden="false" customHeight="true" outlineLevel="0" collapsed="false">
      <c r="A855" s="1" t="s">
        <v>1835</v>
      </c>
      <c r="B855" s="1" t="s">
        <v>302</v>
      </c>
      <c r="C855" s="1" t="s">
        <v>1836</v>
      </c>
      <c r="D855" s="1" t="n">
        <v>19.49</v>
      </c>
      <c r="E855" s="1" t="s">
        <v>14</v>
      </c>
      <c r="F855" s="1" t="s">
        <v>28</v>
      </c>
      <c r="G855" s="1" t="s">
        <v>86</v>
      </c>
      <c r="H855" s="1" t="s">
        <v>17</v>
      </c>
      <c r="I855" s="1" t="s">
        <v>1816</v>
      </c>
      <c r="J855" s="1" t="n">
        <v>16</v>
      </c>
      <c r="K855" s="1" t="s">
        <v>151</v>
      </c>
    </row>
    <row r="856" customFormat="false" ht="15" hidden="false" customHeight="true" outlineLevel="0" collapsed="false">
      <c r="A856" s="1" t="s">
        <v>1837</v>
      </c>
      <c r="B856" s="1" t="s">
        <v>487</v>
      </c>
      <c r="C856" s="1" t="s">
        <v>1838</v>
      </c>
      <c r="D856" s="1" t="n">
        <v>33.68</v>
      </c>
      <c r="E856" s="1" t="s">
        <v>14</v>
      </c>
      <c r="F856" s="1" t="s">
        <v>49</v>
      </c>
      <c r="G856" s="1" t="s">
        <v>16</v>
      </c>
      <c r="H856" s="1" t="s">
        <v>24</v>
      </c>
      <c r="I856" s="1" t="s">
        <v>1816</v>
      </c>
      <c r="J856" s="1" t="n">
        <v>16</v>
      </c>
      <c r="K856" s="1" t="s">
        <v>151</v>
      </c>
    </row>
    <row r="857" customFormat="false" ht="15" hidden="false" customHeight="true" outlineLevel="0" collapsed="false">
      <c r="A857" s="1" t="s">
        <v>1839</v>
      </c>
      <c r="B857" s="1" t="s">
        <v>34</v>
      </c>
      <c r="C857" s="1" t="s">
        <v>1840</v>
      </c>
      <c r="D857" s="1" t="n">
        <v>69.88</v>
      </c>
      <c r="E857" s="1" t="s">
        <v>14</v>
      </c>
      <c r="F857" s="1" t="s">
        <v>15</v>
      </c>
      <c r="G857" s="1" t="s">
        <v>23</v>
      </c>
      <c r="H857" s="1" t="s">
        <v>24</v>
      </c>
      <c r="I857" s="1" t="s">
        <v>1816</v>
      </c>
      <c r="J857" s="1" t="n">
        <v>18</v>
      </c>
      <c r="K857" s="1" t="s">
        <v>151</v>
      </c>
    </row>
    <row r="858" customFormat="false" ht="15" hidden="false" customHeight="true" outlineLevel="0" collapsed="false">
      <c r="A858" s="1" t="s">
        <v>1841</v>
      </c>
      <c r="B858" s="1" t="s">
        <v>258</v>
      </c>
      <c r="C858" s="1" t="s">
        <v>1842</v>
      </c>
      <c r="D858" s="1" t="n">
        <v>95.51</v>
      </c>
      <c r="E858" s="1" t="s">
        <v>14</v>
      </c>
      <c r="F858" s="1" t="s">
        <v>28</v>
      </c>
      <c r="G858" s="1" t="s">
        <v>42</v>
      </c>
      <c r="H858" s="1" t="s">
        <v>24</v>
      </c>
      <c r="I858" s="1" t="s">
        <v>1816</v>
      </c>
      <c r="J858" s="1" t="n">
        <v>18</v>
      </c>
      <c r="K858" s="1" t="s">
        <v>151</v>
      </c>
    </row>
    <row r="859" customFormat="false" ht="15" hidden="false" customHeight="true" outlineLevel="0" collapsed="false">
      <c r="A859" s="1" t="s">
        <v>1843</v>
      </c>
      <c r="B859" s="1" t="s">
        <v>12</v>
      </c>
      <c r="C859" s="1" t="s">
        <v>1844</v>
      </c>
      <c r="D859" s="1" t="n">
        <v>77.67</v>
      </c>
      <c r="E859" s="1" t="s">
        <v>14</v>
      </c>
      <c r="F859" s="1" t="s">
        <v>15</v>
      </c>
      <c r="G859" s="1" t="s">
        <v>29</v>
      </c>
      <c r="H859" s="1" t="s">
        <v>17</v>
      </c>
      <c r="I859" s="1" t="s">
        <v>1816</v>
      </c>
      <c r="J859" s="1" t="n">
        <v>20</v>
      </c>
      <c r="K859" s="1" t="s">
        <v>151</v>
      </c>
    </row>
    <row r="860" customFormat="false" ht="15" hidden="false" customHeight="true" outlineLevel="0" collapsed="false">
      <c r="A860" s="1" t="s">
        <v>1845</v>
      </c>
      <c r="B860" s="1" t="s">
        <v>193</v>
      </c>
      <c r="C860" s="1" t="s">
        <v>1846</v>
      </c>
      <c r="D860" s="1" t="n">
        <v>102.81</v>
      </c>
      <c r="E860" s="1" t="s">
        <v>14</v>
      </c>
      <c r="F860" s="1" t="s">
        <v>15</v>
      </c>
      <c r="G860" s="1" t="s">
        <v>36</v>
      </c>
      <c r="H860" s="1" t="s">
        <v>17</v>
      </c>
      <c r="I860" s="1" t="s">
        <v>1816</v>
      </c>
      <c r="J860" s="1" t="n">
        <v>20</v>
      </c>
      <c r="K860" s="1" t="s">
        <v>151</v>
      </c>
    </row>
    <row r="861" customFormat="false" ht="15" hidden="false" customHeight="true" outlineLevel="0" collapsed="false">
      <c r="A861" s="1" t="s">
        <v>1847</v>
      </c>
      <c r="B861" s="1" t="s">
        <v>47</v>
      </c>
      <c r="C861" s="1" t="s">
        <v>1848</v>
      </c>
      <c r="D861" s="1" t="n">
        <v>81.61</v>
      </c>
      <c r="E861" s="1" t="s">
        <v>14</v>
      </c>
      <c r="F861" s="1" t="s">
        <v>49</v>
      </c>
      <c r="G861" s="1" t="s">
        <v>42</v>
      </c>
      <c r="H861" s="1" t="s">
        <v>17</v>
      </c>
      <c r="I861" s="1" t="s">
        <v>1816</v>
      </c>
      <c r="J861" s="1" t="n">
        <v>21</v>
      </c>
      <c r="K861" s="1" t="s">
        <v>151</v>
      </c>
    </row>
    <row r="862" customFormat="false" ht="15" hidden="false" customHeight="true" outlineLevel="0" collapsed="false">
      <c r="A862" s="1" t="s">
        <v>1849</v>
      </c>
      <c r="B862" s="1" t="s">
        <v>344</v>
      </c>
      <c r="C862" s="1" t="s">
        <v>1850</v>
      </c>
      <c r="D862" s="1" t="n">
        <v>36.72</v>
      </c>
      <c r="E862" s="1" t="s">
        <v>14</v>
      </c>
      <c r="F862" s="1" t="s">
        <v>49</v>
      </c>
      <c r="G862" s="1" t="s">
        <v>86</v>
      </c>
      <c r="H862" s="1" t="s">
        <v>17</v>
      </c>
      <c r="I862" s="1" t="s">
        <v>1816</v>
      </c>
      <c r="J862" s="1" t="n">
        <v>22</v>
      </c>
      <c r="K862" s="1" t="s">
        <v>151</v>
      </c>
    </row>
    <row r="863" customFormat="false" ht="15" hidden="false" customHeight="true" outlineLevel="0" collapsed="false">
      <c r="A863" s="1" t="s">
        <v>1851</v>
      </c>
      <c r="B863" s="1" t="s">
        <v>240</v>
      </c>
      <c r="C863" s="1" t="s">
        <v>1852</v>
      </c>
      <c r="D863" s="1" t="n">
        <v>371.84</v>
      </c>
      <c r="E863" s="1" t="s">
        <v>14</v>
      </c>
      <c r="F863" s="1" t="s">
        <v>56</v>
      </c>
      <c r="G863" s="1" t="s">
        <v>36</v>
      </c>
      <c r="H863" s="1" t="s">
        <v>37</v>
      </c>
      <c r="I863" s="1" t="s">
        <v>1816</v>
      </c>
      <c r="J863" s="1" t="n">
        <v>22</v>
      </c>
      <c r="K863" s="1" t="s">
        <v>151</v>
      </c>
    </row>
    <row r="864" customFormat="false" ht="15" hidden="false" customHeight="true" outlineLevel="0" collapsed="false">
      <c r="A864" s="1" t="s">
        <v>1853</v>
      </c>
      <c r="B864" s="1" t="s">
        <v>199</v>
      </c>
      <c r="C864" s="1" t="s">
        <v>1854</v>
      </c>
      <c r="D864" s="1" t="n">
        <v>16.23</v>
      </c>
      <c r="E864" s="1" t="s">
        <v>14</v>
      </c>
      <c r="F864" s="1" t="s">
        <v>41</v>
      </c>
      <c r="G864" s="1" t="s">
        <v>16</v>
      </c>
      <c r="H864" s="1" t="s">
        <v>24</v>
      </c>
      <c r="I864" s="1" t="s">
        <v>1855</v>
      </c>
      <c r="J864" s="1" t="n">
        <v>6</v>
      </c>
      <c r="K864" s="1" t="s">
        <v>186</v>
      </c>
    </row>
    <row r="865" customFormat="false" ht="15" hidden="false" customHeight="true" outlineLevel="0" collapsed="false">
      <c r="A865" s="1" t="s">
        <v>1856</v>
      </c>
      <c r="B865" s="1" t="s">
        <v>51</v>
      </c>
      <c r="C865" s="1" t="s">
        <v>1857</v>
      </c>
      <c r="D865" s="1" t="n">
        <v>18.11</v>
      </c>
      <c r="E865" s="1" t="s">
        <v>14</v>
      </c>
      <c r="F865" s="1" t="s">
        <v>41</v>
      </c>
      <c r="G865" s="1" t="s">
        <v>16</v>
      </c>
      <c r="H865" s="1" t="s">
        <v>17</v>
      </c>
      <c r="I865" s="1" t="s">
        <v>1855</v>
      </c>
      <c r="J865" s="1" t="n">
        <v>6</v>
      </c>
      <c r="K865" s="1" t="s">
        <v>186</v>
      </c>
    </row>
    <row r="866" customFormat="false" ht="15" hidden="false" customHeight="true" outlineLevel="0" collapsed="false">
      <c r="A866" s="1" t="s">
        <v>1858</v>
      </c>
      <c r="B866" s="1" t="s">
        <v>120</v>
      </c>
      <c r="C866" s="1" t="s">
        <v>1859</v>
      </c>
      <c r="D866" s="1" t="n">
        <v>116.81</v>
      </c>
      <c r="E866" s="1" t="s">
        <v>14</v>
      </c>
      <c r="F866" s="1" t="s">
        <v>49</v>
      </c>
      <c r="G866" s="1" t="s">
        <v>36</v>
      </c>
      <c r="H866" s="1" t="s">
        <v>37</v>
      </c>
      <c r="I866" s="1" t="s">
        <v>1855</v>
      </c>
      <c r="J866" s="1" t="n">
        <v>7</v>
      </c>
      <c r="K866" s="1" t="s">
        <v>186</v>
      </c>
    </row>
    <row r="867" customFormat="false" ht="15" hidden="false" customHeight="true" outlineLevel="0" collapsed="false">
      <c r="A867" s="1" t="s">
        <v>1860</v>
      </c>
      <c r="B867" s="1" t="s">
        <v>148</v>
      </c>
      <c r="C867" s="1" t="s">
        <v>1861</v>
      </c>
      <c r="D867" s="1" t="n">
        <v>23.29</v>
      </c>
      <c r="E867" s="1" t="s">
        <v>14</v>
      </c>
      <c r="F867" s="1" t="s">
        <v>41</v>
      </c>
      <c r="G867" s="1" t="s">
        <v>86</v>
      </c>
      <c r="H867" s="1" t="s">
        <v>24</v>
      </c>
      <c r="I867" s="1" t="s">
        <v>1855</v>
      </c>
      <c r="J867" s="1" t="n">
        <v>8</v>
      </c>
      <c r="K867" s="1" t="s">
        <v>186</v>
      </c>
    </row>
    <row r="868" customFormat="false" ht="15" hidden="false" customHeight="true" outlineLevel="0" collapsed="false">
      <c r="A868" s="1" t="s">
        <v>1862</v>
      </c>
      <c r="B868" s="1" t="s">
        <v>54</v>
      </c>
      <c r="C868" s="1" t="s">
        <v>1863</v>
      </c>
      <c r="D868" s="1" t="n">
        <v>95.11</v>
      </c>
      <c r="E868" s="1" t="s">
        <v>14</v>
      </c>
      <c r="F868" s="1" t="s">
        <v>56</v>
      </c>
      <c r="G868" s="1" t="s">
        <v>16</v>
      </c>
      <c r="H868" s="1" t="s">
        <v>37</v>
      </c>
      <c r="I868" s="1" t="s">
        <v>1855</v>
      </c>
      <c r="J868" s="1" t="n">
        <v>8</v>
      </c>
      <c r="K868" s="1" t="s">
        <v>186</v>
      </c>
    </row>
    <row r="869" customFormat="false" ht="15" hidden="false" customHeight="true" outlineLevel="0" collapsed="false">
      <c r="A869" s="1" t="s">
        <v>1864</v>
      </c>
      <c r="B869" s="1" t="s">
        <v>193</v>
      </c>
      <c r="C869" s="1" t="s">
        <v>1865</v>
      </c>
      <c r="D869" s="1" t="n">
        <v>101.93</v>
      </c>
      <c r="E869" s="1" t="s">
        <v>14</v>
      </c>
      <c r="F869" s="1" t="s">
        <v>15</v>
      </c>
      <c r="G869" s="1" t="s">
        <v>16</v>
      </c>
      <c r="H869" s="1" t="s">
        <v>37</v>
      </c>
      <c r="I869" s="1" t="s">
        <v>1855</v>
      </c>
      <c r="J869" s="1" t="n">
        <v>10</v>
      </c>
      <c r="K869" s="1" t="s">
        <v>186</v>
      </c>
    </row>
    <row r="870" customFormat="false" ht="15" hidden="false" customHeight="true" outlineLevel="0" collapsed="false">
      <c r="A870" s="1" t="s">
        <v>1866</v>
      </c>
      <c r="B870" s="1" t="s">
        <v>240</v>
      </c>
      <c r="C870" s="1" t="s">
        <v>1867</v>
      </c>
      <c r="D870" s="1" t="n">
        <v>30.32</v>
      </c>
      <c r="E870" s="1" t="s">
        <v>14</v>
      </c>
      <c r="F870" s="1" t="s">
        <v>56</v>
      </c>
      <c r="G870" s="1" t="s">
        <v>23</v>
      </c>
      <c r="H870" s="1" t="s">
        <v>24</v>
      </c>
      <c r="I870" s="1" t="s">
        <v>1855</v>
      </c>
      <c r="J870" s="1" t="n">
        <v>10</v>
      </c>
      <c r="K870" s="1" t="s">
        <v>186</v>
      </c>
    </row>
    <row r="871" customFormat="false" ht="15" hidden="false" customHeight="true" outlineLevel="0" collapsed="false">
      <c r="A871" s="1" t="s">
        <v>1868</v>
      </c>
      <c r="B871" s="1" t="s">
        <v>148</v>
      </c>
      <c r="C871" s="1" t="s">
        <v>1869</v>
      </c>
      <c r="D871" s="1" t="n">
        <v>78.03</v>
      </c>
      <c r="E871" s="1" t="s">
        <v>14</v>
      </c>
      <c r="F871" s="1" t="s">
        <v>41</v>
      </c>
      <c r="G871" s="1" t="s">
        <v>42</v>
      </c>
      <c r="H871" s="1" t="s">
        <v>17</v>
      </c>
      <c r="I871" s="1" t="s">
        <v>1855</v>
      </c>
      <c r="J871" s="1" t="n">
        <v>10</v>
      </c>
      <c r="K871" s="1" t="s">
        <v>186</v>
      </c>
    </row>
    <row r="872" customFormat="false" ht="15" hidden="false" customHeight="true" outlineLevel="0" collapsed="false">
      <c r="A872" s="1" t="s">
        <v>1870</v>
      </c>
      <c r="B872" s="1" t="s">
        <v>148</v>
      </c>
      <c r="C872" s="1" t="s">
        <v>1871</v>
      </c>
      <c r="D872" s="1" t="n">
        <v>62.36</v>
      </c>
      <c r="E872" s="1" t="s">
        <v>14</v>
      </c>
      <c r="F872" s="1" t="s">
        <v>41</v>
      </c>
      <c r="G872" s="1" t="s">
        <v>70</v>
      </c>
      <c r="H872" s="1" t="s">
        <v>37</v>
      </c>
      <c r="I872" s="1" t="s">
        <v>1855</v>
      </c>
      <c r="J872" s="1" t="n">
        <v>12</v>
      </c>
      <c r="K872" s="1" t="s">
        <v>186</v>
      </c>
    </row>
    <row r="873" customFormat="false" ht="15" hidden="false" customHeight="true" outlineLevel="0" collapsed="false">
      <c r="A873" s="1" t="s">
        <v>1872</v>
      </c>
      <c r="B873" s="1" t="s">
        <v>120</v>
      </c>
      <c r="C873" s="1" t="s">
        <v>1873</v>
      </c>
      <c r="D873" s="1" t="n">
        <v>14.27</v>
      </c>
      <c r="E873" s="1" t="s">
        <v>14</v>
      </c>
      <c r="F873" s="1" t="s">
        <v>49</v>
      </c>
      <c r="G873" s="1" t="s">
        <v>86</v>
      </c>
      <c r="H873" s="1" t="s">
        <v>17</v>
      </c>
      <c r="I873" s="1" t="s">
        <v>1855</v>
      </c>
      <c r="J873" s="1" t="n">
        <v>13</v>
      </c>
      <c r="K873" s="1" t="s">
        <v>186</v>
      </c>
    </row>
    <row r="874" customFormat="false" ht="15" hidden="false" customHeight="true" outlineLevel="0" collapsed="false">
      <c r="A874" s="1" t="s">
        <v>1874</v>
      </c>
      <c r="B874" s="1" t="s">
        <v>196</v>
      </c>
      <c r="C874" s="1" t="s">
        <v>1875</v>
      </c>
      <c r="D874" s="1" t="n">
        <v>248.6</v>
      </c>
      <c r="E874" s="1" t="s">
        <v>14</v>
      </c>
      <c r="F874" s="1" t="s">
        <v>15</v>
      </c>
      <c r="G874" s="1" t="s">
        <v>86</v>
      </c>
      <c r="H874" s="1" t="s">
        <v>37</v>
      </c>
      <c r="I874" s="1" t="s">
        <v>1855</v>
      </c>
      <c r="J874" s="1" t="n">
        <v>14</v>
      </c>
      <c r="K874" s="1" t="s">
        <v>186</v>
      </c>
    </row>
    <row r="875" customFormat="false" ht="15" hidden="false" customHeight="true" outlineLevel="0" collapsed="false">
      <c r="A875" s="1" t="s">
        <v>1876</v>
      </c>
      <c r="B875" s="1" t="s">
        <v>196</v>
      </c>
      <c r="C875" s="1" t="s">
        <v>1877</v>
      </c>
      <c r="D875" s="1" t="n">
        <v>587.44</v>
      </c>
      <c r="E875" s="1" t="s">
        <v>14</v>
      </c>
      <c r="F875" s="1" t="s">
        <v>15</v>
      </c>
      <c r="G875" s="1" t="s">
        <v>86</v>
      </c>
      <c r="H875" s="1" t="s">
        <v>37</v>
      </c>
      <c r="I875" s="1" t="s">
        <v>1855</v>
      </c>
      <c r="J875" s="1" t="n">
        <v>14</v>
      </c>
      <c r="K875" s="1" t="s">
        <v>186</v>
      </c>
    </row>
    <row r="876" customFormat="false" ht="15" hidden="false" customHeight="true" outlineLevel="0" collapsed="false">
      <c r="A876" s="1" t="s">
        <v>1878</v>
      </c>
      <c r="B876" s="1" t="s">
        <v>196</v>
      </c>
      <c r="C876" s="1" t="s">
        <v>1879</v>
      </c>
      <c r="D876" s="1" t="n">
        <v>379.5</v>
      </c>
      <c r="E876" s="1" t="s">
        <v>14</v>
      </c>
      <c r="F876" s="1" t="s">
        <v>15</v>
      </c>
      <c r="G876" s="1" t="s">
        <v>86</v>
      </c>
      <c r="H876" s="1" t="s">
        <v>37</v>
      </c>
      <c r="I876" s="1" t="s">
        <v>1855</v>
      </c>
      <c r="J876" s="1" t="n">
        <v>14</v>
      </c>
      <c r="K876" s="1" t="s">
        <v>186</v>
      </c>
    </row>
    <row r="877" customFormat="false" ht="15" hidden="false" customHeight="true" outlineLevel="0" collapsed="false">
      <c r="A877" s="1" t="s">
        <v>1880</v>
      </c>
      <c r="B877" s="1" t="s">
        <v>196</v>
      </c>
      <c r="C877" s="1" t="s">
        <v>1881</v>
      </c>
      <c r="D877" s="1" t="n">
        <v>151.41</v>
      </c>
      <c r="E877" s="1" t="s">
        <v>14</v>
      </c>
      <c r="F877" s="1" t="s">
        <v>15</v>
      </c>
      <c r="G877" s="1" t="s">
        <v>86</v>
      </c>
      <c r="H877" s="1" t="s">
        <v>37</v>
      </c>
      <c r="I877" s="1" t="s">
        <v>1855</v>
      </c>
      <c r="J877" s="1" t="n">
        <v>14</v>
      </c>
      <c r="K877" s="1" t="s">
        <v>186</v>
      </c>
    </row>
    <row r="878" customFormat="false" ht="15" hidden="false" customHeight="true" outlineLevel="0" collapsed="false">
      <c r="A878" s="1" t="s">
        <v>1882</v>
      </c>
      <c r="B878" s="1" t="s">
        <v>196</v>
      </c>
      <c r="C878" s="1" t="s">
        <v>1883</v>
      </c>
      <c r="D878" s="1" t="n">
        <v>514.94</v>
      </c>
      <c r="E878" s="1" t="s">
        <v>14</v>
      </c>
      <c r="F878" s="1" t="s">
        <v>15</v>
      </c>
      <c r="G878" s="1" t="s">
        <v>86</v>
      </c>
      <c r="H878" s="1" t="s">
        <v>37</v>
      </c>
      <c r="I878" s="1" t="s">
        <v>1855</v>
      </c>
      <c r="J878" s="1" t="n">
        <v>14</v>
      </c>
      <c r="K878" s="1" t="s">
        <v>186</v>
      </c>
    </row>
    <row r="879" customFormat="false" ht="15" hidden="false" customHeight="true" outlineLevel="0" collapsed="false">
      <c r="A879" s="1" t="s">
        <v>1884</v>
      </c>
      <c r="B879" s="1" t="s">
        <v>196</v>
      </c>
      <c r="C879" s="1" t="s">
        <v>1885</v>
      </c>
      <c r="D879" s="1" t="n">
        <v>492.41</v>
      </c>
      <c r="E879" s="1" t="s">
        <v>14</v>
      </c>
      <c r="F879" s="1" t="s">
        <v>15</v>
      </c>
      <c r="G879" s="1" t="s">
        <v>86</v>
      </c>
      <c r="H879" s="1" t="s">
        <v>37</v>
      </c>
      <c r="I879" s="1" t="s">
        <v>1855</v>
      </c>
      <c r="J879" s="1" t="n">
        <v>14</v>
      </c>
      <c r="K879" s="1" t="s">
        <v>186</v>
      </c>
    </row>
    <row r="880" customFormat="false" ht="15" hidden="false" customHeight="true" outlineLevel="0" collapsed="false">
      <c r="A880" s="1" t="s">
        <v>1886</v>
      </c>
      <c r="B880" s="1" t="s">
        <v>196</v>
      </c>
      <c r="C880" s="1" t="s">
        <v>1887</v>
      </c>
      <c r="D880" s="1" t="n">
        <v>477.4</v>
      </c>
      <c r="E880" s="1" t="s">
        <v>14</v>
      </c>
      <c r="F880" s="1" t="s">
        <v>15</v>
      </c>
      <c r="G880" s="1" t="s">
        <v>86</v>
      </c>
      <c r="H880" s="1" t="s">
        <v>37</v>
      </c>
      <c r="I880" s="1" t="s">
        <v>1855</v>
      </c>
      <c r="J880" s="1" t="n">
        <v>14</v>
      </c>
      <c r="K880" s="1" t="s">
        <v>186</v>
      </c>
    </row>
    <row r="881" customFormat="false" ht="15" hidden="false" customHeight="true" outlineLevel="0" collapsed="false">
      <c r="A881" s="1" t="s">
        <v>1888</v>
      </c>
      <c r="B881" s="1" t="s">
        <v>196</v>
      </c>
      <c r="C881" s="1" t="s">
        <v>1889</v>
      </c>
      <c r="D881" s="1" t="n">
        <v>388.4</v>
      </c>
      <c r="E881" s="1" t="s">
        <v>14</v>
      </c>
      <c r="F881" s="1" t="s">
        <v>15</v>
      </c>
      <c r="G881" s="1" t="s">
        <v>86</v>
      </c>
      <c r="H881" s="1" t="s">
        <v>37</v>
      </c>
      <c r="I881" s="1" t="s">
        <v>1855</v>
      </c>
      <c r="J881" s="1" t="n">
        <v>14</v>
      </c>
      <c r="K881" s="1" t="s">
        <v>186</v>
      </c>
    </row>
    <row r="882" customFormat="false" ht="15" hidden="false" customHeight="true" outlineLevel="0" collapsed="false">
      <c r="A882" s="1" t="s">
        <v>1890</v>
      </c>
      <c r="B882" s="1" t="s">
        <v>51</v>
      </c>
      <c r="C882" s="1" t="s">
        <v>1891</v>
      </c>
      <c r="D882" s="1" t="n">
        <v>83.14</v>
      </c>
      <c r="E882" s="1" t="s">
        <v>14</v>
      </c>
      <c r="F882" s="1" t="s">
        <v>41</v>
      </c>
      <c r="G882" s="1" t="s">
        <v>86</v>
      </c>
      <c r="H882" s="1" t="s">
        <v>24</v>
      </c>
      <c r="I882" s="1" t="s">
        <v>1855</v>
      </c>
      <c r="J882" s="1" t="n">
        <v>14</v>
      </c>
      <c r="K882" s="1" t="s">
        <v>186</v>
      </c>
    </row>
    <row r="883" customFormat="false" ht="15" hidden="false" customHeight="true" outlineLevel="0" collapsed="false">
      <c r="A883" s="1" t="s">
        <v>1892</v>
      </c>
      <c r="B883" s="1" t="s">
        <v>196</v>
      </c>
      <c r="C883" s="1" t="s">
        <v>1893</v>
      </c>
      <c r="D883" s="1" t="n">
        <v>254.46</v>
      </c>
      <c r="E883" s="1" t="s">
        <v>14</v>
      </c>
      <c r="F883" s="1" t="s">
        <v>15</v>
      </c>
      <c r="G883" s="1" t="s">
        <v>86</v>
      </c>
      <c r="H883" s="1" t="s">
        <v>37</v>
      </c>
      <c r="I883" s="1" t="s">
        <v>1855</v>
      </c>
      <c r="J883" s="1" t="n">
        <v>14</v>
      </c>
      <c r="K883" s="1" t="s">
        <v>186</v>
      </c>
    </row>
    <row r="884" customFormat="false" ht="15" hidden="false" customHeight="true" outlineLevel="0" collapsed="false">
      <c r="A884" s="1" t="s">
        <v>1894</v>
      </c>
      <c r="B884" s="1" t="s">
        <v>196</v>
      </c>
      <c r="C884" s="1" t="s">
        <v>1895</v>
      </c>
      <c r="D884" s="1" t="n">
        <v>142.79</v>
      </c>
      <c r="E884" s="1" t="s">
        <v>14</v>
      </c>
      <c r="F884" s="1" t="s">
        <v>15</v>
      </c>
      <c r="G884" s="1" t="s">
        <v>86</v>
      </c>
      <c r="H884" s="1" t="s">
        <v>37</v>
      </c>
      <c r="I884" s="1" t="s">
        <v>1855</v>
      </c>
      <c r="J884" s="1" t="n">
        <v>14</v>
      </c>
      <c r="K884" s="1" t="s">
        <v>186</v>
      </c>
    </row>
    <row r="885" customFormat="false" ht="15" hidden="false" customHeight="true" outlineLevel="0" collapsed="false">
      <c r="A885" s="1" t="s">
        <v>1896</v>
      </c>
      <c r="B885" s="1" t="s">
        <v>145</v>
      </c>
      <c r="C885" s="1" t="s">
        <v>1897</v>
      </c>
      <c r="D885" s="1" t="n">
        <v>148.51</v>
      </c>
      <c r="E885" s="1" t="s">
        <v>14</v>
      </c>
      <c r="F885" s="1" t="s">
        <v>15</v>
      </c>
      <c r="G885" s="1" t="s">
        <v>82</v>
      </c>
      <c r="H885" s="1" t="s">
        <v>37</v>
      </c>
      <c r="I885" s="1" t="s">
        <v>1855</v>
      </c>
      <c r="J885" s="1" t="n">
        <v>16</v>
      </c>
      <c r="K885" s="1" t="s">
        <v>186</v>
      </c>
    </row>
    <row r="886" customFormat="false" ht="15" hidden="false" customHeight="true" outlineLevel="0" collapsed="false">
      <c r="A886" s="1" t="s">
        <v>1898</v>
      </c>
      <c r="B886" s="1" t="s">
        <v>90</v>
      </c>
      <c r="C886" s="1" t="s">
        <v>1899</v>
      </c>
      <c r="D886" s="1" t="n">
        <v>157.53</v>
      </c>
      <c r="E886" s="1" t="s">
        <v>14</v>
      </c>
      <c r="F886" s="1" t="s">
        <v>41</v>
      </c>
      <c r="G886" s="1" t="s">
        <v>42</v>
      </c>
      <c r="H886" s="1" t="s">
        <v>37</v>
      </c>
      <c r="I886" s="1" t="s">
        <v>1855</v>
      </c>
      <c r="J886" s="1" t="n">
        <v>18</v>
      </c>
      <c r="K886" s="1" t="s">
        <v>186</v>
      </c>
    </row>
    <row r="887" customFormat="false" ht="15" hidden="false" customHeight="true" outlineLevel="0" collapsed="false">
      <c r="A887" s="1" t="s">
        <v>1900</v>
      </c>
      <c r="B887" s="1" t="s">
        <v>148</v>
      </c>
      <c r="C887" s="1" t="s">
        <v>1901</v>
      </c>
      <c r="D887" s="1" t="n">
        <v>49.66</v>
      </c>
      <c r="E887" s="1" t="s">
        <v>14</v>
      </c>
      <c r="F887" s="1" t="s">
        <v>41</v>
      </c>
      <c r="G887" s="1" t="s">
        <v>70</v>
      </c>
      <c r="H887" s="1" t="s">
        <v>17</v>
      </c>
      <c r="I887" s="1" t="s">
        <v>1855</v>
      </c>
      <c r="J887" s="1" t="n">
        <v>18</v>
      </c>
      <c r="K887" s="1" t="s">
        <v>186</v>
      </c>
    </row>
    <row r="888" customFormat="false" ht="15" hidden="false" customHeight="true" outlineLevel="0" collapsed="false">
      <c r="A888" s="1" t="s">
        <v>1902</v>
      </c>
      <c r="B888" s="1" t="s">
        <v>475</v>
      </c>
      <c r="C888" s="1" t="s">
        <v>1903</v>
      </c>
      <c r="D888" s="1" t="n">
        <v>335.72</v>
      </c>
      <c r="E888" s="1" t="s">
        <v>14</v>
      </c>
      <c r="F888" s="1" t="s">
        <v>56</v>
      </c>
      <c r="G888" s="1" t="s">
        <v>86</v>
      </c>
      <c r="H888" s="1" t="s">
        <v>24</v>
      </c>
      <c r="I888" s="1" t="s">
        <v>1855</v>
      </c>
      <c r="J888" s="1" t="n">
        <v>19</v>
      </c>
      <c r="K888" s="1" t="s">
        <v>186</v>
      </c>
    </row>
    <row r="889" customFormat="false" ht="15" hidden="false" customHeight="true" outlineLevel="0" collapsed="false">
      <c r="A889" s="1" t="s">
        <v>1904</v>
      </c>
      <c r="B889" s="1" t="s">
        <v>190</v>
      </c>
      <c r="C889" s="1" t="s">
        <v>1905</v>
      </c>
      <c r="D889" s="1" t="n">
        <v>15.17</v>
      </c>
      <c r="E889" s="1" t="s">
        <v>14</v>
      </c>
      <c r="F889" s="1" t="s">
        <v>49</v>
      </c>
      <c r="G889" s="1" t="s">
        <v>70</v>
      </c>
      <c r="H889" s="1" t="s">
        <v>17</v>
      </c>
      <c r="I889" s="1" t="s">
        <v>1855</v>
      </c>
      <c r="J889" s="1" t="n">
        <v>20</v>
      </c>
      <c r="K889" s="1" t="s">
        <v>186</v>
      </c>
    </row>
    <row r="890" customFormat="false" ht="15" hidden="false" customHeight="true" outlineLevel="0" collapsed="false">
      <c r="A890" s="1" t="s">
        <v>1906</v>
      </c>
      <c r="B890" s="1" t="s">
        <v>199</v>
      </c>
      <c r="C890" s="1" t="s">
        <v>1907</v>
      </c>
      <c r="D890" s="1" t="n">
        <v>64.62</v>
      </c>
      <c r="E890" s="1" t="s">
        <v>14</v>
      </c>
      <c r="F890" s="1" t="s">
        <v>41</v>
      </c>
      <c r="G890" s="1" t="s">
        <v>86</v>
      </c>
      <c r="H890" s="1" t="s">
        <v>17</v>
      </c>
      <c r="I890" s="1" t="s">
        <v>1855</v>
      </c>
      <c r="J890" s="1" t="n">
        <v>22</v>
      </c>
      <c r="K890" s="1" t="s">
        <v>186</v>
      </c>
    </row>
    <row r="891" customFormat="false" ht="15" hidden="false" customHeight="true" outlineLevel="0" collapsed="false">
      <c r="A891" s="1" t="s">
        <v>1908</v>
      </c>
      <c r="B891" s="1" t="s">
        <v>51</v>
      </c>
      <c r="C891" s="1" t="s">
        <v>1909</v>
      </c>
      <c r="D891" s="1" t="n">
        <v>82.17</v>
      </c>
      <c r="E891" s="1" t="s">
        <v>14</v>
      </c>
      <c r="F891" s="1" t="s">
        <v>41</v>
      </c>
      <c r="G891" s="1" t="s">
        <v>70</v>
      </c>
      <c r="H891" s="1" t="s">
        <v>17</v>
      </c>
      <c r="I891" s="1" t="s">
        <v>1910</v>
      </c>
      <c r="J891" s="1" t="n">
        <v>0</v>
      </c>
      <c r="K891" s="1" t="s">
        <v>219</v>
      </c>
    </row>
    <row r="892" customFormat="false" ht="15" hidden="false" customHeight="true" outlineLevel="0" collapsed="false">
      <c r="A892" s="1" t="s">
        <v>1911</v>
      </c>
      <c r="B892" s="1" t="s">
        <v>496</v>
      </c>
      <c r="C892" s="1" t="s">
        <v>1912</v>
      </c>
      <c r="D892" s="1" t="n">
        <v>99.78</v>
      </c>
      <c r="E892" s="1" t="s">
        <v>14</v>
      </c>
      <c r="F892" s="1" t="s">
        <v>28</v>
      </c>
      <c r="G892" s="1" t="s">
        <v>70</v>
      </c>
      <c r="H892" s="1" t="s">
        <v>24</v>
      </c>
      <c r="I892" s="1" t="s">
        <v>1910</v>
      </c>
      <c r="J892" s="1" t="n">
        <v>6</v>
      </c>
      <c r="K892" s="1" t="s">
        <v>219</v>
      </c>
    </row>
    <row r="893" customFormat="false" ht="15" hidden="false" customHeight="true" outlineLevel="0" collapsed="false">
      <c r="A893" s="1" t="s">
        <v>1913</v>
      </c>
      <c r="B893" s="1" t="s">
        <v>291</v>
      </c>
      <c r="C893" s="1" t="s">
        <v>1914</v>
      </c>
      <c r="D893" s="1" t="n">
        <v>78.88</v>
      </c>
      <c r="E893" s="1" t="s">
        <v>14</v>
      </c>
      <c r="F893" s="1" t="s">
        <v>28</v>
      </c>
      <c r="G893" s="1" t="s">
        <v>36</v>
      </c>
      <c r="H893" s="1" t="s">
        <v>24</v>
      </c>
      <c r="I893" s="1" t="s">
        <v>1910</v>
      </c>
      <c r="J893" s="1" t="n">
        <v>8</v>
      </c>
      <c r="K893" s="1" t="s">
        <v>219</v>
      </c>
    </row>
    <row r="894" customFormat="false" ht="15" hidden="false" customHeight="true" outlineLevel="0" collapsed="false">
      <c r="A894" s="1" t="s">
        <v>1915</v>
      </c>
      <c r="B894" s="1" t="s">
        <v>98</v>
      </c>
      <c r="C894" s="1" t="s">
        <v>1916</v>
      </c>
      <c r="D894" s="1" t="n">
        <v>357.52</v>
      </c>
      <c r="E894" s="1" t="s">
        <v>14</v>
      </c>
      <c r="F894" s="1" t="s">
        <v>15</v>
      </c>
      <c r="G894" s="1" t="s">
        <v>42</v>
      </c>
      <c r="H894" s="1" t="s">
        <v>17</v>
      </c>
      <c r="I894" s="1" t="s">
        <v>1910</v>
      </c>
      <c r="J894" s="1" t="n">
        <v>8</v>
      </c>
      <c r="K894" s="1" t="s">
        <v>219</v>
      </c>
    </row>
    <row r="895" customFormat="false" ht="15" hidden="false" customHeight="true" outlineLevel="0" collapsed="false">
      <c r="A895" s="1" t="s">
        <v>1917</v>
      </c>
      <c r="B895" s="1" t="s">
        <v>113</v>
      </c>
      <c r="C895" s="1" t="s">
        <v>1918</v>
      </c>
      <c r="D895" s="1" t="n">
        <v>5.89</v>
      </c>
      <c r="E895" s="1" t="s">
        <v>14</v>
      </c>
      <c r="F895" s="1" t="s">
        <v>41</v>
      </c>
      <c r="G895" s="1" t="s">
        <v>70</v>
      </c>
      <c r="H895" s="1" t="s">
        <v>37</v>
      </c>
      <c r="I895" s="1" t="s">
        <v>1910</v>
      </c>
      <c r="J895" s="1" t="n">
        <v>9</v>
      </c>
      <c r="K895" s="1" t="s">
        <v>219</v>
      </c>
    </row>
    <row r="896" customFormat="false" ht="15" hidden="false" customHeight="true" outlineLevel="0" collapsed="false">
      <c r="A896" s="1" t="s">
        <v>1919</v>
      </c>
      <c r="B896" s="1" t="s">
        <v>47</v>
      </c>
      <c r="C896" s="1" t="s">
        <v>1920</v>
      </c>
      <c r="D896" s="1" t="n">
        <v>37.98</v>
      </c>
      <c r="E896" s="1" t="s">
        <v>14</v>
      </c>
      <c r="F896" s="1" t="s">
        <v>49</v>
      </c>
      <c r="G896" s="1" t="s">
        <v>42</v>
      </c>
      <c r="H896" s="1" t="s">
        <v>17</v>
      </c>
      <c r="I896" s="1" t="s">
        <v>1910</v>
      </c>
      <c r="J896" s="1" t="n">
        <v>11</v>
      </c>
      <c r="K896" s="1" t="s">
        <v>219</v>
      </c>
    </row>
    <row r="897" customFormat="false" ht="15" hidden="false" customHeight="true" outlineLevel="0" collapsed="false">
      <c r="A897" s="1" t="s">
        <v>1921</v>
      </c>
      <c r="B897" s="1" t="s">
        <v>58</v>
      </c>
      <c r="C897" s="1" t="s">
        <v>1922</v>
      </c>
      <c r="D897" s="1" t="n">
        <v>82.91</v>
      </c>
      <c r="E897" s="1" t="s">
        <v>14</v>
      </c>
      <c r="F897" s="1" t="s">
        <v>15</v>
      </c>
      <c r="G897" s="1" t="s">
        <v>23</v>
      </c>
      <c r="H897" s="1" t="s">
        <v>17</v>
      </c>
      <c r="I897" s="1" t="s">
        <v>1910</v>
      </c>
      <c r="J897" s="1" t="n">
        <v>13</v>
      </c>
      <c r="K897" s="1" t="s">
        <v>219</v>
      </c>
    </row>
    <row r="898" customFormat="false" ht="15" hidden="false" customHeight="true" outlineLevel="0" collapsed="false">
      <c r="A898" s="1" t="s">
        <v>1923</v>
      </c>
      <c r="B898" s="1" t="s">
        <v>21</v>
      </c>
      <c r="C898" s="1" t="s">
        <v>1924</v>
      </c>
      <c r="D898" s="1" t="n">
        <v>38.08</v>
      </c>
      <c r="E898" s="1" t="s">
        <v>14</v>
      </c>
      <c r="F898" s="1" t="s">
        <v>15</v>
      </c>
      <c r="G898" s="1" t="s">
        <v>23</v>
      </c>
      <c r="H898" s="1" t="s">
        <v>37</v>
      </c>
      <c r="I898" s="1" t="s">
        <v>1910</v>
      </c>
      <c r="J898" s="1" t="n">
        <v>13</v>
      </c>
      <c r="K898" s="1" t="s">
        <v>219</v>
      </c>
    </row>
    <row r="899" customFormat="false" ht="15" hidden="false" customHeight="true" outlineLevel="0" collapsed="false">
      <c r="A899" s="1" t="s">
        <v>1925</v>
      </c>
      <c r="B899" s="1" t="s">
        <v>84</v>
      </c>
      <c r="C899" s="1" t="s">
        <v>1926</v>
      </c>
      <c r="D899" s="1" t="n">
        <v>16.99</v>
      </c>
      <c r="E899" s="1" t="s">
        <v>14</v>
      </c>
      <c r="F899" s="1" t="s">
        <v>56</v>
      </c>
      <c r="G899" s="1" t="s">
        <v>86</v>
      </c>
      <c r="H899" s="1" t="s">
        <v>24</v>
      </c>
      <c r="I899" s="1" t="s">
        <v>1910</v>
      </c>
      <c r="J899" s="1" t="n">
        <v>14</v>
      </c>
      <c r="K899" s="1" t="s">
        <v>219</v>
      </c>
    </row>
    <row r="900" customFormat="false" ht="15" hidden="false" customHeight="true" outlineLevel="0" collapsed="false">
      <c r="A900" s="1" t="s">
        <v>1927</v>
      </c>
      <c r="B900" s="1" t="s">
        <v>286</v>
      </c>
      <c r="C900" s="1" t="s">
        <v>1928</v>
      </c>
      <c r="D900" s="1" t="n">
        <v>60.09</v>
      </c>
      <c r="E900" s="1" t="s">
        <v>14</v>
      </c>
      <c r="F900" s="1" t="s">
        <v>15</v>
      </c>
      <c r="G900" s="1" t="s">
        <v>86</v>
      </c>
      <c r="H900" s="1" t="s">
        <v>24</v>
      </c>
      <c r="I900" s="1" t="s">
        <v>1910</v>
      </c>
      <c r="J900" s="1" t="n">
        <v>15</v>
      </c>
      <c r="K900" s="1" t="s">
        <v>219</v>
      </c>
    </row>
    <row r="901" customFormat="false" ht="15" hidden="false" customHeight="true" outlineLevel="0" collapsed="false">
      <c r="A901" s="1" t="s">
        <v>1929</v>
      </c>
      <c r="B901" s="1" t="s">
        <v>170</v>
      </c>
      <c r="C901" s="1" t="s">
        <v>1930</v>
      </c>
      <c r="D901" s="1" t="n">
        <v>252.17</v>
      </c>
      <c r="E901" s="1" t="s">
        <v>14</v>
      </c>
      <c r="F901" s="1" t="s">
        <v>41</v>
      </c>
      <c r="G901" s="1" t="s">
        <v>82</v>
      </c>
      <c r="H901" s="1" t="s">
        <v>17</v>
      </c>
      <c r="I901" s="1" t="s">
        <v>1931</v>
      </c>
      <c r="J901" s="1" t="n">
        <v>3</v>
      </c>
      <c r="K901" s="1" t="s">
        <v>263</v>
      </c>
    </row>
    <row r="902" customFormat="false" ht="15" hidden="false" customHeight="true" outlineLevel="0" collapsed="false">
      <c r="A902" s="1" t="s">
        <v>1932</v>
      </c>
      <c r="B902" s="1" t="s">
        <v>307</v>
      </c>
      <c r="C902" s="1" t="s">
        <v>1933</v>
      </c>
      <c r="D902" s="1" t="n">
        <v>26.52</v>
      </c>
      <c r="E902" s="1" t="s">
        <v>14</v>
      </c>
      <c r="F902" s="1" t="s">
        <v>15</v>
      </c>
      <c r="G902" s="1" t="s">
        <v>82</v>
      </c>
      <c r="H902" s="1" t="s">
        <v>24</v>
      </c>
      <c r="I902" s="1" t="s">
        <v>1931</v>
      </c>
      <c r="J902" s="1" t="n">
        <v>4</v>
      </c>
      <c r="K902" s="1" t="s">
        <v>263</v>
      </c>
    </row>
    <row r="903" customFormat="false" ht="15" hidden="false" customHeight="true" outlineLevel="0" collapsed="false">
      <c r="A903" s="1" t="s">
        <v>1934</v>
      </c>
      <c r="B903" s="1" t="s">
        <v>162</v>
      </c>
      <c r="C903" s="1" t="s">
        <v>1935</v>
      </c>
      <c r="D903" s="1" t="n">
        <v>133.46</v>
      </c>
      <c r="E903" s="1" t="s">
        <v>14</v>
      </c>
      <c r="F903" s="1" t="s">
        <v>49</v>
      </c>
      <c r="G903" s="1" t="s">
        <v>29</v>
      </c>
      <c r="H903" s="1" t="s">
        <v>24</v>
      </c>
      <c r="I903" s="1" t="s">
        <v>1931</v>
      </c>
      <c r="J903" s="1" t="n">
        <v>5</v>
      </c>
      <c r="K903" s="1" t="s">
        <v>263</v>
      </c>
    </row>
    <row r="904" customFormat="false" ht="15" hidden="false" customHeight="true" outlineLevel="0" collapsed="false">
      <c r="A904" s="1" t="s">
        <v>1936</v>
      </c>
      <c r="B904" s="1" t="s">
        <v>21</v>
      </c>
      <c r="C904" s="1" t="s">
        <v>1937</v>
      </c>
      <c r="D904" s="1" t="n">
        <v>121.02</v>
      </c>
      <c r="E904" s="1" t="s">
        <v>14</v>
      </c>
      <c r="F904" s="1" t="s">
        <v>15</v>
      </c>
      <c r="G904" s="1" t="s">
        <v>86</v>
      </c>
      <c r="H904" s="1" t="s">
        <v>17</v>
      </c>
      <c r="I904" s="1" t="s">
        <v>1931</v>
      </c>
      <c r="J904" s="1" t="n">
        <v>5</v>
      </c>
      <c r="K904" s="1" t="s">
        <v>263</v>
      </c>
    </row>
    <row r="905" customFormat="false" ht="15" hidden="false" customHeight="true" outlineLevel="0" collapsed="false">
      <c r="A905" s="1" t="s">
        <v>1938</v>
      </c>
      <c r="B905" s="1" t="s">
        <v>132</v>
      </c>
      <c r="C905" s="1" t="s">
        <v>1939</v>
      </c>
      <c r="D905" s="1" t="n">
        <v>27.71</v>
      </c>
      <c r="E905" s="1" t="s">
        <v>14</v>
      </c>
      <c r="F905" s="1" t="s">
        <v>41</v>
      </c>
      <c r="G905" s="1" t="s">
        <v>82</v>
      </c>
      <c r="H905" s="1" t="s">
        <v>24</v>
      </c>
      <c r="I905" s="1" t="s">
        <v>1931</v>
      </c>
      <c r="J905" s="1" t="n">
        <v>6</v>
      </c>
      <c r="K905" s="1" t="s">
        <v>263</v>
      </c>
    </row>
    <row r="906" customFormat="false" ht="15" hidden="false" customHeight="true" outlineLevel="0" collapsed="false">
      <c r="A906" s="1" t="s">
        <v>1940</v>
      </c>
      <c r="B906" s="1" t="s">
        <v>21</v>
      </c>
      <c r="C906" s="1" t="s">
        <v>1941</v>
      </c>
      <c r="D906" s="1" t="n">
        <v>11.51</v>
      </c>
      <c r="E906" s="1" t="s">
        <v>14</v>
      </c>
      <c r="F906" s="1" t="s">
        <v>15</v>
      </c>
      <c r="G906" s="1" t="s">
        <v>70</v>
      </c>
      <c r="H906" s="1" t="s">
        <v>17</v>
      </c>
      <c r="I906" s="1" t="s">
        <v>1931</v>
      </c>
      <c r="J906" s="1" t="n">
        <v>6</v>
      </c>
      <c r="K906" s="1" t="s">
        <v>263</v>
      </c>
    </row>
    <row r="907" customFormat="false" ht="15" hidden="false" customHeight="true" outlineLevel="0" collapsed="false">
      <c r="A907" s="1" t="s">
        <v>1942</v>
      </c>
      <c r="B907" s="1" t="s">
        <v>183</v>
      </c>
      <c r="C907" s="1" t="s">
        <v>1943</v>
      </c>
      <c r="D907" s="1" t="n">
        <v>106.01</v>
      </c>
      <c r="E907" s="1" t="s">
        <v>14</v>
      </c>
      <c r="F907" s="1" t="s">
        <v>15</v>
      </c>
      <c r="G907" s="1" t="s">
        <v>23</v>
      </c>
      <c r="H907" s="1" t="s">
        <v>17</v>
      </c>
      <c r="I907" s="1" t="s">
        <v>1931</v>
      </c>
      <c r="J907" s="1" t="n">
        <v>6</v>
      </c>
      <c r="K907" s="1" t="s">
        <v>263</v>
      </c>
    </row>
    <row r="908" customFormat="false" ht="15" hidden="false" customHeight="true" outlineLevel="0" collapsed="false">
      <c r="A908" s="1" t="s">
        <v>1944</v>
      </c>
      <c r="B908" s="1" t="s">
        <v>54</v>
      </c>
      <c r="C908" s="1" t="s">
        <v>1945</v>
      </c>
      <c r="D908" s="1" t="n">
        <v>107.43</v>
      </c>
      <c r="E908" s="1" t="s">
        <v>14</v>
      </c>
      <c r="F908" s="1" t="s">
        <v>56</v>
      </c>
      <c r="G908" s="1" t="s">
        <v>82</v>
      </c>
      <c r="H908" s="1" t="s">
        <v>17</v>
      </c>
      <c r="I908" s="1" t="s">
        <v>1931</v>
      </c>
      <c r="J908" s="1" t="n">
        <v>7</v>
      </c>
      <c r="K908" s="1" t="s">
        <v>263</v>
      </c>
    </row>
    <row r="909" customFormat="false" ht="15" hidden="false" customHeight="true" outlineLevel="0" collapsed="false">
      <c r="A909" s="1" t="s">
        <v>1946</v>
      </c>
      <c r="B909" s="1" t="s">
        <v>487</v>
      </c>
      <c r="C909" s="1" t="s">
        <v>1947</v>
      </c>
      <c r="D909" s="1" t="n">
        <v>46.47</v>
      </c>
      <c r="E909" s="1" t="s">
        <v>14</v>
      </c>
      <c r="F909" s="1" t="s">
        <v>49</v>
      </c>
      <c r="G909" s="1" t="s">
        <v>42</v>
      </c>
      <c r="H909" s="1" t="s">
        <v>24</v>
      </c>
      <c r="I909" s="1" t="s">
        <v>1931</v>
      </c>
      <c r="J909" s="1" t="n">
        <v>8</v>
      </c>
      <c r="K909" s="1" t="s">
        <v>263</v>
      </c>
    </row>
    <row r="910" customFormat="false" ht="15" hidden="false" customHeight="true" outlineLevel="0" collapsed="false">
      <c r="A910" s="1" t="s">
        <v>1948</v>
      </c>
      <c r="B910" s="1" t="s">
        <v>58</v>
      </c>
      <c r="C910" s="1" t="s">
        <v>1949</v>
      </c>
      <c r="D910" s="1" t="n">
        <v>2775.01</v>
      </c>
      <c r="E910" s="1" t="s">
        <v>14</v>
      </c>
      <c r="F910" s="1" t="s">
        <v>15</v>
      </c>
      <c r="G910" s="1" t="s">
        <v>23</v>
      </c>
      <c r="H910" s="1" t="s">
        <v>276</v>
      </c>
      <c r="I910" s="1" t="s">
        <v>1931</v>
      </c>
      <c r="J910" s="1" t="n">
        <v>9</v>
      </c>
      <c r="K910" s="1" t="s">
        <v>263</v>
      </c>
    </row>
    <row r="911" customFormat="false" ht="15" hidden="false" customHeight="true" outlineLevel="0" collapsed="false">
      <c r="A911" s="1" t="s">
        <v>1950</v>
      </c>
      <c r="B911" s="1" t="s">
        <v>58</v>
      </c>
      <c r="C911" s="1" t="s">
        <v>1951</v>
      </c>
      <c r="D911" s="1" t="n">
        <v>2430.36</v>
      </c>
      <c r="E911" s="1" t="s">
        <v>14</v>
      </c>
      <c r="F911" s="1" t="s">
        <v>15</v>
      </c>
      <c r="G911" s="1" t="s">
        <v>23</v>
      </c>
      <c r="H911" s="1" t="s">
        <v>276</v>
      </c>
      <c r="I911" s="1" t="s">
        <v>1931</v>
      </c>
      <c r="J911" s="1" t="n">
        <v>10</v>
      </c>
      <c r="K911" s="1" t="s">
        <v>263</v>
      </c>
    </row>
    <row r="912" customFormat="false" ht="15" hidden="false" customHeight="true" outlineLevel="0" collapsed="false">
      <c r="A912" s="1" t="s">
        <v>1952</v>
      </c>
      <c r="B912" s="1" t="s">
        <v>58</v>
      </c>
      <c r="C912" s="1" t="s">
        <v>1953</v>
      </c>
      <c r="D912" s="1" t="n">
        <v>2600.95</v>
      </c>
      <c r="E912" s="1" t="s">
        <v>14</v>
      </c>
      <c r="F912" s="1" t="s">
        <v>15</v>
      </c>
      <c r="G912" s="1" t="s">
        <v>23</v>
      </c>
      <c r="H912" s="1" t="s">
        <v>276</v>
      </c>
      <c r="I912" s="1" t="s">
        <v>1931</v>
      </c>
      <c r="J912" s="1" t="n">
        <v>12</v>
      </c>
      <c r="K912" s="1" t="s">
        <v>263</v>
      </c>
    </row>
    <row r="913" customFormat="false" ht="15" hidden="false" customHeight="true" outlineLevel="0" collapsed="false">
      <c r="A913" s="1" t="s">
        <v>1954</v>
      </c>
      <c r="B913" s="1" t="s">
        <v>487</v>
      </c>
      <c r="C913" s="1" t="s">
        <v>1955</v>
      </c>
      <c r="D913" s="1" t="n">
        <v>360.88</v>
      </c>
      <c r="E913" s="1" t="s">
        <v>14</v>
      </c>
      <c r="F913" s="1" t="s">
        <v>49</v>
      </c>
      <c r="G913" s="1" t="s">
        <v>42</v>
      </c>
      <c r="H913" s="1" t="s">
        <v>24</v>
      </c>
      <c r="I913" s="1" t="s">
        <v>1931</v>
      </c>
      <c r="J913" s="1" t="n">
        <v>12</v>
      </c>
      <c r="K913" s="1" t="s">
        <v>263</v>
      </c>
    </row>
    <row r="914" customFormat="false" ht="15" hidden="false" customHeight="true" outlineLevel="0" collapsed="false">
      <c r="A914" s="1" t="s">
        <v>1956</v>
      </c>
      <c r="B914" s="1" t="s">
        <v>140</v>
      </c>
      <c r="C914" s="1" t="s">
        <v>1957</v>
      </c>
      <c r="D914" s="1" t="n">
        <v>3000</v>
      </c>
      <c r="E914" s="1" t="s">
        <v>14</v>
      </c>
      <c r="F914" s="1" t="s">
        <v>41</v>
      </c>
      <c r="G914" s="1" t="s">
        <v>23</v>
      </c>
      <c r="H914" s="1" t="s">
        <v>276</v>
      </c>
      <c r="I914" s="1" t="s">
        <v>1931</v>
      </c>
      <c r="J914" s="1" t="n">
        <v>13</v>
      </c>
      <c r="K914" s="1" t="s">
        <v>263</v>
      </c>
    </row>
    <row r="915" customFormat="false" ht="15" hidden="false" customHeight="true" outlineLevel="0" collapsed="false">
      <c r="A915" s="1" t="s">
        <v>1958</v>
      </c>
      <c r="B915" s="1" t="s">
        <v>58</v>
      </c>
      <c r="C915" s="1" t="s">
        <v>1959</v>
      </c>
      <c r="D915" s="1" t="n">
        <v>2444.25</v>
      </c>
      <c r="E915" s="1" t="s">
        <v>14</v>
      </c>
      <c r="F915" s="1" t="s">
        <v>15</v>
      </c>
      <c r="G915" s="1" t="s">
        <v>23</v>
      </c>
      <c r="H915" s="1" t="s">
        <v>276</v>
      </c>
      <c r="I915" s="1" t="s">
        <v>1931</v>
      </c>
      <c r="J915" s="1" t="n">
        <v>13</v>
      </c>
      <c r="K915" s="1" t="s">
        <v>263</v>
      </c>
    </row>
    <row r="916" customFormat="false" ht="15" hidden="false" customHeight="true" outlineLevel="0" collapsed="false">
      <c r="A916" s="1" t="s">
        <v>1960</v>
      </c>
      <c r="B916" s="1" t="s">
        <v>140</v>
      </c>
      <c r="C916" s="1" t="s">
        <v>1961</v>
      </c>
      <c r="D916" s="1" t="n">
        <v>37.09</v>
      </c>
      <c r="E916" s="1" t="s">
        <v>14</v>
      </c>
      <c r="F916" s="1" t="s">
        <v>41</v>
      </c>
      <c r="G916" s="1" t="s">
        <v>16</v>
      </c>
      <c r="H916" s="1" t="s">
        <v>17</v>
      </c>
      <c r="I916" s="1" t="s">
        <v>1931</v>
      </c>
      <c r="J916" s="1" t="n">
        <v>14</v>
      </c>
      <c r="K916" s="1" t="s">
        <v>263</v>
      </c>
    </row>
    <row r="917" customFormat="false" ht="15" hidden="false" customHeight="true" outlineLevel="0" collapsed="false">
      <c r="A917" s="1" t="s">
        <v>1962</v>
      </c>
      <c r="B917" s="1" t="s">
        <v>21</v>
      </c>
      <c r="C917" s="1" t="s">
        <v>1963</v>
      </c>
      <c r="D917" s="1" t="n">
        <v>39.24</v>
      </c>
      <c r="E917" s="1" t="s">
        <v>14</v>
      </c>
      <c r="F917" s="1" t="s">
        <v>15</v>
      </c>
      <c r="G917" s="1" t="s">
        <v>23</v>
      </c>
      <c r="H917" s="1" t="s">
        <v>17</v>
      </c>
      <c r="I917" s="1" t="s">
        <v>1931</v>
      </c>
      <c r="J917" s="1" t="n">
        <v>17</v>
      </c>
      <c r="K917" s="1" t="s">
        <v>263</v>
      </c>
    </row>
    <row r="918" customFormat="false" ht="15" hidden="false" customHeight="true" outlineLevel="0" collapsed="false">
      <c r="A918" s="1" t="s">
        <v>1964</v>
      </c>
      <c r="B918" s="1" t="s">
        <v>258</v>
      </c>
      <c r="C918" s="1" t="s">
        <v>1965</v>
      </c>
      <c r="D918" s="1" t="n">
        <v>306.99</v>
      </c>
      <c r="E918" s="1" t="s">
        <v>14</v>
      </c>
      <c r="F918" s="1" t="s">
        <v>28</v>
      </c>
      <c r="G918" s="1" t="s">
        <v>86</v>
      </c>
      <c r="H918" s="1" t="s">
        <v>24</v>
      </c>
      <c r="I918" s="1" t="s">
        <v>1931</v>
      </c>
      <c r="J918" s="1" t="n">
        <v>17</v>
      </c>
      <c r="K918" s="1" t="s">
        <v>263</v>
      </c>
    </row>
    <row r="919" customFormat="false" ht="15" hidden="false" customHeight="true" outlineLevel="0" collapsed="false">
      <c r="A919" s="1" t="s">
        <v>1966</v>
      </c>
      <c r="B919" s="1" t="s">
        <v>101</v>
      </c>
      <c r="C919" s="1" t="s">
        <v>1967</v>
      </c>
      <c r="D919" s="1" t="n">
        <v>12.42</v>
      </c>
      <c r="E919" s="1" t="s">
        <v>14</v>
      </c>
      <c r="F919" s="1" t="s">
        <v>49</v>
      </c>
      <c r="G919" s="1" t="s">
        <v>36</v>
      </c>
      <c r="H919" s="1" t="s">
        <v>24</v>
      </c>
      <c r="I919" s="1" t="s">
        <v>1968</v>
      </c>
      <c r="J919" s="1" t="n">
        <v>1</v>
      </c>
      <c r="K919" s="1" t="s">
        <v>19</v>
      </c>
    </row>
    <row r="920" customFormat="false" ht="15" hidden="false" customHeight="true" outlineLevel="0" collapsed="false">
      <c r="A920" s="1" t="s">
        <v>1969</v>
      </c>
      <c r="B920" s="1" t="s">
        <v>475</v>
      </c>
      <c r="C920" s="1" t="s">
        <v>1970</v>
      </c>
      <c r="D920" s="1" t="n">
        <v>86.25</v>
      </c>
      <c r="E920" s="1" t="s">
        <v>14</v>
      </c>
      <c r="F920" s="1" t="s">
        <v>56</v>
      </c>
      <c r="G920" s="1" t="s">
        <v>82</v>
      </c>
      <c r="H920" s="1" t="s">
        <v>24</v>
      </c>
      <c r="I920" s="1" t="s">
        <v>1968</v>
      </c>
      <c r="J920" s="1" t="n">
        <v>2</v>
      </c>
      <c r="K920" s="1" t="s">
        <v>19</v>
      </c>
    </row>
    <row r="921" customFormat="false" ht="15" hidden="false" customHeight="true" outlineLevel="0" collapsed="false">
      <c r="A921" s="1" t="s">
        <v>1971</v>
      </c>
      <c r="B921" s="1" t="s">
        <v>155</v>
      </c>
      <c r="C921" s="1" t="s">
        <v>1972</v>
      </c>
      <c r="D921" s="1" t="n">
        <v>26.97</v>
      </c>
      <c r="E921" s="1" t="s">
        <v>14</v>
      </c>
      <c r="F921" s="1" t="s">
        <v>41</v>
      </c>
      <c r="G921" s="1" t="s">
        <v>70</v>
      </c>
      <c r="H921" s="1" t="s">
        <v>37</v>
      </c>
      <c r="I921" s="1" t="s">
        <v>1968</v>
      </c>
      <c r="J921" s="1" t="n">
        <v>2</v>
      </c>
      <c r="K921" s="1" t="s">
        <v>19</v>
      </c>
    </row>
    <row r="922" customFormat="false" ht="15" hidden="false" customHeight="true" outlineLevel="0" collapsed="false">
      <c r="A922" s="1" t="s">
        <v>1973</v>
      </c>
      <c r="B922" s="1" t="s">
        <v>183</v>
      </c>
      <c r="C922" s="1" t="s">
        <v>1974</v>
      </c>
      <c r="D922" s="1" t="n">
        <v>76.58</v>
      </c>
      <c r="E922" s="1" t="s">
        <v>14</v>
      </c>
      <c r="F922" s="1" t="s">
        <v>15</v>
      </c>
      <c r="G922" s="1" t="s">
        <v>86</v>
      </c>
      <c r="H922" s="1" t="s">
        <v>24</v>
      </c>
      <c r="I922" s="1" t="s">
        <v>1968</v>
      </c>
      <c r="J922" s="1" t="n">
        <v>4</v>
      </c>
      <c r="K922" s="1" t="s">
        <v>19</v>
      </c>
    </row>
    <row r="923" customFormat="false" ht="15" hidden="false" customHeight="true" outlineLevel="0" collapsed="false">
      <c r="A923" s="1" t="s">
        <v>1975</v>
      </c>
      <c r="B923" s="1" t="s">
        <v>34</v>
      </c>
      <c r="C923" s="1" t="s">
        <v>1976</v>
      </c>
      <c r="D923" s="1" t="n">
        <v>373.39</v>
      </c>
      <c r="E923" s="1" t="s">
        <v>14</v>
      </c>
      <c r="F923" s="1" t="s">
        <v>15</v>
      </c>
      <c r="G923" s="1" t="s">
        <v>70</v>
      </c>
      <c r="H923" s="1" t="s">
        <v>37</v>
      </c>
      <c r="I923" s="1" t="s">
        <v>1968</v>
      </c>
      <c r="J923" s="1" t="n">
        <v>7</v>
      </c>
      <c r="K923" s="1" t="s">
        <v>19</v>
      </c>
    </row>
    <row r="924" customFormat="false" ht="15" hidden="false" customHeight="true" outlineLevel="0" collapsed="false">
      <c r="A924" s="1" t="s">
        <v>1977</v>
      </c>
      <c r="B924" s="1" t="s">
        <v>199</v>
      </c>
      <c r="C924" s="1" t="s">
        <v>1978</v>
      </c>
      <c r="D924" s="1" t="n">
        <v>141.25</v>
      </c>
      <c r="E924" s="1" t="s">
        <v>14</v>
      </c>
      <c r="F924" s="1" t="s">
        <v>41</v>
      </c>
      <c r="G924" s="1" t="s">
        <v>23</v>
      </c>
      <c r="H924" s="1" t="s">
        <v>17</v>
      </c>
      <c r="I924" s="1" t="s">
        <v>1968</v>
      </c>
      <c r="J924" s="1" t="n">
        <v>7</v>
      </c>
      <c r="K924" s="1" t="s">
        <v>19</v>
      </c>
    </row>
    <row r="925" customFormat="false" ht="15" hidden="false" customHeight="true" outlineLevel="0" collapsed="false">
      <c r="A925" s="1" t="s">
        <v>1979</v>
      </c>
      <c r="B925" s="1" t="s">
        <v>487</v>
      </c>
      <c r="C925" s="1" t="s">
        <v>1980</v>
      </c>
      <c r="D925" s="1" t="n">
        <v>124.11</v>
      </c>
      <c r="E925" s="1" t="s">
        <v>14</v>
      </c>
      <c r="F925" s="1" t="s">
        <v>49</v>
      </c>
      <c r="G925" s="1" t="s">
        <v>82</v>
      </c>
      <c r="H925" s="1" t="s">
        <v>17</v>
      </c>
      <c r="I925" s="1" t="s">
        <v>1968</v>
      </c>
      <c r="J925" s="1" t="n">
        <v>9</v>
      </c>
      <c r="K925" s="1" t="s">
        <v>19</v>
      </c>
    </row>
    <row r="926" customFormat="false" ht="15" hidden="false" customHeight="true" outlineLevel="0" collapsed="false">
      <c r="A926" s="1" t="s">
        <v>1981</v>
      </c>
      <c r="B926" s="1" t="s">
        <v>54</v>
      </c>
      <c r="C926" s="1" t="s">
        <v>1982</v>
      </c>
      <c r="D926" s="1" t="n">
        <v>146.06</v>
      </c>
      <c r="E926" s="1" t="s">
        <v>14</v>
      </c>
      <c r="F926" s="1" t="s">
        <v>56</v>
      </c>
      <c r="G926" s="1" t="s">
        <v>36</v>
      </c>
      <c r="H926" s="1" t="s">
        <v>37</v>
      </c>
      <c r="I926" s="1" t="s">
        <v>1968</v>
      </c>
      <c r="J926" s="1" t="n">
        <v>9</v>
      </c>
      <c r="K926" s="1" t="s">
        <v>19</v>
      </c>
    </row>
    <row r="927" customFormat="false" ht="15" hidden="false" customHeight="true" outlineLevel="0" collapsed="false">
      <c r="A927" s="1" t="s">
        <v>1983</v>
      </c>
      <c r="B927" s="1" t="s">
        <v>173</v>
      </c>
      <c r="C927" s="1" t="s">
        <v>1984</v>
      </c>
      <c r="D927" s="1" t="n">
        <v>33.23</v>
      </c>
      <c r="E927" s="1" t="s">
        <v>14</v>
      </c>
      <c r="F927" s="1" t="s">
        <v>28</v>
      </c>
      <c r="G927" s="1" t="s">
        <v>42</v>
      </c>
      <c r="H927" s="1" t="s">
        <v>24</v>
      </c>
      <c r="I927" s="1" t="s">
        <v>1968</v>
      </c>
      <c r="J927" s="1" t="n">
        <v>11</v>
      </c>
      <c r="K927" s="1" t="s">
        <v>19</v>
      </c>
    </row>
    <row r="928" customFormat="false" ht="15" hidden="false" customHeight="true" outlineLevel="0" collapsed="false">
      <c r="A928" s="1" t="s">
        <v>1985</v>
      </c>
      <c r="B928" s="1" t="s">
        <v>26</v>
      </c>
      <c r="C928" s="1" t="s">
        <v>1986</v>
      </c>
      <c r="D928" s="1" t="n">
        <v>22.72</v>
      </c>
      <c r="E928" s="1" t="s">
        <v>14</v>
      </c>
      <c r="F928" s="1" t="s">
        <v>28</v>
      </c>
      <c r="G928" s="1" t="s">
        <v>42</v>
      </c>
      <c r="H928" s="1" t="s">
        <v>24</v>
      </c>
      <c r="I928" s="1" t="s">
        <v>1968</v>
      </c>
      <c r="J928" s="1" t="n">
        <v>12</v>
      </c>
      <c r="K928" s="1" t="s">
        <v>19</v>
      </c>
    </row>
    <row r="929" customFormat="false" ht="15" hidden="false" customHeight="true" outlineLevel="0" collapsed="false">
      <c r="A929" s="1" t="s">
        <v>1987</v>
      </c>
      <c r="B929" s="1" t="s">
        <v>72</v>
      </c>
      <c r="C929" s="1" t="s">
        <v>1988</v>
      </c>
      <c r="D929" s="1" t="n">
        <v>290.06</v>
      </c>
      <c r="E929" s="1" t="s">
        <v>14</v>
      </c>
      <c r="F929" s="1" t="s">
        <v>49</v>
      </c>
      <c r="G929" s="1" t="s">
        <v>86</v>
      </c>
      <c r="H929" s="1" t="s">
        <v>24</v>
      </c>
      <c r="I929" s="1" t="s">
        <v>1968</v>
      </c>
      <c r="J929" s="1" t="n">
        <v>12</v>
      </c>
      <c r="K929" s="1" t="s">
        <v>19</v>
      </c>
    </row>
    <row r="930" customFormat="false" ht="15" hidden="false" customHeight="true" outlineLevel="0" collapsed="false">
      <c r="A930" s="1" t="s">
        <v>1989</v>
      </c>
      <c r="B930" s="1" t="s">
        <v>148</v>
      </c>
      <c r="C930" s="1" t="s">
        <v>1990</v>
      </c>
      <c r="D930" s="1" t="n">
        <v>105.84</v>
      </c>
      <c r="E930" s="1" t="s">
        <v>14</v>
      </c>
      <c r="F930" s="1" t="s">
        <v>41</v>
      </c>
      <c r="G930" s="1" t="s">
        <v>86</v>
      </c>
      <c r="H930" s="1" t="s">
        <v>17</v>
      </c>
      <c r="I930" s="1" t="s">
        <v>1968</v>
      </c>
      <c r="J930" s="1" t="n">
        <v>14</v>
      </c>
      <c r="K930" s="1" t="s">
        <v>19</v>
      </c>
    </row>
    <row r="931" customFormat="false" ht="15" hidden="false" customHeight="true" outlineLevel="0" collapsed="false">
      <c r="A931" s="1" t="s">
        <v>1991</v>
      </c>
      <c r="B931" s="1" t="s">
        <v>137</v>
      </c>
      <c r="C931" s="1" t="s">
        <v>1992</v>
      </c>
      <c r="D931" s="1" t="n">
        <v>64.75</v>
      </c>
      <c r="E931" s="1" t="s">
        <v>14</v>
      </c>
      <c r="F931" s="1" t="s">
        <v>49</v>
      </c>
      <c r="G931" s="1" t="s">
        <v>86</v>
      </c>
      <c r="H931" s="1" t="s">
        <v>24</v>
      </c>
      <c r="I931" s="1" t="s">
        <v>1968</v>
      </c>
      <c r="J931" s="1" t="n">
        <v>14</v>
      </c>
      <c r="K931" s="1" t="s">
        <v>19</v>
      </c>
    </row>
    <row r="932" customFormat="false" ht="15" hidden="false" customHeight="true" outlineLevel="0" collapsed="false">
      <c r="A932" s="1" t="s">
        <v>1993</v>
      </c>
      <c r="B932" s="1" t="s">
        <v>180</v>
      </c>
      <c r="C932" s="1" t="s">
        <v>1994</v>
      </c>
      <c r="D932" s="1" t="n">
        <v>771.36</v>
      </c>
      <c r="E932" s="1" t="s">
        <v>14</v>
      </c>
      <c r="F932" s="1" t="s">
        <v>49</v>
      </c>
      <c r="G932" s="1" t="s">
        <v>29</v>
      </c>
      <c r="H932" s="1" t="s">
        <v>17</v>
      </c>
      <c r="I932" s="1" t="s">
        <v>1968</v>
      </c>
      <c r="J932" s="1" t="n">
        <v>16</v>
      </c>
      <c r="K932" s="1" t="s">
        <v>19</v>
      </c>
    </row>
    <row r="933" customFormat="false" ht="15" hidden="false" customHeight="true" outlineLevel="0" collapsed="false">
      <c r="A933" s="1" t="s">
        <v>1995</v>
      </c>
      <c r="B933" s="1" t="s">
        <v>394</v>
      </c>
      <c r="C933" s="1" t="s">
        <v>1996</v>
      </c>
      <c r="D933" s="1" t="n">
        <v>163.47</v>
      </c>
      <c r="E933" s="1" t="s">
        <v>14</v>
      </c>
      <c r="F933" s="1" t="s">
        <v>56</v>
      </c>
      <c r="G933" s="1" t="s">
        <v>86</v>
      </c>
      <c r="H933" s="1" t="s">
        <v>37</v>
      </c>
      <c r="I933" s="1" t="s">
        <v>1968</v>
      </c>
      <c r="J933" s="1" t="n">
        <v>16</v>
      </c>
      <c r="K933" s="1" t="s">
        <v>19</v>
      </c>
    </row>
    <row r="934" customFormat="false" ht="15" hidden="false" customHeight="true" outlineLevel="0" collapsed="false">
      <c r="A934" s="1" t="s">
        <v>1997</v>
      </c>
      <c r="B934" s="1" t="s">
        <v>26</v>
      </c>
      <c r="C934" s="1" t="s">
        <v>1998</v>
      </c>
      <c r="D934" s="1" t="n">
        <v>154.18</v>
      </c>
      <c r="E934" s="1" t="s">
        <v>14</v>
      </c>
      <c r="F934" s="1" t="s">
        <v>28</v>
      </c>
      <c r="G934" s="1" t="s">
        <v>29</v>
      </c>
      <c r="H934" s="1" t="s">
        <v>17</v>
      </c>
      <c r="I934" s="1" t="s">
        <v>1968</v>
      </c>
      <c r="J934" s="1" t="n">
        <v>17</v>
      </c>
      <c r="K934" s="1" t="s">
        <v>19</v>
      </c>
    </row>
    <row r="935" customFormat="false" ht="15" hidden="false" customHeight="true" outlineLevel="0" collapsed="false">
      <c r="A935" s="1" t="s">
        <v>1999</v>
      </c>
      <c r="B935" s="1" t="s">
        <v>34</v>
      </c>
      <c r="C935" s="1" t="s">
        <v>2000</v>
      </c>
      <c r="D935" s="1" t="n">
        <v>7000</v>
      </c>
      <c r="E935" s="1" t="s">
        <v>14</v>
      </c>
      <c r="F935" s="1" t="s">
        <v>15</v>
      </c>
      <c r="G935" s="1" t="s">
        <v>23</v>
      </c>
      <c r="H935" s="1" t="s">
        <v>276</v>
      </c>
      <c r="I935" s="1" t="s">
        <v>1968</v>
      </c>
      <c r="J935" s="1" t="n">
        <v>18</v>
      </c>
      <c r="K935" s="1" t="s">
        <v>19</v>
      </c>
    </row>
    <row r="936" customFormat="false" ht="15" hidden="false" customHeight="true" outlineLevel="0" collapsed="false">
      <c r="A936" s="1" t="s">
        <v>2001</v>
      </c>
      <c r="B936" s="1" t="s">
        <v>475</v>
      </c>
      <c r="C936" s="1" t="s">
        <v>2002</v>
      </c>
      <c r="D936" s="1" t="n">
        <v>40.57</v>
      </c>
      <c r="E936" s="1" t="s">
        <v>14</v>
      </c>
      <c r="F936" s="1" t="s">
        <v>56</v>
      </c>
      <c r="G936" s="1" t="s">
        <v>16</v>
      </c>
      <c r="H936" s="1" t="s">
        <v>37</v>
      </c>
      <c r="I936" s="1" t="s">
        <v>1968</v>
      </c>
      <c r="J936" s="1" t="n">
        <v>21</v>
      </c>
      <c r="K936" s="1" t="s">
        <v>19</v>
      </c>
    </row>
    <row r="937" customFormat="false" ht="15" hidden="false" customHeight="true" outlineLevel="0" collapsed="false">
      <c r="A937" s="1" t="s">
        <v>2003</v>
      </c>
      <c r="B937" s="1" t="s">
        <v>47</v>
      </c>
      <c r="C937" s="1" t="s">
        <v>2004</v>
      </c>
      <c r="D937" s="1" t="n">
        <v>43.17</v>
      </c>
      <c r="E937" s="1" t="s">
        <v>14</v>
      </c>
      <c r="F937" s="1" t="s">
        <v>49</v>
      </c>
      <c r="G937" s="1" t="s">
        <v>86</v>
      </c>
      <c r="H937" s="1" t="s">
        <v>24</v>
      </c>
      <c r="I937" s="1" t="s">
        <v>1968</v>
      </c>
      <c r="J937" s="1" t="n">
        <v>22</v>
      </c>
      <c r="K937" s="1" t="s">
        <v>19</v>
      </c>
    </row>
    <row r="938" customFormat="false" ht="15" hidden="false" customHeight="true" outlineLevel="0" collapsed="false">
      <c r="A938" s="1" t="s">
        <v>2005</v>
      </c>
      <c r="B938" s="1" t="s">
        <v>321</v>
      </c>
      <c r="C938" s="1" t="s">
        <v>2006</v>
      </c>
      <c r="D938" s="1" t="n">
        <v>55.59</v>
      </c>
      <c r="E938" s="1" t="s">
        <v>14</v>
      </c>
      <c r="F938" s="1" t="s">
        <v>15</v>
      </c>
      <c r="G938" s="1" t="s">
        <v>36</v>
      </c>
      <c r="H938" s="1" t="s">
        <v>37</v>
      </c>
      <c r="I938" s="1" t="s">
        <v>1968</v>
      </c>
      <c r="J938" s="1" t="n">
        <v>23</v>
      </c>
      <c r="K938" s="1" t="s">
        <v>19</v>
      </c>
    </row>
    <row r="939" customFormat="false" ht="15" hidden="false" customHeight="true" outlineLevel="0" collapsed="false">
      <c r="A939" s="1" t="s">
        <v>2007</v>
      </c>
      <c r="B939" s="1" t="s">
        <v>132</v>
      </c>
      <c r="C939" s="1" t="s">
        <v>2008</v>
      </c>
      <c r="D939" s="1" t="n">
        <v>33.79</v>
      </c>
      <c r="E939" s="1" t="s">
        <v>14</v>
      </c>
      <c r="F939" s="1" t="s">
        <v>41</v>
      </c>
      <c r="G939" s="1" t="s">
        <v>42</v>
      </c>
      <c r="H939" s="1" t="s">
        <v>37</v>
      </c>
      <c r="I939" s="1" t="s">
        <v>2009</v>
      </c>
      <c r="J939" s="1" t="n">
        <v>3</v>
      </c>
      <c r="K939" s="1" t="s">
        <v>67</v>
      </c>
    </row>
    <row r="940" customFormat="false" ht="15" hidden="false" customHeight="true" outlineLevel="0" collapsed="false">
      <c r="A940" s="1" t="s">
        <v>2010</v>
      </c>
      <c r="B940" s="1" t="s">
        <v>291</v>
      </c>
      <c r="C940" s="1" t="s">
        <v>2011</v>
      </c>
      <c r="D940" s="1" t="n">
        <v>119.22</v>
      </c>
      <c r="E940" s="1" t="s">
        <v>14</v>
      </c>
      <c r="F940" s="1" t="s">
        <v>28</v>
      </c>
      <c r="G940" s="1" t="s">
        <v>70</v>
      </c>
      <c r="H940" s="1" t="s">
        <v>17</v>
      </c>
      <c r="I940" s="1" t="s">
        <v>2009</v>
      </c>
      <c r="J940" s="1" t="n">
        <v>4</v>
      </c>
      <c r="K940" s="1" t="s">
        <v>67</v>
      </c>
    </row>
    <row r="941" customFormat="false" ht="15" hidden="false" customHeight="true" outlineLevel="0" collapsed="false">
      <c r="A941" s="1" t="s">
        <v>2012</v>
      </c>
      <c r="B941" s="1" t="s">
        <v>199</v>
      </c>
      <c r="C941" s="1" t="s">
        <v>2013</v>
      </c>
      <c r="D941" s="1" t="n">
        <v>340.77</v>
      </c>
      <c r="E941" s="1" t="s">
        <v>14</v>
      </c>
      <c r="F941" s="1" t="s">
        <v>41</v>
      </c>
      <c r="G941" s="1" t="s">
        <v>70</v>
      </c>
      <c r="H941" s="1" t="s">
        <v>24</v>
      </c>
      <c r="I941" s="1" t="s">
        <v>2009</v>
      </c>
      <c r="J941" s="1" t="n">
        <v>6</v>
      </c>
      <c r="K941" s="1" t="s">
        <v>67</v>
      </c>
    </row>
    <row r="942" customFormat="false" ht="15" hidden="false" customHeight="true" outlineLevel="0" collapsed="false">
      <c r="A942" s="1" t="s">
        <v>2014</v>
      </c>
      <c r="B942" s="1" t="s">
        <v>291</v>
      </c>
      <c r="C942" s="1" t="s">
        <v>2015</v>
      </c>
      <c r="D942" s="1" t="n">
        <v>85.72</v>
      </c>
      <c r="E942" s="1" t="s">
        <v>14</v>
      </c>
      <c r="F942" s="1" t="s">
        <v>28</v>
      </c>
      <c r="G942" s="1" t="s">
        <v>16</v>
      </c>
      <c r="H942" s="1" t="s">
        <v>24</v>
      </c>
      <c r="I942" s="1" t="s">
        <v>2009</v>
      </c>
      <c r="J942" s="1" t="n">
        <v>6</v>
      </c>
      <c r="K942" s="1" t="s">
        <v>67</v>
      </c>
    </row>
    <row r="943" customFormat="false" ht="15" hidden="false" customHeight="true" outlineLevel="0" collapsed="false">
      <c r="A943" s="1" t="s">
        <v>2016</v>
      </c>
      <c r="B943" s="1" t="s">
        <v>302</v>
      </c>
      <c r="C943" s="1" t="s">
        <v>2017</v>
      </c>
      <c r="D943" s="1" t="n">
        <v>17.52</v>
      </c>
      <c r="E943" s="1" t="s">
        <v>14</v>
      </c>
      <c r="F943" s="1" t="s">
        <v>28</v>
      </c>
      <c r="G943" s="1" t="s">
        <v>29</v>
      </c>
      <c r="H943" s="1" t="s">
        <v>17</v>
      </c>
      <c r="I943" s="1" t="s">
        <v>2009</v>
      </c>
      <c r="J943" s="1" t="n">
        <v>9</v>
      </c>
      <c r="K943" s="1" t="s">
        <v>67</v>
      </c>
    </row>
    <row r="944" customFormat="false" ht="15" hidden="false" customHeight="true" outlineLevel="0" collapsed="false">
      <c r="A944" s="1" t="s">
        <v>2018</v>
      </c>
      <c r="B944" s="1" t="s">
        <v>496</v>
      </c>
      <c r="C944" s="1" t="s">
        <v>2019</v>
      </c>
      <c r="D944" s="1" t="n">
        <v>79.59</v>
      </c>
      <c r="E944" s="1" t="s">
        <v>14</v>
      </c>
      <c r="F944" s="1" t="s">
        <v>28</v>
      </c>
      <c r="G944" s="1" t="s">
        <v>86</v>
      </c>
      <c r="H944" s="1" t="s">
        <v>17</v>
      </c>
      <c r="I944" s="1" t="s">
        <v>2009</v>
      </c>
      <c r="J944" s="1" t="n">
        <v>9</v>
      </c>
      <c r="K944" s="1" t="s">
        <v>67</v>
      </c>
    </row>
    <row r="945" customFormat="false" ht="15" hidden="false" customHeight="true" outlineLevel="0" collapsed="false">
      <c r="A945" s="1" t="s">
        <v>2020</v>
      </c>
      <c r="B945" s="1" t="s">
        <v>496</v>
      </c>
      <c r="C945" s="1" t="s">
        <v>2021</v>
      </c>
      <c r="D945" s="1" t="n">
        <v>100.59</v>
      </c>
      <c r="E945" s="1" t="s">
        <v>14</v>
      </c>
      <c r="F945" s="1" t="s">
        <v>28</v>
      </c>
      <c r="G945" s="1" t="s">
        <v>29</v>
      </c>
      <c r="H945" s="1" t="s">
        <v>17</v>
      </c>
      <c r="I945" s="1" t="s">
        <v>2009</v>
      </c>
      <c r="J945" s="1" t="n">
        <v>9</v>
      </c>
      <c r="K945" s="1" t="s">
        <v>67</v>
      </c>
    </row>
    <row r="946" customFormat="false" ht="15" hidden="false" customHeight="true" outlineLevel="0" collapsed="false">
      <c r="A946" s="1" t="s">
        <v>2022</v>
      </c>
      <c r="B946" s="1" t="s">
        <v>106</v>
      </c>
      <c r="C946" s="1" t="s">
        <v>2023</v>
      </c>
      <c r="D946" s="1" t="n">
        <v>39.69</v>
      </c>
      <c r="E946" s="1" t="s">
        <v>14</v>
      </c>
      <c r="F946" s="1" t="s">
        <v>15</v>
      </c>
      <c r="G946" s="1" t="s">
        <v>42</v>
      </c>
      <c r="H946" s="1" t="s">
        <v>24</v>
      </c>
      <c r="I946" s="1" t="s">
        <v>2009</v>
      </c>
      <c r="J946" s="1" t="n">
        <v>10</v>
      </c>
      <c r="K946" s="1" t="s">
        <v>67</v>
      </c>
    </row>
    <row r="947" customFormat="false" ht="15" hidden="false" customHeight="true" outlineLevel="0" collapsed="false">
      <c r="A947" s="1" t="s">
        <v>2024</v>
      </c>
      <c r="B947" s="1" t="s">
        <v>93</v>
      </c>
      <c r="C947" s="1" t="s">
        <v>2025</v>
      </c>
      <c r="D947" s="1" t="n">
        <v>152.4</v>
      </c>
      <c r="E947" s="1" t="s">
        <v>14</v>
      </c>
      <c r="F947" s="1" t="s">
        <v>28</v>
      </c>
      <c r="G947" s="1" t="s">
        <v>70</v>
      </c>
      <c r="H947" s="1" t="s">
        <v>17</v>
      </c>
      <c r="I947" s="1" t="s">
        <v>2009</v>
      </c>
      <c r="J947" s="1" t="n">
        <v>11</v>
      </c>
      <c r="K947" s="1" t="s">
        <v>67</v>
      </c>
    </row>
    <row r="948" customFormat="false" ht="15" hidden="false" customHeight="true" outlineLevel="0" collapsed="false">
      <c r="A948" s="1" t="s">
        <v>2026</v>
      </c>
      <c r="B948" s="1" t="s">
        <v>183</v>
      </c>
      <c r="C948" s="1" t="s">
        <v>2027</v>
      </c>
      <c r="D948" s="1" t="n">
        <v>144.14</v>
      </c>
      <c r="E948" s="1" t="s">
        <v>14</v>
      </c>
      <c r="F948" s="1" t="s">
        <v>15</v>
      </c>
      <c r="G948" s="1" t="s">
        <v>82</v>
      </c>
      <c r="H948" s="1" t="s">
        <v>17</v>
      </c>
      <c r="I948" s="1" t="s">
        <v>2009</v>
      </c>
      <c r="J948" s="1" t="n">
        <v>12</v>
      </c>
      <c r="K948" s="1" t="s">
        <v>67</v>
      </c>
    </row>
    <row r="949" customFormat="false" ht="15" hidden="false" customHeight="true" outlineLevel="0" collapsed="false">
      <c r="A949" s="1" t="s">
        <v>2028</v>
      </c>
      <c r="B949" s="1" t="s">
        <v>332</v>
      </c>
      <c r="C949" s="1" t="s">
        <v>2029</v>
      </c>
      <c r="D949" s="1" t="n">
        <v>52.06</v>
      </c>
      <c r="E949" s="1" t="s">
        <v>14</v>
      </c>
      <c r="F949" s="1" t="s">
        <v>49</v>
      </c>
      <c r="G949" s="1" t="s">
        <v>16</v>
      </c>
      <c r="H949" s="1" t="s">
        <v>17</v>
      </c>
      <c r="I949" s="1" t="s">
        <v>2009</v>
      </c>
      <c r="J949" s="1" t="n">
        <v>12</v>
      </c>
      <c r="K949" s="1" t="s">
        <v>67</v>
      </c>
    </row>
    <row r="950" customFormat="false" ht="15" hidden="false" customHeight="true" outlineLevel="0" collapsed="false">
      <c r="A950" s="1" t="s">
        <v>2030</v>
      </c>
      <c r="B950" s="1" t="s">
        <v>487</v>
      </c>
      <c r="C950" s="1" t="s">
        <v>2031</v>
      </c>
      <c r="D950" s="1" t="n">
        <v>95.73</v>
      </c>
      <c r="E950" s="1" t="s">
        <v>14</v>
      </c>
      <c r="F950" s="1" t="s">
        <v>49</v>
      </c>
      <c r="G950" s="1" t="s">
        <v>36</v>
      </c>
      <c r="H950" s="1" t="s">
        <v>17</v>
      </c>
      <c r="I950" s="1" t="s">
        <v>2009</v>
      </c>
      <c r="J950" s="1" t="n">
        <v>13</v>
      </c>
      <c r="K950" s="1" t="s">
        <v>67</v>
      </c>
    </row>
    <row r="951" customFormat="false" ht="15" hidden="false" customHeight="true" outlineLevel="0" collapsed="false">
      <c r="A951" s="1" t="s">
        <v>2032</v>
      </c>
      <c r="B951" s="1" t="s">
        <v>173</v>
      </c>
      <c r="C951" s="1" t="s">
        <v>2033</v>
      </c>
      <c r="D951" s="1" t="n">
        <v>225.9</v>
      </c>
      <c r="E951" s="1" t="s">
        <v>14</v>
      </c>
      <c r="F951" s="1" t="s">
        <v>28</v>
      </c>
      <c r="G951" s="1" t="s">
        <v>82</v>
      </c>
      <c r="H951" s="1" t="s">
        <v>24</v>
      </c>
      <c r="I951" s="1" t="s">
        <v>2009</v>
      </c>
      <c r="J951" s="1" t="n">
        <v>13</v>
      </c>
      <c r="K951" s="1" t="s">
        <v>67</v>
      </c>
    </row>
    <row r="952" customFormat="false" ht="15" hidden="false" customHeight="true" outlineLevel="0" collapsed="false">
      <c r="A952" s="1" t="s">
        <v>2034</v>
      </c>
      <c r="B952" s="1" t="s">
        <v>394</v>
      </c>
      <c r="C952" s="1" t="s">
        <v>2035</v>
      </c>
      <c r="D952" s="1" t="n">
        <v>91.09</v>
      </c>
      <c r="E952" s="1" t="s">
        <v>14</v>
      </c>
      <c r="F952" s="1" t="s">
        <v>56</v>
      </c>
      <c r="G952" s="1" t="s">
        <v>29</v>
      </c>
      <c r="H952" s="1" t="s">
        <v>37</v>
      </c>
      <c r="I952" s="1" t="s">
        <v>2009</v>
      </c>
      <c r="J952" s="1" t="n">
        <v>18</v>
      </c>
      <c r="K952" s="1" t="s">
        <v>67</v>
      </c>
    </row>
    <row r="953" customFormat="false" ht="15" hidden="false" customHeight="true" outlineLevel="0" collapsed="false">
      <c r="A953" s="1" t="s">
        <v>2036</v>
      </c>
      <c r="B953" s="1" t="s">
        <v>307</v>
      </c>
      <c r="C953" s="1" t="s">
        <v>2037</v>
      </c>
      <c r="D953" s="1" t="n">
        <v>133.91</v>
      </c>
      <c r="E953" s="1" t="s">
        <v>14</v>
      </c>
      <c r="F953" s="1" t="s">
        <v>15</v>
      </c>
      <c r="G953" s="1" t="s">
        <v>82</v>
      </c>
      <c r="H953" s="1" t="s">
        <v>37</v>
      </c>
      <c r="I953" s="1" t="s">
        <v>2009</v>
      </c>
      <c r="J953" s="1" t="n">
        <v>18</v>
      </c>
      <c r="K953" s="1" t="s">
        <v>67</v>
      </c>
    </row>
    <row r="954" customFormat="false" ht="15" hidden="false" customHeight="true" outlineLevel="0" collapsed="false">
      <c r="A954" s="1" t="s">
        <v>2038</v>
      </c>
      <c r="B954" s="1" t="s">
        <v>148</v>
      </c>
      <c r="C954" s="1" t="s">
        <v>2039</v>
      </c>
      <c r="D954" s="1" t="n">
        <v>18.66</v>
      </c>
      <c r="E954" s="1" t="s">
        <v>14</v>
      </c>
      <c r="F954" s="1" t="s">
        <v>41</v>
      </c>
      <c r="G954" s="1" t="s">
        <v>86</v>
      </c>
      <c r="H954" s="1" t="s">
        <v>37</v>
      </c>
      <c r="I954" s="1" t="s">
        <v>2009</v>
      </c>
      <c r="J954" s="1" t="n">
        <v>19</v>
      </c>
      <c r="K954" s="1" t="s">
        <v>67</v>
      </c>
    </row>
    <row r="955" customFormat="false" ht="15" hidden="false" customHeight="true" outlineLevel="0" collapsed="false">
      <c r="A955" s="1" t="s">
        <v>2040</v>
      </c>
      <c r="B955" s="1" t="s">
        <v>487</v>
      </c>
      <c r="C955" s="1" t="s">
        <v>2041</v>
      </c>
      <c r="D955" s="1" t="n">
        <v>68.17</v>
      </c>
      <c r="E955" s="1" t="s">
        <v>14</v>
      </c>
      <c r="F955" s="1" t="s">
        <v>49</v>
      </c>
      <c r="G955" s="1" t="s">
        <v>86</v>
      </c>
      <c r="H955" s="1" t="s">
        <v>24</v>
      </c>
      <c r="I955" s="1" t="s">
        <v>2009</v>
      </c>
      <c r="J955" s="1" t="n">
        <v>21</v>
      </c>
      <c r="K955" s="1" t="s">
        <v>67</v>
      </c>
    </row>
    <row r="956" customFormat="false" ht="15" hidden="false" customHeight="true" outlineLevel="0" collapsed="false">
      <c r="A956" s="1" t="s">
        <v>2042</v>
      </c>
      <c r="B956" s="1" t="s">
        <v>193</v>
      </c>
      <c r="C956" s="1" t="s">
        <v>2043</v>
      </c>
      <c r="D956" s="1" t="n">
        <v>14.54</v>
      </c>
      <c r="E956" s="1" t="s">
        <v>14</v>
      </c>
      <c r="F956" s="1" t="s">
        <v>15</v>
      </c>
      <c r="G956" s="1" t="s">
        <v>70</v>
      </c>
      <c r="H956" s="1" t="s">
        <v>17</v>
      </c>
      <c r="I956" s="1" t="s">
        <v>2044</v>
      </c>
      <c r="J956" s="1" t="n">
        <v>0</v>
      </c>
      <c r="K956" s="1" t="s">
        <v>123</v>
      </c>
    </row>
    <row r="957" customFormat="false" ht="15" hidden="false" customHeight="true" outlineLevel="0" collapsed="false">
      <c r="A957" s="1" t="s">
        <v>2045</v>
      </c>
      <c r="B957" s="1" t="s">
        <v>44</v>
      </c>
      <c r="C957" s="1" t="s">
        <v>2046</v>
      </c>
      <c r="D957" s="1" t="n">
        <v>62.95</v>
      </c>
      <c r="E957" s="1" t="s">
        <v>14</v>
      </c>
      <c r="F957" s="1" t="s">
        <v>28</v>
      </c>
      <c r="G957" s="1" t="s">
        <v>23</v>
      </c>
      <c r="H957" s="1" t="s">
        <v>17</v>
      </c>
      <c r="I957" s="1" t="s">
        <v>2044</v>
      </c>
      <c r="J957" s="1" t="n">
        <v>0</v>
      </c>
      <c r="K957" s="1" t="s">
        <v>123</v>
      </c>
    </row>
    <row r="958" customFormat="false" ht="15" hidden="false" customHeight="true" outlineLevel="0" collapsed="false">
      <c r="A958" s="1" t="s">
        <v>2047</v>
      </c>
      <c r="B958" s="1" t="s">
        <v>193</v>
      </c>
      <c r="C958" s="1" t="s">
        <v>2048</v>
      </c>
      <c r="D958" s="1" t="n">
        <v>178.53</v>
      </c>
      <c r="E958" s="1" t="s">
        <v>14</v>
      </c>
      <c r="F958" s="1" t="s">
        <v>15</v>
      </c>
      <c r="G958" s="1" t="s">
        <v>36</v>
      </c>
      <c r="H958" s="1" t="s">
        <v>37</v>
      </c>
      <c r="I958" s="1" t="s">
        <v>2044</v>
      </c>
      <c r="J958" s="1" t="n">
        <v>0</v>
      </c>
      <c r="K958" s="1" t="s">
        <v>123</v>
      </c>
    </row>
    <row r="959" customFormat="false" ht="15" hidden="false" customHeight="true" outlineLevel="0" collapsed="false">
      <c r="A959" s="1" t="s">
        <v>2049</v>
      </c>
      <c r="B959" s="1" t="s">
        <v>196</v>
      </c>
      <c r="C959" s="1" t="s">
        <v>2050</v>
      </c>
      <c r="D959" s="1" t="n">
        <v>141.83</v>
      </c>
      <c r="E959" s="1" t="s">
        <v>14</v>
      </c>
      <c r="F959" s="1" t="s">
        <v>15</v>
      </c>
      <c r="G959" s="1" t="s">
        <v>86</v>
      </c>
      <c r="H959" s="1" t="s">
        <v>37</v>
      </c>
      <c r="I959" s="1" t="s">
        <v>2044</v>
      </c>
      <c r="J959" s="1" t="n">
        <v>8</v>
      </c>
      <c r="K959" s="1" t="s">
        <v>123</v>
      </c>
    </row>
    <row r="960" customFormat="false" ht="15" hidden="false" customHeight="true" outlineLevel="0" collapsed="false">
      <c r="A960" s="1" t="s">
        <v>2051</v>
      </c>
      <c r="B960" s="1" t="s">
        <v>196</v>
      </c>
      <c r="C960" s="1" t="s">
        <v>2052</v>
      </c>
      <c r="D960" s="1" t="n">
        <v>152.5</v>
      </c>
      <c r="E960" s="1" t="s">
        <v>14</v>
      </c>
      <c r="F960" s="1" t="s">
        <v>15</v>
      </c>
      <c r="G960" s="1" t="s">
        <v>86</v>
      </c>
      <c r="H960" s="1" t="s">
        <v>24</v>
      </c>
      <c r="I960" s="1" t="s">
        <v>2044</v>
      </c>
      <c r="J960" s="1" t="n">
        <v>11</v>
      </c>
      <c r="K960" s="1" t="s">
        <v>123</v>
      </c>
    </row>
    <row r="961" customFormat="false" ht="15" hidden="false" customHeight="true" outlineLevel="0" collapsed="false">
      <c r="A961" s="1" t="s">
        <v>2053</v>
      </c>
      <c r="B961" s="1" t="s">
        <v>80</v>
      </c>
      <c r="C961" s="1" t="s">
        <v>2054</v>
      </c>
      <c r="D961" s="1" t="n">
        <v>178.1</v>
      </c>
      <c r="E961" s="1" t="s">
        <v>14</v>
      </c>
      <c r="F961" s="1" t="s">
        <v>56</v>
      </c>
      <c r="G961" s="1" t="s">
        <v>86</v>
      </c>
      <c r="H961" s="1" t="s">
        <v>17</v>
      </c>
      <c r="I961" s="1" t="s">
        <v>2044</v>
      </c>
      <c r="J961" s="1" t="n">
        <v>12</v>
      </c>
      <c r="K961" s="1" t="s">
        <v>123</v>
      </c>
    </row>
    <row r="962" customFormat="false" ht="15" hidden="false" customHeight="true" outlineLevel="0" collapsed="false">
      <c r="A962" s="1" t="s">
        <v>2055</v>
      </c>
      <c r="B962" s="1" t="s">
        <v>302</v>
      </c>
      <c r="C962" s="1" t="s">
        <v>2056</v>
      </c>
      <c r="D962" s="1" t="n">
        <v>38.4</v>
      </c>
      <c r="E962" s="1" t="s">
        <v>14</v>
      </c>
      <c r="F962" s="1" t="s">
        <v>28</v>
      </c>
      <c r="G962" s="1" t="s">
        <v>82</v>
      </c>
      <c r="H962" s="1" t="s">
        <v>37</v>
      </c>
      <c r="I962" s="1" t="s">
        <v>2044</v>
      </c>
      <c r="J962" s="1" t="n">
        <v>12</v>
      </c>
      <c r="K962" s="1" t="s">
        <v>123</v>
      </c>
    </row>
    <row r="963" customFormat="false" ht="15" hidden="false" customHeight="true" outlineLevel="0" collapsed="false">
      <c r="A963" s="1" t="s">
        <v>2057</v>
      </c>
      <c r="B963" s="1" t="s">
        <v>173</v>
      </c>
      <c r="C963" s="1" t="s">
        <v>2058</v>
      </c>
      <c r="D963" s="1" t="n">
        <v>13.45</v>
      </c>
      <c r="E963" s="1" t="s">
        <v>14</v>
      </c>
      <c r="F963" s="1" t="s">
        <v>28</v>
      </c>
      <c r="G963" s="1" t="s">
        <v>86</v>
      </c>
      <c r="H963" s="1" t="s">
        <v>17</v>
      </c>
      <c r="I963" s="1" t="s">
        <v>2044</v>
      </c>
      <c r="J963" s="1" t="n">
        <v>13</v>
      </c>
      <c r="K963" s="1" t="s">
        <v>123</v>
      </c>
    </row>
    <row r="964" customFormat="false" ht="15" hidden="false" customHeight="true" outlineLevel="0" collapsed="false">
      <c r="A964" s="1" t="s">
        <v>2059</v>
      </c>
      <c r="B964" s="1" t="s">
        <v>193</v>
      </c>
      <c r="C964" s="1" t="s">
        <v>2060</v>
      </c>
      <c r="D964" s="1" t="n">
        <v>279.74</v>
      </c>
      <c r="E964" s="1" t="s">
        <v>14</v>
      </c>
      <c r="F964" s="1" t="s">
        <v>15</v>
      </c>
      <c r="G964" s="1" t="s">
        <v>82</v>
      </c>
      <c r="H964" s="1" t="s">
        <v>24</v>
      </c>
      <c r="I964" s="1" t="s">
        <v>2044</v>
      </c>
      <c r="J964" s="1" t="n">
        <v>14</v>
      </c>
      <c r="K964" s="1" t="s">
        <v>123</v>
      </c>
    </row>
    <row r="965" customFormat="false" ht="15" hidden="false" customHeight="true" outlineLevel="0" collapsed="false">
      <c r="A965" s="1" t="s">
        <v>2061</v>
      </c>
      <c r="B965" s="1" t="s">
        <v>44</v>
      </c>
      <c r="C965" s="1" t="s">
        <v>2062</v>
      </c>
      <c r="D965" s="1" t="n">
        <v>67.63</v>
      </c>
      <c r="E965" s="1" t="s">
        <v>14</v>
      </c>
      <c r="F965" s="1" t="s">
        <v>28</v>
      </c>
      <c r="G965" s="1" t="s">
        <v>16</v>
      </c>
      <c r="H965" s="1" t="s">
        <v>24</v>
      </c>
      <c r="I965" s="1" t="s">
        <v>2044</v>
      </c>
      <c r="J965" s="1" t="n">
        <v>15</v>
      </c>
      <c r="K965" s="1" t="s">
        <v>123</v>
      </c>
    </row>
    <row r="966" customFormat="false" ht="15" hidden="false" customHeight="true" outlineLevel="0" collapsed="false">
      <c r="A966" s="1" t="s">
        <v>2063</v>
      </c>
      <c r="B966" s="1" t="s">
        <v>332</v>
      </c>
      <c r="C966" s="1" t="s">
        <v>2064</v>
      </c>
      <c r="D966" s="1" t="n">
        <v>131.86</v>
      </c>
      <c r="E966" s="1" t="s">
        <v>14</v>
      </c>
      <c r="F966" s="1" t="s">
        <v>49</v>
      </c>
      <c r="G966" s="1" t="s">
        <v>82</v>
      </c>
      <c r="H966" s="1" t="s">
        <v>37</v>
      </c>
      <c r="I966" s="1" t="s">
        <v>2044</v>
      </c>
      <c r="J966" s="1" t="n">
        <v>15</v>
      </c>
      <c r="K966" s="1" t="s">
        <v>123</v>
      </c>
    </row>
    <row r="967" customFormat="false" ht="15" hidden="false" customHeight="true" outlineLevel="0" collapsed="false">
      <c r="A967" s="1" t="s">
        <v>2065</v>
      </c>
      <c r="B967" s="1" t="s">
        <v>21</v>
      </c>
      <c r="C967" s="1" t="s">
        <v>2066</v>
      </c>
      <c r="D967" s="1" t="n">
        <v>42.79</v>
      </c>
      <c r="E967" s="1" t="s">
        <v>14</v>
      </c>
      <c r="F967" s="1" t="s">
        <v>15</v>
      </c>
      <c r="G967" s="1" t="s">
        <v>82</v>
      </c>
      <c r="H967" s="1" t="s">
        <v>24</v>
      </c>
      <c r="I967" s="1" t="s">
        <v>2044</v>
      </c>
      <c r="J967" s="1" t="n">
        <v>17</v>
      </c>
      <c r="K967" s="1" t="s">
        <v>123</v>
      </c>
    </row>
    <row r="968" customFormat="false" ht="15" hidden="false" customHeight="true" outlineLevel="0" collapsed="false">
      <c r="A968" s="1" t="s">
        <v>2067</v>
      </c>
      <c r="B968" s="1" t="s">
        <v>12</v>
      </c>
      <c r="C968" s="1" t="s">
        <v>2068</v>
      </c>
      <c r="D968" s="1" t="n">
        <v>29.12</v>
      </c>
      <c r="E968" s="1" t="s">
        <v>14</v>
      </c>
      <c r="F968" s="1" t="s">
        <v>15</v>
      </c>
      <c r="G968" s="1" t="s">
        <v>82</v>
      </c>
      <c r="H968" s="1" t="s">
        <v>37</v>
      </c>
      <c r="I968" s="1" t="s">
        <v>2044</v>
      </c>
      <c r="J968" s="1" t="n">
        <v>18</v>
      </c>
      <c r="K968" s="1" t="s">
        <v>123</v>
      </c>
    </row>
    <row r="969" customFormat="false" ht="15" hidden="false" customHeight="true" outlineLevel="0" collapsed="false">
      <c r="A969" s="1" t="s">
        <v>2069</v>
      </c>
      <c r="B969" s="1" t="s">
        <v>21</v>
      </c>
      <c r="C969" s="1" t="s">
        <v>2070</v>
      </c>
      <c r="D969" s="1" t="n">
        <v>85.87</v>
      </c>
      <c r="E969" s="1" t="s">
        <v>14</v>
      </c>
      <c r="F969" s="1" t="s">
        <v>15</v>
      </c>
      <c r="G969" s="1" t="s">
        <v>82</v>
      </c>
      <c r="H969" s="1" t="s">
        <v>17</v>
      </c>
      <c r="I969" s="1" t="s">
        <v>2044</v>
      </c>
      <c r="J969" s="1" t="n">
        <v>20</v>
      </c>
      <c r="K969" s="1" t="s">
        <v>123</v>
      </c>
    </row>
    <row r="970" customFormat="false" ht="15" hidden="false" customHeight="true" outlineLevel="0" collapsed="false">
      <c r="A970" s="1" t="s">
        <v>2071</v>
      </c>
      <c r="B970" s="1" t="s">
        <v>39</v>
      </c>
      <c r="C970" s="1" t="s">
        <v>2072</v>
      </c>
      <c r="D970" s="1" t="n">
        <v>96.78</v>
      </c>
      <c r="E970" s="1" t="s">
        <v>14</v>
      </c>
      <c r="F970" s="1" t="s">
        <v>41</v>
      </c>
      <c r="G970" s="1" t="s">
        <v>42</v>
      </c>
      <c r="H970" s="1" t="s">
        <v>17</v>
      </c>
      <c r="I970" s="1" t="s">
        <v>2073</v>
      </c>
      <c r="J970" s="1" t="n">
        <v>6</v>
      </c>
      <c r="K970" s="1" t="s">
        <v>151</v>
      </c>
    </row>
    <row r="971" customFormat="false" ht="15" hidden="false" customHeight="true" outlineLevel="0" collapsed="false">
      <c r="A971" s="1" t="s">
        <v>2074</v>
      </c>
      <c r="B971" s="1" t="s">
        <v>167</v>
      </c>
      <c r="C971" s="1" t="s">
        <v>2075</v>
      </c>
      <c r="D971" s="1" t="n">
        <v>43.99</v>
      </c>
      <c r="E971" s="1" t="s">
        <v>14</v>
      </c>
      <c r="F971" s="1" t="s">
        <v>28</v>
      </c>
      <c r="G971" s="1" t="s">
        <v>23</v>
      </c>
      <c r="H971" s="1" t="s">
        <v>17</v>
      </c>
      <c r="I971" s="1" t="s">
        <v>2073</v>
      </c>
      <c r="J971" s="1" t="n">
        <v>8</v>
      </c>
      <c r="K971" s="1" t="s">
        <v>151</v>
      </c>
    </row>
    <row r="972" customFormat="false" ht="15" hidden="false" customHeight="true" outlineLevel="0" collapsed="false">
      <c r="A972" s="1" t="s">
        <v>2076</v>
      </c>
      <c r="B972" s="1" t="s">
        <v>199</v>
      </c>
      <c r="C972" s="1" t="s">
        <v>2077</v>
      </c>
      <c r="D972" s="1" t="n">
        <v>667.86</v>
      </c>
      <c r="E972" s="1" t="s">
        <v>14</v>
      </c>
      <c r="F972" s="1" t="s">
        <v>41</v>
      </c>
      <c r="G972" s="1" t="s">
        <v>29</v>
      </c>
      <c r="H972" s="1" t="s">
        <v>17</v>
      </c>
      <c r="I972" s="1" t="s">
        <v>2073</v>
      </c>
      <c r="J972" s="1" t="n">
        <v>8</v>
      </c>
      <c r="K972" s="1" t="s">
        <v>151</v>
      </c>
    </row>
    <row r="973" customFormat="false" ht="15" hidden="false" customHeight="true" outlineLevel="0" collapsed="false">
      <c r="A973" s="1" t="s">
        <v>2078</v>
      </c>
      <c r="B973" s="1" t="s">
        <v>72</v>
      </c>
      <c r="C973" s="1" t="s">
        <v>2077</v>
      </c>
      <c r="D973" s="1" t="n">
        <v>87.56</v>
      </c>
      <c r="E973" s="1" t="s">
        <v>14</v>
      </c>
      <c r="F973" s="1" t="s">
        <v>49</v>
      </c>
      <c r="G973" s="1" t="s">
        <v>36</v>
      </c>
      <c r="H973" s="1" t="s">
        <v>24</v>
      </c>
      <c r="I973" s="1" t="s">
        <v>2073</v>
      </c>
      <c r="J973" s="1" t="n">
        <v>8</v>
      </c>
      <c r="K973" s="1" t="s">
        <v>151</v>
      </c>
    </row>
    <row r="974" customFormat="false" ht="15" hidden="false" customHeight="true" outlineLevel="0" collapsed="false">
      <c r="A974" s="1" t="s">
        <v>2079</v>
      </c>
      <c r="B974" s="1" t="s">
        <v>496</v>
      </c>
      <c r="C974" s="1" t="s">
        <v>2080</v>
      </c>
      <c r="D974" s="1" t="n">
        <v>74.84</v>
      </c>
      <c r="E974" s="1" t="s">
        <v>14</v>
      </c>
      <c r="F974" s="1" t="s">
        <v>28</v>
      </c>
      <c r="G974" s="1" t="s">
        <v>23</v>
      </c>
      <c r="H974" s="1" t="s">
        <v>37</v>
      </c>
      <c r="I974" s="1" t="s">
        <v>2073</v>
      </c>
      <c r="J974" s="1" t="n">
        <v>12</v>
      </c>
      <c r="K974" s="1" t="s">
        <v>151</v>
      </c>
    </row>
    <row r="975" customFormat="false" ht="15" hidden="false" customHeight="true" outlineLevel="0" collapsed="false">
      <c r="A975" s="1" t="s">
        <v>2081</v>
      </c>
      <c r="B975" s="1" t="s">
        <v>58</v>
      </c>
      <c r="C975" s="1" t="s">
        <v>2082</v>
      </c>
      <c r="D975" s="1" t="n">
        <v>11.92</v>
      </c>
      <c r="E975" s="1" t="s">
        <v>14</v>
      </c>
      <c r="F975" s="1" t="s">
        <v>15</v>
      </c>
      <c r="G975" s="1" t="s">
        <v>42</v>
      </c>
      <c r="H975" s="1" t="s">
        <v>17</v>
      </c>
      <c r="I975" s="1" t="s">
        <v>2073</v>
      </c>
      <c r="J975" s="1" t="n">
        <v>12</v>
      </c>
      <c r="K975" s="1" t="s">
        <v>151</v>
      </c>
    </row>
    <row r="976" customFormat="false" ht="15" hidden="false" customHeight="true" outlineLevel="0" collapsed="false">
      <c r="A976" s="1" t="s">
        <v>2083</v>
      </c>
      <c r="B976" s="1" t="s">
        <v>93</v>
      </c>
      <c r="C976" s="1" t="s">
        <v>2084</v>
      </c>
      <c r="D976" s="1" t="n">
        <v>54.48</v>
      </c>
      <c r="E976" s="1" t="s">
        <v>14</v>
      </c>
      <c r="F976" s="1" t="s">
        <v>28</v>
      </c>
      <c r="G976" s="1" t="s">
        <v>16</v>
      </c>
      <c r="H976" s="1" t="s">
        <v>37</v>
      </c>
      <c r="I976" s="1" t="s">
        <v>2073</v>
      </c>
      <c r="J976" s="1" t="n">
        <v>14</v>
      </c>
      <c r="K976" s="1" t="s">
        <v>151</v>
      </c>
    </row>
    <row r="977" customFormat="false" ht="15" hidden="false" customHeight="true" outlineLevel="0" collapsed="false">
      <c r="A977" s="1" t="s">
        <v>2085</v>
      </c>
      <c r="B977" s="1" t="s">
        <v>216</v>
      </c>
      <c r="C977" s="1" t="s">
        <v>2086</v>
      </c>
      <c r="D977" s="1" t="n">
        <v>244.54</v>
      </c>
      <c r="E977" s="1" t="s">
        <v>14</v>
      </c>
      <c r="F977" s="1" t="s">
        <v>49</v>
      </c>
      <c r="G977" s="1" t="s">
        <v>29</v>
      </c>
      <c r="H977" s="1" t="s">
        <v>17</v>
      </c>
      <c r="I977" s="1" t="s">
        <v>2073</v>
      </c>
      <c r="J977" s="1" t="n">
        <v>14</v>
      </c>
      <c r="K977" s="1" t="s">
        <v>151</v>
      </c>
    </row>
    <row r="978" customFormat="false" ht="15" hidden="false" customHeight="true" outlineLevel="0" collapsed="false">
      <c r="A978" s="1" t="s">
        <v>2087</v>
      </c>
      <c r="B978" s="1" t="s">
        <v>332</v>
      </c>
      <c r="C978" s="1" t="s">
        <v>2088</v>
      </c>
      <c r="D978" s="1" t="n">
        <v>112.05</v>
      </c>
      <c r="E978" s="1" t="s">
        <v>14</v>
      </c>
      <c r="F978" s="1" t="s">
        <v>49</v>
      </c>
      <c r="G978" s="1" t="s">
        <v>42</v>
      </c>
      <c r="H978" s="1" t="s">
        <v>37</v>
      </c>
      <c r="I978" s="1" t="s">
        <v>2073</v>
      </c>
      <c r="J978" s="1" t="n">
        <v>14</v>
      </c>
      <c r="K978" s="1" t="s">
        <v>151</v>
      </c>
    </row>
    <row r="979" customFormat="false" ht="15" hidden="false" customHeight="true" outlineLevel="0" collapsed="false">
      <c r="A979" s="1" t="s">
        <v>2089</v>
      </c>
      <c r="B979" s="1" t="s">
        <v>34</v>
      </c>
      <c r="C979" s="1" t="s">
        <v>2090</v>
      </c>
      <c r="D979" s="1" t="n">
        <v>26.16</v>
      </c>
      <c r="E979" s="1" t="s">
        <v>14</v>
      </c>
      <c r="F979" s="1" t="s">
        <v>15</v>
      </c>
      <c r="G979" s="1" t="s">
        <v>82</v>
      </c>
      <c r="H979" s="1" t="s">
        <v>24</v>
      </c>
      <c r="I979" s="1" t="s">
        <v>2073</v>
      </c>
      <c r="J979" s="1" t="n">
        <v>15</v>
      </c>
      <c r="K979" s="1" t="s">
        <v>151</v>
      </c>
    </row>
    <row r="980" customFormat="false" ht="15" hidden="false" customHeight="true" outlineLevel="0" collapsed="false">
      <c r="A980" s="1" t="s">
        <v>2091</v>
      </c>
      <c r="B980" s="1" t="s">
        <v>196</v>
      </c>
      <c r="C980" s="1" t="s">
        <v>2092</v>
      </c>
      <c r="D980" s="1" t="n">
        <v>50.49</v>
      </c>
      <c r="E980" s="1" t="s">
        <v>14</v>
      </c>
      <c r="F980" s="1" t="s">
        <v>15</v>
      </c>
      <c r="G980" s="1" t="s">
        <v>29</v>
      </c>
      <c r="H980" s="1" t="s">
        <v>24</v>
      </c>
      <c r="I980" s="1" t="s">
        <v>2073</v>
      </c>
      <c r="J980" s="1" t="n">
        <v>18</v>
      </c>
      <c r="K980" s="1" t="s">
        <v>151</v>
      </c>
    </row>
    <row r="981" customFormat="false" ht="15" hidden="false" customHeight="true" outlineLevel="0" collapsed="false">
      <c r="A981" s="1" t="s">
        <v>2093</v>
      </c>
      <c r="B981" s="1" t="s">
        <v>101</v>
      </c>
      <c r="C981" s="1" t="s">
        <v>2094</v>
      </c>
      <c r="D981" s="1" t="n">
        <v>70.66</v>
      </c>
      <c r="E981" s="1" t="s">
        <v>14</v>
      </c>
      <c r="F981" s="1" t="s">
        <v>49</v>
      </c>
      <c r="G981" s="1" t="s">
        <v>70</v>
      </c>
      <c r="H981" s="1" t="s">
        <v>17</v>
      </c>
      <c r="I981" s="1" t="s">
        <v>2073</v>
      </c>
      <c r="J981" s="1" t="n">
        <v>22</v>
      </c>
      <c r="K981" s="1" t="s">
        <v>151</v>
      </c>
    </row>
    <row r="982" customFormat="false" ht="15" hidden="false" customHeight="true" outlineLevel="0" collapsed="false">
      <c r="A982" s="1" t="s">
        <v>2095</v>
      </c>
      <c r="B982" s="1" t="s">
        <v>51</v>
      </c>
      <c r="C982" s="1" t="s">
        <v>2096</v>
      </c>
      <c r="D982" s="1" t="n">
        <v>144.3</v>
      </c>
      <c r="E982" s="1" t="s">
        <v>14</v>
      </c>
      <c r="F982" s="1" t="s">
        <v>41</v>
      </c>
      <c r="G982" s="1" t="s">
        <v>36</v>
      </c>
      <c r="H982" s="1" t="s">
        <v>24</v>
      </c>
      <c r="I982" s="1" t="s">
        <v>2073</v>
      </c>
      <c r="J982" s="1" t="n">
        <v>23</v>
      </c>
      <c r="K982" s="1" t="s">
        <v>151</v>
      </c>
    </row>
    <row r="983" customFormat="false" ht="15" hidden="false" customHeight="true" outlineLevel="0" collapsed="false">
      <c r="A983" s="1" t="s">
        <v>2097</v>
      </c>
      <c r="B983" s="1" t="s">
        <v>51</v>
      </c>
      <c r="C983" s="1" t="s">
        <v>2098</v>
      </c>
      <c r="D983" s="1" t="n">
        <v>34.93</v>
      </c>
      <c r="E983" s="1" t="s">
        <v>14</v>
      </c>
      <c r="F983" s="1" t="s">
        <v>41</v>
      </c>
      <c r="G983" s="1" t="s">
        <v>82</v>
      </c>
      <c r="H983" s="1" t="s">
        <v>37</v>
      </c>
      <c r="I983" s="1" t="s">
        <v>2099</v>
      </c>
      <c r="J983" s="1" t="n">
        <v>2</v>
      </c>
      <c r="K983" s="1" t="s">
        <v>186</v>
      </c>
    </row>
    <row r="984" customFormat="false" ht="15" hidden="false" customHeight="true" outlineLevel="0" collapsed="false">
      <c r="A984" s="1" t="s">
        <v>2100</v>
      </c>
      <c r="B984" s="1" t="s">
        <v>307</v>
      </c>
      <c r="C984" s="1" t="s">
        <v>2101</v>
      </c>
      <c r="D984" s="1" t="n">
        <v>3.61</v>
      </c>
      <c r="E984" s="1" t="s">
        <v>14</v>
      </c>
      <c r="F984" s="1" t="s">
        <v>15</v>
      </c>
      <c r="G984" s="1" t="s">
        <v>16</v>
      </c>
      <c r="H984" s="1" t="s">
        <v>24</v>
      </c>
      <c r="I984" s="1" t="s">
        <v>2099</v>
      </c>
      <c r="J984" s="1" t="n">
        <v>3</v>
      </c>
      <c r="K984" s="1" t="s">
        <v>186</v>
      </c>
    </row>
    <row r="985" customFormat="false" ht="15" hidden="false" customHeight="true" outlineLevel="0" collapsed="false">
      <c r="A985" s="1" t="s">
        <v>2102</v>
      </c>
      <c r="B985" s="1" t="s">
        <v>90</v>
      </c>
      <c r="C985" s="1" t="s">
        <v>2103</v>
      </c>
      <c r="D985" s="1" t="n">
        <v>92.75</v>
      </c>
      <c r="E985" s="1" t="s">
        <v>14</v>
      </c>
      <c r="F985" s="1" t="s">
        <v>41</v>
      </c>
      <c r="G985" s="1" t="s">
        <v>36</v>
      </c>
      <c r="H985" s="1" t="s">
        <v>24</v>
      </c>
      <c r="I985" s="1" t="s">
        <v>2099</v>
      </c>
      <c r="J985" s="1" t="n">
        <v>4</v>
      </c>
      <c r="K985" s="1" t="s">
        <v>186</v>
      </c>
    </row>
    <row r="986" customFormat="false" ht="15" hidden="false" customHeight="true" outlineLevel="0" collapsed="false">
      <c r="A986" s="1" t="s">
        <v>2104</v>
      </c>
      <c r="B986" s="1" t="s">
        <v>170</v>
      </c>
      <c r="C986" s="1" t="s">
        <v>2105</v>
      </c>
      <c r="D986" s="1" t="n">
        <v>64.57</v>
      </c>
      <c r="E986" s="1" t="s">
        <v>14</v>
      </c>
      <c r="F986" s="1" t="s">
        <v>41</v>
      </c>
      <c r="G986" s="1" t="s">
        <v>86</v>
      </c>
      <c r="H986" s="1" t="s">
        <v>37</v>
      </c>
      <c r="I986" s="1" t="s">
        <v>2099</v>
      </c>
      <c r="J986" s="1" t="n">
        <v>7</v>
      </c>
      <c r="K986" s="1" t="s">
        <v>186</v>
      </c>
    </row>
    <row r="987" customFormat="false" ht="15" hidden="false" customHeight="true" outlineLevel="0" collapsed="false">
      <c r="A987" s="1" t="s">
        <v>2106</v>
      </c>
      <c r="B987" s="1" t="s">
        <v>180</v>
      </c>
      <c r="C987" s="1" t="s">
        <v>2107</v>
      </c>
      <c r="D987" s="1" t="n">
        <v>90.65</v>
      </c>
      <c r="E987" s="1" t="s">
        <v>14</v>
      </c>
      <c r="F987" s="1" t="s">
        <v>49</v>
      </c>
      <c r="G987" s="1" t="s">
        <v>82</v>
      </c>
      <c r="H987" s="1" t="s">
        <v>17</v>
      </c>
      <c r="I987" s="1" t="s">
        <v>2099</v>
      </c>
      <c r="J987" s="1" t="n">
        <v>9</v>
      </c>
      <c r="K987" s="1" t="s">
        <v>186</v>
      </c>
    </row>
    <row r="988" customFormat="false" ht="15" hidden="false" customHeight="true" outlineLevel="0" collapsed="false">
      <c r="A988" s="1" t="s">
        <v>2108</v>
      </c>
      <c r="B988" s="1" t="s">
        <v>90</v>
      </c>
      <c r="C988" s="1" t="s">
        <v>2109</v>
      </c>
      <c r="D988" s="1" t="n">
        <v>41.99</v>
      </c>
      <c r="E988" s="1" t="s">
        <v>14</v>
      </c>
      <c r="F988" s="1" t="s">
        <v>41</v>
      </c>
      <c r="G988" s="1" t="s">
        <v>29</v>
      </c>
      <c r="H988" s="1" t="s">
        <v>37</v>
      </c>
      <c r="I988" s="1" t="s">
        <v>2099</v>
      </c>
      <c r="J988" s="1" t="n">
        <v>11</v>
      </c>
      <c r="K988" s="1" t="s">
        <v>186</v>
      </c>
    </row>
    <row r="989" customFormat="false" ht="15" hidden="false" customHeight="true" outlineLevel="0" collapsed="false">
      <c r="A989" s="1" t="s">
        <v>2110</v>
      </c>
      <c r="B989" s="1" t="s">
        <v>125</v>
      </c>
      <c r="C989" s="1" t="s">
        <v>2111</v>
      </c>
      <c r="D989" s="1" t="n">
        <v>63.35</v>
      </c>
      <c r="E989" s="1" t="s">
        <v>14</v>
      </c>
      <c r="F989" s="1" t="s">
        <v>28</v>
      </c>
      <c r="G989" s="1" t="s">
        <v>70</v>
      </c>
      <c r="H989" s="1" t="s">
        <v>24</v>
      </c>
      <c r="I989" s="1" t="s">
        <v>2099</v>
      </c>
      <c r="J989" s="1" t="n">
        <v>12</v>
      </c>
      <c r="K989" s="1" t="s">
        <v>186</v>
      </c>
    </row>
    <row r="990" customFormat="false" ht="15" hidden="false" customHeight="true" outlineLevel="0" collapsed="false">
      <c r="A990" s="1" t="s">
        <v>2112</v>
      </c>
      <c r="B990" s="1" t="s">
        <v>98</v>
      </c>
      <c r="C990" s="1" t="s">
        <v>2113</v>
      </c>
      <c r="D990" s="1" t="n">
        <v>22.03</v>
      </c>
      <c r="E990" s="1" t="s">
        <v>14</v>
      </c>
      <c r="F990" s="1" t="s">
        <v>15</v>
      </c>
      <c r="G990" s="1" t="s">
        <v>86</v>
      </c>
      <c r="H990" s="1" t="s">
        <v>24</v>
      </c>
      <c r="I990" s="1" t="s">
        <v>2099</v>
      </c>
      <c r="J990" s="1" t="n">
        <v>14</v>
      </c>
      <c r="K990" s="1" t="s">
        <v>186</v>
      </c>
    </row>
    <row r="991" customFormat="false" ht="15" hidden="false" customHeight="true" outlineLevel="0" collapsed="false">
      <c r="A991" s="1" t="s">
        <v>2114</v>
      </c>
      <c r="B991" s="1" t="s">
        <v>302</v>
      </c>
      <c r="C991" s="1" t="s">
        <v>2115</v>
      </c>
      <c r="D991" s="1" t="n">
        <v>255.1</v>
      </c>
      <c r="E991" s="1" t="s">
        <v>14</v>
      </c>
      <c r="F991" s="1" t="s">
        <v>28</v>
      </c>
      <c r="G991" s="1" t="s">
        <v>16</v>
      </c>
      <c r="H991" s="1" t="s">
        <v>17</v>
      </c>
      <c r="I991" s="1" t="s">
        <v>2099</v>
      </c>
      <c r="J991" s="1" t="n">
        <v>14</v>
      </c>
      <c r="K991" s="1" t="s">
        <v>186</v>
      </c>
    </row>
    <row r="992" customFormat="false" ht="15" hidden="false" customHeight="true" outlineLevel="0" collapsed="false">
      <c r="A992" s="1" t="s">
        <v>2116</v>
      </c>
      <c r="B992" s="1" t="s">
        <v>286</v>
      </c>
      <c r="C992" s="1" t="s">
        <v>2117</v>
      </c>
      <c r="D992" s="1" t="n">
        <v>65.88</v>
      </c>
      <c r="E992" s="1" t="s">
        <v>14</v>
      </c>
      <c r="F992" s="1" t="s">
        <v>15</v>
      </c>
      <c r="G992" s="1" t="s">
        <v>16</v>
      </c>
      <c r="H992" s="1" t="s">
        <v>24</v>
      </c>
      <c r="I992" s="1" t="s">
        <v>2099</v>
      </c>
      <c r="J992" s="1" t="n">
        <v>16</v>
      </c>
      <c r="K992" s="1" t="s">
        <v>186</v>
      </c>
    </row>
    <row r="993" customFormat="false" ht="15" hidden="false" customHeight="true" outlineLevel="0" collapsed="false">
      <c r="A993" s="1" t="s">
        <v>2118</v>
      </c>
      <c r="B993" s="1" t="s">
        <v>183</v>
      </c>
      <c r="C993" s="1" t="s">
        <v>2119</v>
      </c>
      <c r="D993" s="1" t="n">
        <v>23.84</v>
      </c>
      <c r="E993" s="1" t="s">
        <v>14</v>
      </c>
      <c r="F993" s="1" t="s">
        <v>15</v>
      </c>
      <c r="G993" s="1" t="s">
        <v>82</v>
      </c>
      <c r="H993" s="1" t="s">
        <v>17</v>
      </c>
      <c r="I993" s="1" t="s">
        <v>2099</v>
      </c>
      <c r="J993" s="1" t="n">
        <v>16</v>
      </c>
      <c r="K993" s="1" t="s">
        <v>186</v>
      </c>
    </row>
    <row r="994" customFormat="false" ht="15" hidden="false" customHeight="true" outlineLevel="0" collapsed="false">
      <c r="A994" s="1" t="s">
        <v>2120</v>
      </c>
      <c r="B994" s="1" t="s">
        <v>140</v>
      </c>
      <c r="C994" s="1" t="s">
        <v>2121</v>
      </c>
      <c r="D994" s="1" t="n">
        <v>53.78</v>
      </c>
      <c r="E994" s="1" t="s">
        <v>14</v>
      </c>
      <c r="F994" s="1" t="s">
        <v>41</v>
      </c>
      <c r="G994" s="1" t="s">
        <v>70</v>
      </c>
      <c r="H994" s="1" t="s">
        <v>37</v>
      </c>
      <c r="I994" s="1" t="s">
        <v>2099</v>
      </c>
      <c r="J994" s="1" t="n">
        <v>16</v>
      </c>
      <c r="K994" s="1" t="s">
        <v>186</v>
      </c>
    </row>
    <row r="995" customFormat="false" ht="15" hidden="false" customHeight="true" outlineLevel="0" collapsed="false">
      <c r="A995" s="1" t="s">
        <v>2122</v>
      </c>
      <c r="B995" s="1" t="s">
        <v>75</v>
      </c>
      <c r="C995" s="1" t="s">
        <v>2123</v>
      </c>
      <c r="D995" s="1" t="n">
        <v>24.34</v>
      </c>
      <c r="E995" s="1" t="s">
        <v>14</v>
      </c>
      <c r="F995" s="1" t="s">
        <v>15</v>
      </c>
      <c r="G995" s="1" t="s">
        <v>86</v>
      </c>
      <c r="H995" s="1" t="s">
        <v>17</v>
      </c>
      <c r="I995" s="1" t="s">
        <v>2099</v>
      </c>
      <c r="J995" s="1" t="n">
        <v>17</v>
      </c>
      <c r="K995" s="1" t="s">
        <v>186</v>
      </c>
    </row>
    <row r="996" customFormat="false" ht="15" hidden="false" customHeight="true" outlineLevel="0" collapsed="false">
      <c r="A996" s="1" t="s">
        <v>2124</v>
      </c>
      <c r="B996" s="1" t="s">
        <v>61</v>
      </c>
      <c r="C996" s="1" t="s">
        <v>2125</v>
      </c>
      <c r="D996" s="1" t="n">
        <v>97.69</v>
      </c>
      <c r="E996" s="1" t="s">
        <v>14</v>
      </c>
      <c r="F996" s="1" t="s">
        <v>56</v>
      </c>
      <c r="G996" s="1" t="s">
        <v>16</v>
      </c>
      <c r="H996" s="1" t="s">
        <v>24</v>
      </c>
      <c r="I996" s="1" t="s">
        <v>2099</v>
      </c>
      <c r="J996" s="1" t="n">
        <v>20</v>
      </c>
      <c r="K996" s="1" t="s">
        <v>186</v>
      </c>
    </row>
    <row r="997" customFormat="false" ht="15" hidden="false" customHeight="true" outlineLevel="0" collapsed="false">
      <c r="A997" s="1" t="s">
        <v>2126</v>
      </c>
      <c r="B997" s="1" t="s">
        <v>496</v>
      </c>
      <c r="C997" s="1" t="s">
        <v>2127</v>
      </c>
      <c r="D997" s="1" t="n">
        <v>44.39</v>
      </c>
      <c r="E997" s="1" t="s">
        <v>14</v>
      </c>
      <c r="F997" s="1" t="s">
        <v>28</v>
      </c>
      <c r="G997" s="1" t="s">
        <v>42</v>
      </c>
      <c r="H997" s="1" t="s">
        <v>24</v>
      </c>
      <c r="I997" s="1" t="s">
        <v>2099</v>
      </c>
      <c r="J997" s="1" t="n">
        <v>20</v>
      </c>
      <c r="K997" s="1" t="s">
        <v>186</v>
      </c>
    </row>
    <row r="998" customFormat="false" ht="15" hidden="false" customHeight="true" outlineLevel="0" collapsed="false">
      <c r="A998" s="1" t="s">
        <v>2128</v>
      </c>
      <c r="B998" s="1" t="s">
        <v>199</v>
      </c>
      <c r="C998" s="1" t="s">
        <v>2129</v>
      </c>
      <c r="D998" s="1" t="n">
        <v>20.05</v>
      </c>
      <c r="E998" s="1" t="s">
        <v>14</v>
      </c>
      <c r="F998" s="1" t="s">
        <v>41</v>
      </c>
      <c r="G998" s="1" t="s">
        <v>82</v>
      </c>
      <c r="H998" s="1" t="s">
        <v>24</v>
      </c>
      <c r="I998" s="1" t="s">
        <v>2099</v>
      </c>
      <c r="J998" s="1" t="n">
        <v>20</v>
      </c>
      <c r="K998" s="1" t="s">
        <v>186</v>
      </c>
    </row>
    <row r="999" customFormat="false" ht="15" hidden="false" customHeight="true" outlineLevel="0" collapsed="false">
      <c r="A999" s="1" t="s">
        <v>2130</v>
      </c>
      <c r="B999" s="1" t="s">
        <v>98</v>
      </c>
      <c r="C999" s="1" t="s">
        <v>2131</v>
      </c>
      <c r="D999" s="1" t="n">
        <v>91.09</v>
      </c>
      <c r="E999" s="1" t="s">
        <v>14</v>
      </c>
      <c r="F999" s="1" t="s">
        <v>15</v>
      </c>
      <c r="G999" s="1" t="s">
        <v>23</v>
      </c>
      <c r="H999" s="1" t="s">
        <v>37</v>
      </c>
      <c r="I999" s="1" t="s">
        <v>2132</v>
      </c>
      <c r="J999" s="1" t="n">
        <v>5</v>
      </c>
      <c r="K999" s="1" t="s">
        <v>219</v>
      </c>
    </row>
    <row r="1000" customFormat="false" ht="15" hidden="false" customHeight="true" outlineLevel="0" collapsed="false">
      <c r="A1000" s="1" t="s">
        <v>2133</v>
      </c>
      <c r="B1000" s="1" t="s">
        <v>307</v>
      </c>
      <c r="C1000" s="1" t="s">
        <v>2134</v>
      </c>
      <c r="D1000" s="1" t="n">
        <v>44.88</v>
      </c>
      <c r="E1000" s="1" t="s">
        <v>14</v>
      </c>
      <c r="F1000" s="1" t="s">
        <v>15</v>
      </c>
      <c r="G1000" s="1" t="s">
        <v>82</v>
      </c>
      <c r="H1000" s="1" t="s">
        <v>17</v>
      </c>
      <c r="I1000" s="1" t="s">
        <v>2132</v>
      </c>
      <c r="J1000" s="1" t="n">
        <v>7</v>
      </c>
      <c r="K1000" s="1" t="s">
        <v>219</v>
      </c>
    </row>
    <row r="1001" customFormat="false" ht="15" hidden="false" customHeight="true" outlineLevel="0" collapsed="false">
      <c r="A1001" s="1" t="s">
        <v>2135</v>
      </c>
      <c r="B1001" s="1" t="s">
        <v>137</v>
      </c>
      <c r="C1001" s="1" t="s">
        <v>2136</v>
      </c>
      <c r="D1001" s="1" t="n">
        <v>257.78</v>
      </c>
      <c r="E1001" s="1" t="s">
        <v>14</v>
      </c>
      <c r="F1001" s="1" t="s">
        <v>49</v>
      </c>
      <c r="G1001" s="1" t="s">
        <v>29</v>
      </c>
      <c r="H1001" s="1" t="s">
        <v>17</v>
      </c>
      <c r="I1001" s="1" t="s">
        <v>2132</v>
      </c>
      <c r="J1001" s="1" t="n">
        <v>7</v>
      </c>
      <c r="K1001" s="1" t="s">
        <v>219</v>
      </c>
    </row>
    <row r="1002" customFormat="false" ht="15" hidden="false" customHeight="true" outlineLevel="0" collapsed="false">
      <c r="A1002" s="1" t="s">
        <v>2137</v>
      </c>
      <c r="B1002" s="1" t="s">
        <v>245</v>
      </c>
      <c r="C1002" s="1" t="s">
        <v>2138</v>
      </c>
      <c r="D1002" s="1" t="n">
        <v>38.06</v>
      </c>
      <c r="E1002" s="1" t="s">
        <v>14</v>
      </c>
      <c r="F1002" s="1" t="s">
        <v>15</v>
      </c>
      <c r="G1002" s="1" t="s">
        <v>42</v>
      </c>
      <c r="H1002" s="1" t="s">
        <v>17</v>
      </c>
      <c r="I1002" s="1" t="s">
        <v>2132</v>
      </c>
      <c r="J1002" s="1" t="n">
        <v>9</v>
      </c>
      <c r="K1002" s="1" t="s">
        <v>219</v>
      </c>
    </row>
    <row r="1003" customFormat="false" ht="15" hidden="false" customHeight="true" outlineLevel="0" collapsed="false">
      <c r="A1003" s="1" t="s">
        <v>2139</v>
      </c>
      <c r="B1003" s="1" t="s">
        <v>162</v>
      </c>
      <c r="C1003" s="1" t="s">
        <v>2140</v>
      </c>
      <c r="D1003" s="1" t="n">
        <v>514.72</v>
      </c>
      <c r="E1003" s="1" t="s">
        <v>14</v>
      </c>
      <c r="F1003" s="1" t="s">
        <v>49</v>
      </c>
      <c r="G1003" s="1" t="s">
        <v>86</v>
      </c>
      <c r="H1003" s="1" t="s">
        <v>17</v>
      </c>
      <c r="I1003" s="1" t="s">
        <v>2132</v>
      </c>
      <c r="J1003" s="1" t="n">
        <v>9</v>
      </c>
      <c r="K1003" s="1" t="s">
        <v>219</v>
      </c>
    </row>
    <row r="1004" customFormat="false" ht="15" hidden="false" customHeight="true" outlineLevel="0" collapsed="false">
      <c r="A1004" s="1" t="s">
        <v>2141</v>
      </c>
      <c r="B1004" s="1" t="s">
        <v>145</v>
      </c>
      <c r="C1004" s="1" t="s">
        <v>2142</v>
      </c>
      <c r="D1004" s="1" t="n">
        <v>45.69</v>
      </c>
      <c r="E1004" s="1" t="s">
        <v>14</v>
      </c>
      <c r="F1004" s="1" t="s">
        <v>15</v>
      </c>
      <c r="G1004" s="1" t="s">
        <v>70</v>
      </c>
      <c r="H1004" s="1" t="s">
        <v>17</v>
      </c>
      <c r="I1004" s="1" t="s">
        <v>2132</v>
      </c>
      <c r="J1004" s="1" t="n">
        <v>10</v>
      </c>
      <c r="K1004" s="1" t="s">
        <v>219</v>
      </c>
    </row>
    <row r="1005" customFormat="false" ht="15" hidden="false" customHeight="true" outlineLevel="0" collapsed="false">
      <c r="A1005" s="1" t="s">
        <v>2143</v>
      </c>
      <c r="B1005" s="1" t="s">
        <v>98</v>
      </c>
      <c r="C1005" s="1" t="s">
        <v>2144</v>
      </c>
      <c r="D1005" s="1" t="n">
        <v>83.55</v>
      </c>
      <c r="E1005" s="1" t="s">
        <v>14</v>
      </c>
      <c r="F1005" s="1" t="s">
        <v>15</v>
      </c>
      <c r="G1005" s="1" t="s">
        <v>42</v>
      </c>
      <c r="H1005" s="1" t="s">
        <v>37</v>
      </c>
      <c r="I1005" s="1" t="s">
        <v>2132</v>
      </c>
      <c r="J1005" s="1" t="n">
        <v>11</v>
      </c>
      <c r="K1005" s="1" t="s">
        <v>219</v>
      </c>
    </row>
    <row r="1006" customFormat="false" ht="15" hidden="false" customHeight="true" outlineLevel="0" collapsed="false">
      <c r="A1006" s="1" t="s">
        <v>2145</v>
      </c>
      <c r="B1006" s="1" t="s">
        <v>190</v>
      </c>
      <c r="C1006" s="1" t="s">
        <v>2146</v>
      </c>
      <c r="D1006" s="1" t="n">
        <v>73.24</v>
      </c>
      <c r="E1006" s="1" t="s">
        <v>14</v>
      </c>
      <c r="F1006" s="1" t="s">
        <v>49</v>
      </c>
      <c r="G1006" s="1" t="s">
        <v>23</v>
      </c>
      <c r="H1006" s="1" t="s">
        <v>17</v>
      </c>
      <c r="I1006" s="1" t="s">
        <v>2132</v>
      </c>
      <c r="J1006" s="1" t="n">
        <v>12</v>
      </c>
      <c r="K1006" s="1" t="s">
        <v>219</v>
      </c>
    </row>
    <row r="1007" customFormat="false" ht="15" hidden="false" customHeight="true" outlineLevel="0" collapsed="false">
      <c r="A1007" s="1" t="s">
        <v>2147</v>
      </c>
      <c r="B1007" s="1" t="s">
        <v>125</v>
      </c>
      <c r="C1007" s="1" t="s">
        <v>2146</v>
      </c>
      <c r="D1007" s="1" t="n">
        <v>73.91</v>
      </c>
      <c r="E1007" s="1" t="s">
        <v>14</v>
      </c>
      <c r="F1007" s="1" t="s">
        <v>28</v>
      </c>
      <c r="G1007" s="1" t="s">
        <v>82</v>
      </c>
      <c r="H1007" s="1" t="s">
        <v>17</v>
      </c>
      <c r="I1007" s="1" t="s">
        <v>2132</v>
      </c>
      <c r="J1007" s="1" t="n">
        <v>12</v>
      </c>
      <c r="K1007" s="1" t="s">
        <v>219</v>
      </c>
    </row>
    <row r="1008" customFormat="false" ht="15" hidden="false" customHeight="true" outlineLevel="0" collapsed="false">
      <c r="A1008" s="1" t="s">
        <v>2148</v>
      </c>
      <c r="B1008" s="1" t="s">
        <v>394</v>
      </c>
      <c r="C1008" s="1" t="s">
        <v>2149</v>
      </c>
      <c r="D1008" s="1" t="n">
        <v>82.67</v>
      </c>
      <c r="E1008" s="1" t="s">
        <v>14</v>
      </c>
      <c r="F1008" s="1" t="s">
        <v>56</v>
      </c>
      <c r="G1008" s="1" t="s">
        <v>16</v>
      </c>
      <c r="H1008" s="1" t="s">
        <v>37</v>
      </c>
      <c r="I1008" s="1" t="s">
        <v>2132</v>
      </c>
      <c r="J1008" s="1" t="n">
        <v>12</v>
      </c>
      <c r="K1008" s="1" t="s">
        <v>219</v>
      </c>
    </row>
    <row r="1009" customFormat="false" ht="15" hidden="false" customHeight="true" outlineLevel="0" collapsed="false">
      <c r="A1009" s="1" t="s">
        <v>2150</v>
      </c>
      <c r="B1009" s="1" t="s">
        <v>93</v>
      </c>
      <c r="C1009" s="1" t="s">
        <v>2151</v>
      </c>
      <c r="D1009" s="1" t="n">
        <v>27.37</v>
      </c>
      <c r="E1009" s="1" t="s">
        <v>14</v>
      </c>
      <c r="F1009" s="1" t="s">
        <v>28</v>
      </c>
      <c r="G1009" s="1" t="s">
        <v>42</v>
      </c>
      <c r="H1009" s="1" t="s">
        <v>37</v>
      </c>
      <c r="I1009" s="1" t="s">
        <v>2132</v>
      </c>
      <c r="J1009" s="1" t="n">
        <v>13</v>
      </c>
      <c r="K1009" s="1" t="s">
        <v>219</v>
      </c>
    </row>
    <row r="1010" customFormat="false" ht="15" hidden="false" customHeight="true" outlineLevel="0" collapsed="false">
      <c r="A1010" s="1" t="s">
        <v>2152</v>
      </c>
      <c r="B1010" s="1" t="s">
        <v>302</v>
      </c>
      <c r="C1010" s="1" t="s">
        <v>2153</v>
      </c>
      <c r="D1010" s="1" t="n">
        <v>264.46</v>
      </c>
      <c r="E1010" s="1" t="s">
        <v>14</v>
      </c>
      <c r="F1010" s="1" t="s">
        <v>28</v>
      </c>
      <c r="G1010" s="1" t="s">
        <v>86</v>
      </c>
      <c r="H1010" s="1" t="s">
        <v>17</v>
      </c>
      <c r="I1010" s="1" t="s">
        <v>2132</v>
      </c>
      <c r="J1010" s="1" t="n">
        <v>15</v>
      </c>
      <c r="K1010" s="1" t="s">
        <v>219</v>
      </c>
    </row>
    <row r="1011" customFormat="false" ht="15" hidden="false" customHeight="true" outlineLevel="0" collapsed="false">
      <c r="A1011" s="1" t="s">
        <v>2154</v>
      </c>
      <c r="B1011" s="1" t="s">
        <v>132</v>
      </c>
      <c r="C1011" s="1" t="s">
        <v>2155</v>
      </c>
      <c r="D1011" s="1" t="n">
        <v>78.89</v>
      </c>
      <c r="E1011" s="1" t="s">
        <v>14</v>
      </c>
      <c r="F1011" s="1" t="s">
        <v>41</v>
      </c>
      <c r="G1011" s="1" t="s">
        <v>70</v>
      </c>
      <c r="H1011" s="1" t="s">
        <v>24</v>
      </c>
      <c r="I1011" s="1" t="s">
        <v>2132</v>
      </c>
      <c r="J1011" s="1" t="n">
        <v>16</v>
      </c>
      <c r="K1011" s="1" t="s">
        <v>219</v>
      </c>
    </row>
    <row r="1012" customFormat="false" ht="15" hidden="false" customHeight="true" outlineLevel="0" collapsed="false">
      <c r="A1012" s="1" t="s">
        <v>2156</v>
      </c>
      <c r="B1012" s="1" t="s">
        <v>240</v>
      </c>
      <c r="C1012" s="1" t="s">
        <v>2157</v>
      </c>
      <c r="D1012" s="1" t="n">
        <v>69.66</v>
      </c>
      <c r="E1012" s="1" t="s">
        <v>14</v>
      </c>
      <c r="F1012" s="1" t="s">
        <v>56</v>
      </c>
      <c r="G1012" s="1" t="s">
        <v>70</v>
      </c>
      <c r="H1012" s="1" t="s">
        <v>37</v>
      </c>
      <c r="I1012" s="1" t="s">
        <v>2132</v>
      </c>
      <c r="J1012" s="1" t="n">
        <v>19</v>
      </c>
      <c r="K1012" s="1" t="s">
        <v>219</v>
      </c>
    </row>
    <row r="1013" customFormat="false" ht="15" hidden="false" customHeight="true" outlineLevel="0" collapsed="false">
      <c r="A1013" s="1" t="s">
        <v>2158</v>
      </c>
      <c r="B1013" s="1" t="s">
        <v>31</v>
      </c>
      <c r="C1013" s="1" t="s">
        <v>2159</v>
      </c>
      <c r="D1013" s="1" t="n">
        <v>174.17</v>
      </c>
      <c r="E1013" s="1" t="s">
        <v>14</v>
      </c>
      <c r="F1013" s="1" t="s">
        <v>15</v>
      </c>
      <c r="G1013" s="1" t="s">
        <v>36</v>
      </c>
      <c r="H1013" s="1" t="s">
        <v>17</v>
      </c>
      <c r="I1013" s="1" t="s">
        <v>2132</v>
      </c>
      <c r="J1013" s="1" t="n">
        <v>20</v>
      </c>
      <c r="K1013" s="1" t="s">
        <v>219</v>
      </c>
    </row>
    <row r="1014" customFormat="false" ht="15" hidden="false" customHeight="true" outlineLevel="0" collapsed="false">
      <c r="A1014" s="1" t="s">
        <v>2160</v>
      </c>
      <c r="B1014" s="1" t="s">
        <v>496</v>
      </c>
      <c r="C1014" s="1" t="s">
        <v>2161</v>
      </c>
      <c r="D1014" s="1" t="n">
        <v>37.06</v>
      </c>
      <c r="E1014" s="1" t="s">
        <v>14</v>
      </c>
      <c r="F1014" s="1" t="s">
        <v>28</v>
      </c>
      <c r="G1014" s="1" t="s">
        <v>70</v>
      </c>
      <c r="H1014" s="1" t="s">
        <v>37</v>
      </c>
      <c r="I1014" s="1" t="s">
        <v>2132</v>
      </c>
      <c r="J1014" s="1" t="n">
        <v>21</v>
      </c>
      <c r="K1014" s="1" t="s">
        <v>219</v>
      </c>
    </row>
    <row r="1015" customFormat="false" ht="15" hidden="false" customHeight="true" outlineLevel="0" collapsed="false">
      <c r="A1015" s="1" t="s">
        <v>2162</v>
      </c>
      <c r="B1015" s="1" t="s">
        <v>101</v>
      </c>
      <c r="C1015" s="1" t="s">
        <v>2163</v>
      </c>
      <c r="D1015" s="1" t="n">
        <v>177.69</v>
      </c>
      <c r="E1015" s="1" t="s">
        <v>14</v>
      </c>
      <c r="F1015" s="1" t="s">
        <v>49</v>
      </c>
      <c r="G1015" s="1" t="s">
        <v>82</v>
      </c>
      <c r="H1015" s="1" t="s">
        <v>24</v>
      </c>
      <c r="I1015" s="1" t="s">
        <v>2132</v>
      </c>
      <c r="J1015" s="1" t="n">
        <v>22</v>
      </c>
      <c r="K1015" s="1" t="s">
        <v>219</v>
      </c>
    </row>
    <row r="1016" customFormat="false" ht="15" hidden="false" customHeight="true" outlineLevel="0" collapsed="false">
      <c r="A1016" s="1" t="s">
        <v>2164</v>
      </c>
      <c r="B1016" s="1" t="s">
        <v>140</v>
      </c>
      <c r="C1016" s="1" t="s">
        <v>2165</v>
      </c>
      <c r="D1016" s="1" t="n">
        <v>33.55</v>
      </c>
      <c r="E1016" s="1" t="s">
        <v>14</v>
      </c>
      <c r="F1016" s="1" t="s">
        <v>41</v>
      </c>
      <c r="G1016" s="1" t="s">
        <v>23</v>
      </c>
      <c r="H1016" s="1" t="s">
        <v>24</v>
      </c>
      <c r="I1016" s="1" t="s">
        <v>2166</v>
      </c>
      <c r="J1016" s="1" t="n">
        <v>0</v>
      </c>
      <c r="K1016" s="1" t="s">
        <v>263</v>
      </c>
    </row>
    <row r="1017" customFormat="false" ht="15" hidden="false" customHeight="true" outlineLevel="0" collapsed="false">
      <c r="A1017" s="1" t="s">
        <v>2167</v>
      </c>
      <c r="B1017" s="1" t="s">
        <v>98</v>
      </c>
      <c r="C1017" s="1" t="s">
        <v>2168</v>
      </c>
      <c r="D1017" s="1" t="n">
        <v>87.12</v>
      </c>
      <c r="E1017" s="1" t="s">
        <v>14</v>
      </c>
      <c r="F1017" s="1" t="s">
        <v>15</v>
      </c>
      <c r="G1017" s="1" t="s">
        <v>29</v>
      </c>
      <c r="H1017" s="1" t="s">
        <v>37</v>
      </c>
      <c r="I1017" s="1" t="s">
        <v>2166</v>
      </c>
      <c r="J1017" s="1" t="n">
        <v>4</v>
      </c>
      <c r="K1017" s="1" t="s">
        <v>263</v>
      </c>
    </row>
    <row r="1018" customFormat="false" ht="15" hidden="false" customHeight="true" outlineLevel="0" collapsed="false">
      <c r="A1018" s="1" t="s">
        <v>2169</v>
      </c>
      <c r="B1018" s="1" t="s">
        <v>173</v>
      </c>
      <c r="C1018" s="1" t="s">
        <v>2170</v>
      </c>
      <c r="D1018" s="1" t="n">
        <v>96.75</v>
      </c>
      <c r="E1018" s="1" t="s">
        <v>14</v>
      </c>
      <c r="F1018" s="1" t="s">
        <v>28</v>
      </c>
      <c r="G1018" s="1" t="s">
        <v>23</v>
      </c>
      <c r="H1018" s="1" t="s">
        <v>17</v>
      </c>
      <c r="I1018" s="1" t="s">
        <v>2166</v>
      </c>
      <c r="J1018" s="1" t="n">
        <v>6</v>
      </c>
      <c r="K1018" s="1" t="s">
        <v>263</v>
      </c>
    </row>
    <row r="1019" customFormat="false" ht="15" hidden="false" customHeight="true" outlineLevel="0" collapsed="false">
      <c r="A1019" s="1" t="s">
        <v>2171</v>
      </c>
      <c r="B1019" s="1" t="s">
        <v>487</v>
      </c>
      <c r="C1019" s="1" t="s">
        <v>2172</v>
      </c>
      <c r="D1019" s="1" t="n">
        <v>33.43</v>
      </c>
      <c r="E1019" s="1" t="s">
        <v>14</v>
      </c>
      <c r="F1019" s="1" t="s">
        <v>49</v>
      </c>
      <c r="G1019" s="1" t="s">
        <v>16</v>
      </c>
      <c r="H1019" s="1" t="s">
        <v>37</v>
      </c>
      <c r="I1019" s="1" t="s">
        <v>2166</v>
      </c>
      <c r="J1019" s="1" t="n">
        <v>7</v>
      </c>
      <c r="K1019" s="1" t="s">
        <v>263</v>
      </c>
    </row>
    <row r="1020" customFormat="false" ht="15" hidden="false" customHeight="true" outlineLevel="0" collapsed="false">
      <c r="A1020" s="1" t="s">
        <v>2173</v>
      </c>
      <c r="B1020" s="1" t="s">
        <v>98</v>
      </c>
      <c r="C1020" s="1" t="s">
        <v>2174</v>
      </c>
      <c r="D1020" s="1" t="n">
        <v>269.06</v>
      </c>
      <c r="E1020" s="1" t="s">
        <v>14</v>
      </c>
      <c r="F1020" s="1" t="s">
        <v>15</v>
      </c>
      <c r="G1020" s="1" t="s">
        <v>29</v>
      </c>
      <c r="H1020" s="1" t="s">
        <v>37</v>
      </c>
      <c r="I1020" s="1" t="s">
        <v>2166</v>
      </c>
      <c r="J1020" s="1" t="n">
        <v>7</v>
      </c>
      <c r="K1020" s="1" t="s">
        <v>263</v>
      </c>
    </row>
    <row r="1021" customFormat="false" ht="15" hidden="false" customHeight="true" outlineLevel="0" collapsed="false">
      <c r="A1021" s="1" t="s">
        <v>2175</v>
      </c>
      <c r="B1021" s="1" t="s">
        <v>193</v>
      </c>
      <c r="C1021" s="1" t="s">
        <v>2176</v>
      </c>
      <c r="D1021" s="1" t="n">
        <v>223.83</v>
      </c>
      <c r="E1021" s="1" t="s">
        <v>14</v>
      </c>
      <c r="F1021" s="1" t="s">
        <v>15</v>
      </c>
      <c r="G1021" s="1" t="s">
        <v>16</v>
      </c>
      <c r="H1021" s="1" t="s">
        <v>17</v>
      </c>
      <c r="I1021" s="1" t="s">
        <v>2166</v>
      </c>
      <c r="J1021" s="1" t="n">
        <v>9</v>
      </c>
      <c r="K1021" s="1" t="s">
        <v>263</v>
      </c>
    </row>
    <row r="1022" customFormat="false" ht="15" hidden="false" customHeight="true" outlineLevel="0" collapsed="false">
      <c r="A1022" s="1" t="s">
        <v>2177</v>
      </c>
      <c r="B1022" s="1" t="s">
        <v>173</v>
      </c>
      <c r="C1022" s="1" t="s">
        <v>2178</v>
      </c>
      <c r="D1022" s="1" t="n">
        <v>169.66</v>
      </c>
      <c r="E1022" s="1" t="s">
        <v>14</v>
      </c>
      <c r="F1022" s="1" t="s">
        <v>28</v>
      </c>
      <c r="G1022" s="1" t="s">
        <v>82</v>
      </c>
      <c r="H1022" s="1" t="s">
        <v>17</v>
      </c>
      <c r="I1022" s="1" t="s">
        <v>2166</v>
      </c>
      <c r="J1022" s="1" t="n">
        <v>12</v>
      </c>
      <c r="K1022" s="1" t="s">
        <v>263</v>
      </c>
    </row>
    <row r="1023" customFormat="false" ht="15" hidden="false" customHeight="true" outlineLevel="0" collapsed="false">
      <c r="A1023" s="1" t="s">
        <v>2179</v>
      </c>
      <c r="B1023" s="1" t="s">
        <v>44</v>
      </c>
      <c r="C1023" s="1" t="s">
        <v>2180</v>
      </c>
      <c r="D1023" s="1" t="n">
        <v>194.52</v>
      </c>
      <c r="E1023" s="1" t="s">
        <v>14</v>
      </c>
      <c r="F1023" s="1" t="s">
        <v>28</v>
      </c>
      <c r="G1023" s="1" t="s">
        <v>29</v>
      </c>
      <c r="H1023" s="1" t="s">
        <v>24</v>
      </c>
      <c r="I1023" s="1" t="s">
        <v>2166</v>
      </c>
      <c r="J1023" s="1" t="n">
        <v>12</v>
      </c>
      <c r="K1023" s="1" t="s">
        <v>263</v>
      </c>
    </row>
    <row r="1024" customFormat="false" ht="15" hidden="false" customHeight="true" outlineLevel="0" collapsed="false">
      <c r="A1024" s="1" t="s">
        <v>2181</v>
      </c>
      <c r="B1024" s="1" t="s">
        <v>199</v>
      </c>
      <c r="C1024" s="1" t="s">
        <v>2182</v>
      </c>
      <c r="D1024" s="1" t="n">
        <v>62.37</v>
      </c>
      <c r="E1024" s="1" t="s">
        <v>14</v>
      </c>
      <c r="F1024" s="1" t="s">
        <v>41</v>
      </c>
      <c r="G1024" s="1" t="s">
        <v>42</v>
      </c>
      <c r="H1024" s="1" t="s">
        <v>24</v>
      </c>
      <c r="I1024" s="1" t="s">
        <v>2166</v>
      </c>
      <c r="J1024" s="1" t="n">
        <v>13</v>
      </c>
      <c r="K1024" s="1" t="s">
        <v>263</v>
      </c>
    </row>
    <row r="1025" customFormat="false" ht="15" hidden="false" customHeight="true" outlineLevel="0" collapsed="false">
      <c r="A1025" s="1" t="s">
        <v>2183</v>
      </c>
      <c r="B1025" s="1" t="s">
        <v>125</v>
      </c>
      <c r="C1025" s="1" t="s">
        <v>2184</v>
      </c>
      <c r="D1025" s="1" t="n">
        <v>168.38</v>
      </c>
      <c r="E1025" s="1" t="s">
        <v>14</v>
      </c>
      <c r="F1025" s="1" t="s">
        <v>28</v>
      </c>
      <c r="G1025" s="1" t="s">
        <v>82</v>
      </c>
      <c r="H1025" s="1" t="s">
        <v>24</v>
      </c>
      <c r="I1025" s="1" t="s">
        <v>2166</v>
      </c>
      <c r="J1025" s="1" t="n">
        <v>14</v>
      </c>
      <c r="K1025" s="1" t="s">
        <v>263</v>
      </c>
    </row>
    <row r="1026" customFormat="false" ht="15" hidden="false" customHeight="true" outlineLevel="0" collapsed="false">
      <c r="A1026" s="1" t="s">
        <v>2185</v>
      </c>
      <c r="B1026" s="1" t="s">
        <v>148</v>
      </c>
      <c r="C1026" s="1" t="s">
        <v>2186</v>
      </c>
      <c r="D1026" s="1" t="n">
        <v>48.99</v>
      </c>
      <c r="E1026" s="1" t="s">
        <v>14</v>
      </c>
      <c r="F1026" s="1" t="s">
        <v>41</v>
      </c>
      <c r="G1026" s="1" t="s">
        <v>86</v>
      </c>
      <c r="H1026" s="1" t="s">
        <v>24</v>
      </c>
      <c r="I1026" s="1" t="s">
        <v>2166</v>
      </c>
      <c r="J1026" s="1" t="n">
        <v>14</v>
      </c>
      <c r="K1026" s="1" t="s">
        <v>263</v>
      </c>
    </row>
    <row r="1027" customFormat="false" ht="15" hidden="false" customHeight="true" outlineLevel="0" collapsed="false">
      <c r="A1027" s="1" t="s">
        <v>2187</v>
      </c>
      <c r="B1027" s="1" t="s">
        <v>173</v>
      </c>
      <c r="C1027" s="1" t="s">
        <v>2188</v>
      </c>
      <c r="D1027" s="1" t="n">
        <v>29.08</v>
      </c>
      <c r="E1027" s="1" t="s">
        <v>14</v>
      </c>
      <c r="F1027" s="1" t="s">
        <v>28</v>
      </c>
      <c r="G1027" s="1" t="s">
        <v>36</v>
      </c>
      <c r="H1027" s="1" t="s">
        <v>17</v>
      </c>
      <c r="I1027" s="1" t="s">
        <v>2166</v>
      </c>
      <c r="J1027" s="1" t="n">
        <v>14</v>
      </c>
      <c r="K1027" s="1" t="s">
        <v>263</v>
      </c>
    </row>
    <row r="1028" customFormat="false" ht="15" hidden="false" customHeight="true" outlineLevel="0" collapsed="false">
      <c r="A1028" s="1" t="s">
        <v>2189</v>
      </c>
      <c r="B1028" s="1" t="s">
        <v>93</v>
      </c>
      <c r="C1028" s="1" t="s">
        <v>2190</v>
      </c>
      <c r="D1028" s="1" t="n">
        <v>20.07</v>
      </c>
      <c r="E1028" s="1" t="s">
        <v>14</v>
      </c>
      <c r="F1028" s="1" t="s">
        <v>28</v>
      </c>
      <c r="G1028" s="1" t="s">
        <v>16</v>
      </c>
      <c r="H1028" s="1" t="s">
        <v>24</v>
      </c>
      <c r="I1028" s="1" t="s">
        <v>2166</v>
      </c>
      <c r="J1028" s="1" t="n">
        <v>17</v>
      </c>
      <c r="K1028" s="1" t="s">
        <v>263</v>
      </c>
    </row>
    <row r="1029" customFormat="false" ht="15" hidden="false" customHeight="true" outlineLevel="0" collapsed="false">
      <c r="A1029" s="1" t="s">
        <v>2191</v>
      </c>
      <c r="B1029" s="1" t="s">
        <v>199</v>
      </c>
      <c r="C1029" s="1" t="s">
        <v>2192</v>
      </c>
      <c r="D1029" s="1" t="n">
        <v>115.53</v>
      </c>
      <c r="E1029" s="1" t="s">
        <v>14</v>
      </c>
      <c r="F1029" s="1" t="s">
        <v>41</v>
      </c>
      <c r="G1029" s="1" t="s">
        <v>16</v>
      </c>
      <c r="H1029" s="1" t="s">
        <v>24</v>
      </c>
      <c r="I1029" s="1" t="s">
        <v>2166</v>
      </c>
      <c r="J1029" s="1" t="n">
        <v>17</v>
      </c>
      <c r="K1029" s="1" t="s">
        <v>263</v>
      </c>
    </row>
    <row r="1030" customFormat="false" ht="15" hidden="false" customHeight="true" outlineLevel="0" collapsed="false">
      <c r="A1030" s="1" t="s">
        <v>2193</v>
      </c>
      <c r="B1030" s="1" t="s">
        <v>190</v>
      </c>
      <c r="C1030" s="1" t="s">
        <v>2194</v>
      </c>
      <c r="D1030" s="1" t="n">
        <v>7.03</v>
      </c>
      <c r="E1030" s="1" t="s">
        <v>14</v>
      </c>
      <c r="F1030" s="1" t="s">
        <v>49</v>
      </c>
      <c r="G1030" s="1" t="s">
        <v>16</v>
      </c>
      <c r="H1030" s="1" t="s">
        <v>17</v>
      </c>
      <c r="I1030" s="1" t="s">
        <v>2166</v>
      </c>
      <c r="J1030" s="1" t="n">
        <v>17</v>
      </c>
      <c r="K1030" s="1" t="s">
        <v>263</v>
      </c>
    </row>
    <row r="1031" customFormat="false" ht="15" hidden="false" customHeight="true" outlineLevel="0" collapsed="false">
      <c r="A1031" s="1" t="s">
        <v>2195</v>
      </c>
      <c r="B1031" s="1" t="s">
        <v>140</v>
      </c>
      <c r="C1031" s="1" t="s">
        <v>2196</v>
      </c>
      <c r="D1031" s="1" t="n">
        <v>27.67</v>
      </c>
      <c r="E1031" s="1" t="s">
        <v>14</v>
      </c>
      <c r="F1031" s="1" t="s">
        <v>41</v>
      </c>
      <c r="G1031" s="1" t="s">
        <v>86</v>
      </c>
      <c r="H1031" s="1" t="s">
        <v>37</v>
      </c>
      <c r="I1031" s="1" t="s">
        <v>2166</v>
      </c>
      <c r="J1031" s="1" t="n">
        <v>22</v>
      </c>
      <c r="K1031" s="1" t="s">
        <v>263</v>
      </c>
    </row>
    <row r="1032" customFormat="false" ht="15" hidden="false" customHeight="true" outlineLevel="0" collapsed="false">
      <c r="A1032" s="1" t="s">
        <v>2197</v>
      </c>
      <c r="B1032" s="1" t="s">
        <v>487</v>
      </c>
      <c r="C1032" s="1" t="s">
        <v>2198</v>
      </c>
      <c r="D1032" s="1" t="n">
        <v>38.88</v>
      </c>
      <c r="E1032" s="1" t="s">
        <v>14</v>
      </c>
      <c r="F1032" s="1" t="s">
        <v>49</v>
      </c>
      <c r="G1032" s="1" t="s">
        <v>82</v>
      </c>
      <c r="H1032" s="1" t="s">
        <v>37</v>
      </c>
      <c r="I1032" s="1" t="s">
        <v>2199</v>
      </c>
      <c r="J1032" s="1" t="n">
        <v>1</v>
      </c>
      <c r="K1032" s="1" t="s">
        <v>19</v>
      </c>
    </row>
    <row r="1033" customFormat="false" ht="15" hidden="false" customHeight="true" outlineLevel="0" collapsed="false">
      <c r="A1033" s="1" t="s">
        <v>2200</v>
      </c>
      <c r="B1033" s="1" t="s">
        <v>54</v>
      </c>
      <c r="C1033" s="1" t="s">
        <v>2201</v>
      </c>
      <c r="D1033" s="1" t="n">
        <v>45.18</v>
      </c>
      <c r="E1033" s="1" t="s">
        <v>14</v>
      </c>
      <c r="F1033" s="1" t="s">
        <v>56</v>
      </c>
      <c r="G1033" s="1" t="s">
        <v>23</v>
      </c>
      <c r="H1033" s="1" t="s">
        <v>37</v>
      </c>
      <c r="I1033" s="1" t="s">
        <v>2199</v>
      </c>
      <c r="J1033" s="1" t="n">
        <v>6</v>
      </c>
      <c r="K1033" s="1" t="s">
        <v>19</v>
      </c>
    </row>
    <row r="1034" customFormat="false" ht="15" hidden="false" customHeight="true" outlineLevel="0" collapsed="false">
      <c r="A1034" s="1" t="s">
        <v>2202</v>
      </c>
      <c r="B1034" s="1" t="s">
        <v>90</v>
      </c>
      <c r="C1034" s="1" t="s">
        <v>2203</v>
      </c>
      <c r="D1034" s="1" t="n">
        <v>27.46</v>
      </c>
      <c r="E1034" s="1" t="s">
        <v>14</v>
      </c>
      <c r="F1034" s="1" t="s">
        <v>41</v>
      </c>
      <c r="G1034" s="1" t="s">
        <v>29</v>
      </c>
      <c r="H1034" s="1" t="s">
        <v>24</v>
      </c>
      <c r="I1034" s="1" t="s">
        <v>2199</v>
      </c>
      <c r="J1034" s="1" t="n">
        <v>6</v>
      </c>
      <c r="K1034" s="1" t="s">
        <v>19</v>
      </c>
    </row>
    <row r="1035" customFormat="false" ht="15" hidden="false" customHeight="true" outlineLevel="0" collapsed="false">
      <c r="A1035" s="1" t="s">
        <v>2204</v>
      </c>
      <c r="B1035" s="1" t="s">
        <v>39</v>
      </c>
      <c r="C1035" s="1" t="s">
        <v>2205</v>
      </c>
      <c r="D1035" s="1" t="n">
        <v>111.28</v>
      </c>
      <c r="E1035" s="1" t="s">
        <v>14</v>
      </c>
      <c r="F1035" s="1" t="s">
        <v>41</v>
      </c>
      <c r="G1035" s="1" t="s">
        <v>86</v>
      </c>
      <c r="H1035" s="1" t="s">
        <v>37</v>
      </c>
      <c r="I1035" s="1" t="s">
        <v>2199</v>
      </c>
      <c r="J1035" s="1" t="n">
        <v>7</v>
      </c>
      <c r="K1035" s="1" t="s">
        <v>19</v>
      </c>
    </row>
    <row r="1036" customFormat="false" ht="15" hidden="false" customHeight="true" outlineLevel="0" collapsed="false">
      <c r="A1036" s="1" t="s">
        <v>2206</v>
      </c>
      <c r="B1036" s="1" t="s">
        <v>180</v>
      </c>
      <c r="C1036" s="1" t="s">
        <v>2207</v>
      </c>
      <c r="D1036" s="1" t="n">
        <v>140.4</v>
      </c>
      <c r="E1036" s="1" t="s">
        <v>14</v>
      </c>
      <c r="F1036" s="1" t="s">
        <v>49</v>
      </c>
      <c r="G1036" s="1" t="s">
        <v>42</v>
      </c>
      <c r="H1036" s="1" t="s">
        <v>37</v>
      </c>
      <c r="I1036" s="1" t="s">
        <v>2199</v>
      </c>
      <c r="J1036" s="1" t="n">
        <v>8</v>
      </c>
      <c r="K1036" s="1" t="s">
        <v>19</v>
      </c>
    </row>
    <row r="1037" customFormat="false" ht="15" hidden="false" customHeight="true" outlineLevel="0" collapsed="false">
      <c r="A1037" s="1" t="s">
        <v>2208</v>
      </c>
      <c r="B1037" s="1" t="s">
        <v>61</v>
      </c>
      <c r="C1037" s="1" t="s">
        <v>2209</v>
      </c>
      <c r="D1037" s="1" t="n">
        <v>458.54</v>
      </c>
      <c r="E1037" s="1" t="s">
        <v>14</v>
      </c>
      <c r="F1037" s="1" t="s">
        <v>56</v>
      </c>
      <c r="G1037" s="1" t="s">
        <v>29</v>
      </c>
      <c r="H1037" s="1" t="s">
        <v>24</v>
      </c>
      <c r="I1037" s="1" t="s">
        <v>2199</v>
      </c>
      <c r="J1037" s="1" t="n">
        <v>11</v>
      </c>
      <c r="K1037" s="1" t="s">
        <v>19</v>
      </c>
    </row>
    <row r="1038" customFormat="false" ht="15" hidden="false" customHeight="true" outlineLevel="0" collapsed="false">
      <c r="A1038" s="1" t="s">
        <v>2210</v>
      </c>
      <c r="B1038" s="1" t="s">
        <v>120</v>
      </c>
      <c r="C1038" s="1" t="s">
        <v>2211</v>
      </c>
      <c r="D1038" s="1" t="n">
        <v>126.53</v>
      </c>
      <c r="E1038" s="1" t="s">
        <v>14</v>
      </c>
      <c r="F1038" s="1" t="s">
        <v>49</v>
      </c>
      <c r="G1038" s="1" t="s">
        <v>86</v>
      </c>
      <c r="H1038" s="1" t="s">
        <v>37</v>
      </c>
      <c r="I1038" s="1" t="s">
        <v>2199</v>
      </c>
      <c r="J1038" s="1" t="n">
        <v>13</v>
      </c>
      <c r="K1038" s="1" t="s">
        <v>19</v>
      </c>
    </row>
    <row r="1039" customFormat="false" ht="15" hidden="false" customHeight="true" outlineLevel="0" collapsed="false">
      <c r="A1039" s="1" t="s">
        <v>2212</v>
      </c>
      <c r="B1039" s="1" t="s">
        <v>64</v>
      </c>
      <c r="C1039" s="1" t="s">
        <v>2213</v>
      </c>
      <c r="D1039" s="1" t="n">
        <v>177.2</v>
      </c>
      <c r="E1039" s="1" t="s">
        <v>14</v>
      </c>
      <c r="F1039" s="1" t="s">
        <v>41</v>
      </c>
      <c r="G1039" s="1" t="s">
        <v>16</v>
      </c>
      <c r="H1039" s="1" t="s">
        <v>24</v>
      </c>
      <c r="I1039" s="1" t="s">
        <v>2199</v>
      </c>
      <c r="J1039" s="1" t="n">
        <v>14</v>
      </c>
      <c r="K1039" s="1" t="s">
        <v>19</v>
      </c>
    </row>
    <row r="1040" customFormat="false" ht="15" hidden="false" customHeight="true" outlineLevel="0" collapsed="false">
      <c r="A1040" s="1" t="s">
        <v>2214</v>
      </c>
      <c r="B1040" s="1" t="s">
        <v>302</v>
      </c>
      <c r="C1040" s="1" t="s">
        <v>2215</v>
      </c>
      <c r="D1040" s="1" t="n">
        <v>22.45</v>
      </c>
      <c r="E1040" s="1" t="s">
        <v>14</v>
      </c>
      <c r="F1040" s="1" t="s">
        <v>28</v>
      </c>
      <c r="G1040" s="1" t="s">
        <v>29</v>
      </c>
      <c r="H1040" s="1" t="s">
        <v>37</v>
      </c>
      <c r="I1040" s="1" t="s">
        <v>2199</v>
      </c>
      <c r="J1040" s="1" t="n">
        <v>17</v>
      </c>
      <c r="K1040" s="1" t="s">
        <v>19</v>
      </c>
    </row>
    <row r="1041" customFormat="false" ht="15" hidden="false" customHeight="true" outlineLevel="0" collapsed="false">
      <c r="A1041" s="1" t="s">
        <v>2216</v>
      </c>
      <c r="B1041" s="1" t="s">
        <v>39</v>
      </c>
      <c r="C1041" s="1" t="s">
        <v>2217</v>
      </c>
      <c r="D1041" s="1" t="n">
        <v>40.52</v>
      </c>
      <c r="E1041" s="1" t="s">
        <v>14</v>
      </c>
      <c r="F1041" s="1" t="s">
        <v>41</v>
      </c>
      <c r="G1041" s="1" t="s">
        <v>42</v>
      </c>
      <c r="H1041" s="1" t="s">
        <v>17</v>
      </c>
      <c r="I1041" s="1" t="s">
        <v>2199</v>
      </c>
      <c r="J1041" s="1" t="n">
        <v>17</v>
      </c>
      <c r="K1041" s="1" t="s">
        <v>19</v>
      </c>
    </row>
    <row r="1042" customFormat="false" ht="15" hidden="false" customHeight="true" outlineLevel="0" collapsed="false">
      <c r="A1042" s="1" t="s">
        <v>2218</v>
      </c>
      <c r="B1042" s="1" t="s">
        <v>101</v>
      </c>
      <c r="C1042" s="1" t="s">
        <v>2219</v>
      </c>
      <c r="D1042" s="1" t="n">
        <v>53.89</v>
      </c>
      <c r="E1042" s="1" t="s">
        <v>14</v>
      </c>
      <c r="F1042" s="1" t="s">
        <v>49</v>
      </c>
      <c r="G1042" s="1" t="s">
        <v>29</v>
      </c>
      <c r="H1042" s="1" t="s">
        <v>24</v>
      </c>
      <c r="I1042" s="1" t="s">
        <v>2199</v>
      </c>
      <c r="J1042" s="1" t="n">
        <v>17</v>
      </c>
      <c r="K1042" s="1" t="s">
        <v>19</v>
      </c>
    </row>
    <row r="1043" customFormat="false" ht="15" hidden="false" customHeight="true" outlineLevel="0" collapsed="false">
      <c r="A1043" s="1" t="s">
        <v>2220</v>
      </c>
      <c r="B1043" s="1" t="s">
        <v>132</v>
      </c>
      <c r="C1043" s="1" t="s">
        <v>2221</v>
      </c>
      <c r="D1043" s="1" t="n">
        <v>34.7</v>
      </c>
      <c r="E1043" s="1" t="s">
        <v>14</v>
      </c>
      <c r="F1043" s="1" t="s">
        <v>41</v>
      </c>
      <c r="G1043" s="1" t="s">
        <v>23</v>
      </c>
      <c r="H1043" s="1" t="s">
        <v>24</v>
      </c>
      <c r="I1043" s="1" t="s">
        <v>2199</v>
      </c>
      <c r="J1043" s="1" t="n">
        <v>18</v>
      </c>
      <c r="K1043" s="1" t="s">
        <v>19</v>
      </c>
    </row>
    <row r="1044" customFormat="false" ht="15" hidden="false" customHeight="true" outlineLevel="0" collapsed="false">
      <c r="A1044" s="1" t="s">
        <v>2222</v>
      </c>
      <c r="B1044" s="1" t="s">
        <v>113</v>
      </c>
      <c r="C1044" s="1" t="s">
        <v>2223</v>
      </c>
      <c r="D1044" s="1" t="n">
        <v>73.39</v>
      </c>
      <c r="E1044" s="1" t="s">
        <v>14</v>
      </c>
      <c r="F1044" s="1" t="s">
        <v>41</v>
      </c>
      <c r="G1044" s="1" t="s">
        <v>29</v>
      </c>
      <c r="H1044" s="1" t="s">
        <v>24</v>
      </c>
      <c r="I1044" s="1" t="s">
        <v>2199</v>
      </c>
      <c r="J1044" s="1" t="n">
        <v>21</v>
      </c>
      <c r="K1044" s="1" t="s">
        <v>19</v>
      </c>
    </row>
    <row r="1045" customFormat="false" ht="15" hidden="false" customHeight="true" outlineLevel="0" collapsed="false">
      <c r="A1045" s="1" t="s">
        <v>2224</v>
      </c>
      <c r="B1045" s="1" t="s">
        <v>496</v>
      </c>
      <c r="C1045" s="1" t="s">
        <v>2225</v>
      </c>
      <c r="D1045" s="1" t="n">
        <v>36.13</v>
      </c>
      <c r="E1045" s="1" t="s">
        <v>14</v>
      </c>
      <c r="F1045" s="1" t="s">
        <v>28</v>
      </c>
      <c r="G1045" s="1" t="s">
        <v>36</v>
      </c>
      <c r="H1045" s="1" t="s">
        <v>17</v>
      </c>
      <c r="I1045" s="1" t="s">
        <v>2226</v>
      </c>
      <c r="J1045" s="1" t="n">
        <v>0</v>
      </c>
      <c r="K1045" s="1" t="s">
        <v>67</v>
      </c>
    </row>
    <row r="1046" customFormat="false" ht="15" hidden="false" customHeight="true" outlineLevel="0" collapsed="false">
      <c r="A1046" s="1" t="s">
        <v>2227</v>
      </c>
      <c r="B1046" s="1" t="s">
        <v>321</v>
      </c>
      <c r="C1046" s="1" t="s">
        <v>2228</v>
      </c>
      <c r="D1046" s="1" t="n">
        <v>130.66</v>
      </c>
      <c r="E1046" s="1" t="s">
        <v>14</v>
      </c>
      <c r="F1046" s="1" t="s">
        <v>15</v>
      </c>
      <c r="G1046" s="1" t="s">
        <v>86</v>
      </c>
      <c r="H1046" s="1" t="s">
        <v>24</v>
      </c>
      <c r="I1046" s="1" t="s">
        <v>2226</v>
      </c>
      <c r="J1046" s="1" t="n">
        <v>3</v>
      </c>
      <c r="K1046" s="1" t="s">
        <v>67</v>
      </c>
    </row>
    <row r="1047" customFormat="false" ht="15" hidden="false" customHeight="true" outlineLevel="0" collapsed="false">
      <c r="A1047" s="1" t="s">
        <v>2229</v>
      </c>
      <c r="B1047" s="1" t="s">
        <v>302</v>
      </c>
      <c r="C1047" s="1" t="s">
        <v>2230</v>
      </c>
      <c r="D1047" s="1" t="n">
        <v>98.81</v>
      </c>
      <c r="E1047" s="1" t="s">
        <v>14</v>
      </c>
      <c r="F1047" s="1" t="s">
        <v>28</v>
      </c>
      <c r="G1047" s="1" t="s">
        <v>29</v>
      </c>
      <c r="H1047" s="1" t="s">
        <v>37</v>
      </c>
      <c r="I1047" s="1" t="s">
        <v>2226</v>
      </c>
      <c r="J1047" s="1" t="n">
        <v>3</v>
      </c>
      <c r="K1047" s="1" t="s">
        <v>67</v>
      </c>
    </row>
    <row r="1048" customFormat="false" ht="15" hidden="false" customHeight="true" outlineLevel="0" collapsed="false">
      <c r="A1048" s="1" t="s">
        <v>2231</v>
      </c>
      <c r="B1048" s="1" t="s">
        <v>39</v>
      </c>
      <c r="C1048" s="1" t="s">
        <v>2232</v>
      </c>
      <c r="D1048" s="1" t="n">
        <v>59.33</v>
      </c>
      <c r="E1048" s="1" t="s">
        <v>14</v>
      </c>
      <c r="F1048" s="1" t="s">
        <v>41</v>
      </c>
      <c r="G1048" s="1" t="s">
        <v>36</v>
      </c>
      <c r="H1048" s="1" t="s">
        <v>37</v>
      </c>
      <c r="I1048" s="1" t="s">
        <v>2226</v>
      </c>
      <c r="J1048" s="1" t="n">
        <v>5</v>
      </c>
      <c r="K1048" s="1" t="s">
        <v>67</v>
      </c>
    </row>
    <row r="1049" customFormat="false" ht="15" hidden="false" customHeight="true" outlineLevel="0" collapsed="false">
      <c r="A1049" s="1" t="s">
        <v>2233</v>
      </c>
      <c r="B1049" s="1" t="s">
        <v>196</v>
      </c>
      <c r="C1049" s="1" t="s">
        <v>2234</v>
      </c>
      <c r="D1049" s="1" t="n">
        <v>198.7</v>
      </c>
      <c r="E1049" s="1" t="s">
        <v>14</v>
      </c>
      <c r="F1049" s="1" t="s">
        <v>15</v>
      </c>
      <c r="G1049" s="1" t="s">
        <v>86</v>
      </c>
      <c r="H1049" s="1" t="s">
        <v>17</v>
      </c>
      <c r="I1049" s="1" t="s">
        <v>2226</v>
      </c>
      <c r="J1049" s="1" t="n">
        <v>6</v>
      </c>
      <c r="K1049" s="1" t="s">
        <v>67</v>
      </c>
    </row>
    <row r="1050" customFormat="false" ht="15" hidden="false" customHeight="true" outlineLevel="0" collapsed="false">
      <c r="A1050" s="1" t="s">
        <v>2235</v>
      </c>
      <c r="B1050" s="1" t="s">
        <v>183</v>
      </c>
      <c r="C1050" s="1" t="s">
        <v>2236</v>
      </c>
      <c r="D1050" s="1" t="n">
        <v>17.06</v>
      </c>
      <c r="E1050" s="1" t="s">
        <v>14</v>
      </c>
      <c r="F1050" s="1" t="s">
        <v>15</v>
      </c>
      <c r="G1050" s="1" t="s">
        <v>29</v>
      </c>
      <c r="H1050" s="1" t="s">
        <v>17</v>
      </c>
      <c r="I1050" s="1" t="s">
        <v>2226</v>
      </c>
      <c r="J1050" s="1" t="n">
        <v>8</v>
      </c>
      <c r="K1050" s="1" t="s">
        <v>67</v>
      </c>
    </row>
    <row r="1051" customFormat="false" ht="15" hidden="false" customHeight="true" outlineLevel="0" collapsed="false">
      <c r="A1051" s="1" t="s">
        <v>2237</v>
      </c>
      <c r="B1051" s="1" t="s">
        <v>125</v>
      </c>
      <c r="C1051" s="1" t="s">
        <v>2238</v>
      </c>
      <c r="D1051" s="1" t="n">
        <v>76.35</v>
      </c>
      <c r="E1051" s="1" t="s">
        <v>14</v>
      </c>
      <c r="F1051" s="1" t="s">
        <v>28</v>
      </c>
      <c r="G1051" s="1" t="s">
        <v>36</v>
      </c>
      <c r="H1051" s="1" t="s">
        <v>24</v>
      </c>
      <c r="I1051" s="1" t="s">
        <v>2226</v>
      </c>
      <c r="J1051" s="1" t="n">
        <v>9</v>
      </c>
      <c r="K1051" s="1" t="s">
        <v>67</v>
      </c>
    </row>
    <row r="1052" customFormat="false" ht="15" hidden="false" customHeight="true" outlineLevel="0" collapsed="false">
      <c r="A1052" s="1" t="s">
        <v>2239</v>
      </c>
      <c r="B1052" s="1" t="s">
        <v>90</v>
      </c>
      <c r="C1052" s="1" t="s">
        <v>2240</v>
      </c>
      <c r="D1052" s="1" t="n">
        <v>32.67</v>
      </c>
      <c r="E1052" s="1" t="s">
        <v>14</v>
      </c>
      <c r="F1052" s="1" t="s">
        <v>41</v>
      </c>
      <c r="G1052" s="1" t="s">
        <v>16</v>
      </c>
      <c r="H1052" s="1" t="s">
        <v>37</v>
      </c>
      <c r="I1052" s="1" t="s">
        <v>2226</v>
      </c>
      <c r="J1052" s="1" t="n">
        <v>11</v>
      </c>
      <c r="K1052" s="1" t="s">
        <v>67</v>
      </c>
    </row>
    <row r="1053" customFormat="false" ht="15" hidden="false" customHeight="true" outlineLevel="0" collapsed="false">
      <c r="A1053" s="1" t="s">
        <v>2241</v>
      </c>
      <c r="B1053" s="1" t="s">
        <v>58</v>
      </c>
      <c r="C1053" s="1" t="s">
        <v>2242</v>
      </c>
      <c r="D1053" s="1" t="n">
        <v>29.45</v>
      </c>
      <c r="E1053" s="1" t="s">
        <v>14</v>
      </c>
      <c r="F1053" s="1" t="s">
        <v>15</v>
      </c>
      <c r="G1053" s="1" t="s">
        <v>82</v>
      </c>
      <c r="H1053" s="1" t="s">
        <v>24</v>
      </c>
      <c r="I1053" s="1" t="s">
        <v>2226</v>
      </c>
      <c r="J1053" s="1" t="n">
        <v>13</v>
      </c>
      <c r="K1053" s="1" t="s">
        <v>67</v>
      </c>
    </row>
    <row r="1054" customFormat="false" ht="15" hidden="false" customHeight="true" outlineLevel="0" collapsed="false">
      <c r="A1054" s="1" t="s">
        <v>2243</v>
      </c>
      <c r="B1054" s="1" t="s">
        <v>235</v>
      </c>
      <c r="C1054" s="1" t="s">
        <v>2244</v>
      </c>
      <c r="D1054" s="1" t="n">
        <v>72.94</v>
      </c>
      <c r="E1054" s="1" t="s">
        <v>14</v>
      </c>
      <c r="F1054" s="1" t="s">
        <v>41</v>
      </c>
      <c r="G1054" s="1" t="s">
        <v>23</v>
      </c>
      <c r="H1054" s="1" t="s">
        <v>37</v>
      </c>
      <c r="I1054" s="1" t="s">
        <v>2226</v>
      </c>
      <c r="J1054" s="1" t="n">
        <v>14</v>
      </c>
      <c r="K1054" s="1" t="s">
        <v>67</v>
      </c>
    </row>
    <row r="1055" customFormat="false" ht="15" hidden="false" customHeight="true" outlineLevel="0" collapsed="false">
      <c r="A1055" s="1" t="s">
        <v>2245</v>
      </c>
      <c r="B1055" s="1" t="s">
        <v>80</v>
      </c>
      <c r="C1055" s="1" t="s">
        <v>2246</v>
      </c>
      <c r="D1055" s="1" t="n">
        <v>24.54</v>
      </c>
      <c r="E1055" s="1" t="s">
        <v>14</v>
      </c>
      <c r="F1055" s="1" t="s">
        <v>56</v>
      </c>
      <c r="G1055" s="1" t="s">
        <v>36</v>
      </c>
      <c r="H1055" s="1" t="s">
        <v>24</v>
      </c>
      <c r="I1055" s="1" t="s">
        <v>2226</v>
      </c>
      <c r="J1055" s="1" t="n">
        <v>14</v>
      </c>
      <c r="K1055" s="1" t="s">
        <v>67</v>
      </c>
    </row>
    <row r="1056" customFormat="false" ht="15" hidden="false" customHeight="true" outlineLevel="0" collapsed="false">
      <c r="A1056" s="1" t="s">
        <v>2247</v>
      </c>
      <c r="B1056" s="1" t="s">
        <v>173</v>
      </c>
      <c r="C1056" s="1" t="s">
        <v>2248</v>
      </c>
      <c r="D1056" s="1" t="n">
        <v>361.09</v>
      </c>
      <c r="E1056" s="1" t="s">
        <v>14</v>
      </c>
      <c r="F1056" s="1" t="s">
        <v>28</v>
      </c>
      <c r="G1056" s="1" t="s">
        <v>86</v>
      </c>
      <c r="H1056" s="1" t="s">
        <v>37</v>
      </c>
      <c r="I1056" s="1" t="s">
        <v>2226</v>
      </c>
      <c r="J1056" s="1" t="n">
        <v>14</v>
      </c>
      <c r="K1056" s="1" t="s">
        <v>67</v>
      </c>
    </row>
    <row r="1057" customFormat="false" ht="15" hidden="false" customHeight="true" outlineLevel="0" collapsed="false">
      <c r="A1057" s="1" t="s">
        <v>2249</v>
      </c>
      <c r="B1057" s="1" t="s">
        <v>659</v>
      </c>
      <c r="C1057" s="1" t="s">
        <v>2250</v>
      </c>
      <c r="D1057" s="1" t="n">
        <v>111.65</v>
      </c>
      <c r="E1057" s="1" t="s">
        <v>14</v>
      </c>
      <c r="F1057" s="1" t="s">
        <v>15</v>
      </c>
      <c r="G1057" s="1" t="s">
        <v>86</v>
      </c>
      <c r="H1057" s="1" t="s">
        <v>17</v>
      </c>
      <c r="I1057" s="1" t="s">
        <v>2226</v>
      </c>
      <c r="J1057" s="1" t="n">
        <v>16</v>
      </c>
      <c r="K1057" s="1" t="s">
        <v>67</v>
      </c>
    </row>
    <row r="1058" customFormat="false" ht="15" hidden="false" customHeight="true" outlineLevel="0" collapsed="false">
      <c r="A1058" s="1" t="s">
        <v>2251</v>
      </c>
      <c r="B1058" s="1" t="s">
        <v>344</v>
      </c>
      <c r="C1058" s="1" t="s">
        <v>2252</v>
      </c>
      <c r="D1058" s="1" t="n">
        <v>34.93</v>
      </c>
      <c r="E1058" s="1" t="s">
        <v>14</v>
      </c>
      <c r="F1058" s="1" t="s">
        <v>49</v>
      </c>
      <c r="G1058" s="1" t="s">
        <v>82</v>
      </c>
      <c r="H1058" s="1" t="s">
        <v>24</v>
      </c>
      <c r="I1058" s="1" t="s">
        <v>2226</v>
      </c>
      <c r="J1058" s="1" t="n">
        <v>17</v>
      </c>
      <c r="K1058" s="1" t="s">
        <v>67</v>
      </c>
    </row>
    <row r="1059" customFormat="false" ht="15" hidden="false" customHeight="true" outlineLevel="0" collapsed="false">
      <c r="A1059" s="1" t="s">
        <v>2253</v>
      </c>
      <c r="B1059" s="1" t="s">
        <v>140</v>
      </c>
      <c r="C1059" s="1" t="s">
        <v>2254</v>
      </c>
      <c r="D1059" s="1" t="n">
        <v>15.41</v>
      </c>
      <c r="E1059" s="1" t="s">
        <v>14</v>
      </c>
      <c r="F1059" s="1" t="s">
        <v>41</v>
      </c>
      <c r="G1059" s="1" t="s">
        <v>23</v>
      </c>
      <c r="H1059" s="1" t="s">
        <v>24</v>
      </c>
      <c r="I1059" s="1" t="s">
        <v>2226</v>
      </c>
      <c r="J1059" s="1" t="n">
        <v>17</v>
      </c>
      <c r="K1059" s="1" t="s">
        <v>67</v>
      </c>
    </row>
    <row r="1060" customFormat="false" ht="15" hidden="false" customHeight="true" outlineLevel="0" collapsed="false">
      <c r="A1060" s="1" t="s">
        <v>2255</v>
      </c>
      <c r="B1060" s="1" t="s">
        <v>101</v>
      </c>
      <c r="C1060" s="1" t="s">
        <v>2256</v>
      </c>
      <c r="D1060" s="1" t="n">
        <v>43.61</v>
      </c>
      <c r="E1060" s="1" t="s">
        <v>14</v>
      </c>
      <c r="F1060" s="1" t="s">
        <v>49</v>
      </c>
      <c r="G1060" s="1" t="s">
        <v>36</v>
      </c>
      <c r="H1060" s="1" t="s">
        <v>37</v>
      </c>
      <c r="I1060" s="1" t="s">
        <v>2226</v>
      </c>
      <c r="J1060" s="1" t="n">
        <v>19</v>
      </c>
      <c r="K1060" s="1" t="s">
        <v>67</v>
      </c>
    </row>
    <row r="1061" customFormat="false" ht="15" hidden="false" customHeight="true" outlineLevel="0" collapsed="false">
      <c r="A1061" s="1" t="s">
        <v>2257</v>
      </c>
      <c r="B1061" s="1" t="s">
        <v>228</v>
      </c>
      <c r="C1061" s="1" t="s">
        <v>2258</v>
      </c>
      <c r="D1061" s="1" t="n">
        <v>18.12</v>
      </c>
      <c r="E1061" s="1" t="s">
        <v>14</v>
      </c>
      <c r="F1061" s="1" t="s">
        <v>28</v>
      </c>
      <c r="G1061" s="1" t="s">
        <v>36</v>
      </c>
      <c r="H1061" s="1" t="s">
        <v>17</v>
      </c>
      <c r="I1061" s="1" t="s">
        <v>2259</v>
      </c>
      <c r="J1061" s="1" t="n">
        <v>3</v>
      </c>
      <c r="K1061" s="1" t="s">
        <v>123</v>
      </c>
    </row>
    <row r="1062" customFormat="false" ht="15" hidden="false" customHeight="true" outlineLevel="0" collapsed="false">
      <c r="A1062" s="1" t="s">
        <v>2260</v>
      </c>
      <c r="B1062" s="1" t="s">
        <v>173</v>
      </c>
      <c r="C1062" s="1" t="s">
        <v>2261</v>
      </c>
      <c r="D1062" s="1" t="n">
        <v>256.32</v>
      </c>
      <c r="E1062" s="1" t="s">
        <v>14</v>
      </c>
      <c r="F1062" s="1" t="s">
        <v>28</v>
      </c>
      <c r="G1062" s="1" t="s">
        <v>29</v>
      </c>
      <c r="H1062" s="1" t="s">
        <v>17</v>
      </c>
      <c r="I1062" s="1" t="s">
        <v>2259</v>
      </c>
      <c r="J1062" s="1" t="n">
        <v>5</v>
      </c>
      <c r="K1062" s="1" t="s">
        <v>123</v>
      </c>
    </row>
    <row r="1063" customFormat="false" ht="15" hidden="false" customHeight="true" outlineLevel="0" collapsed="false">
      <c r="A1063" s="1" t="s">
        <v>2262</v>
      </c>
      <c r="B1063" s="1" t="s">
        <v>90</v>
      </c>
      <c r="C1063" s="1" t="s">
        <v>2263</v>
      </c>
      <c r="D1063" s="1" t="n">
        <v>22.69</v>
      </c>
      <c r="E1063" s="1" t="s">
        <v>14</v>
      </c>
      <c r="F1063" s="1" t="s">
        <v>41</v>
      </c>
      <c r="G1063" s="1" t="s">
        <v>16</v>
      </c>
      <c r="H1063" s="1" t="s">
        <v>24</v>
      </c>
      <c r="I1063" s="1" t="s">
        <v>2259</v>
      </c>
      <c r="J1063" s="1" t="n">
        <v>9</v>
      </c>
      <c r="K1063" s="1" t="s">
        <v>123</v>
      </c>
    </row>
    <row r="1064" customFormat="false" ht="15" hidden="false" customHeight="true" outlineLevel="0" collapsed="false">
      <c r="A1064" s="1" t="s">
        <v>2264</v>
      </c>
      <c r="B1064" s="1" t="s">
        <v>64</v>
      </c>
      <c r="C1064" s="1" t="s">
        <v>2265</v>
      </c>
      <c r="D1064" s="1" t="n">
        <v>67.31</v>
      </c>
      <c r="E1064" s="1" t="s">
        <v>14</v>
      </c>
      <c r="F1064" s="1" t="s">
        <v>41</v>
      </c>
      <c r="G1064" s="1" t="s">
        <v>29</v>
      </c>
      <c r="H1064" s="1" t="s">
        <v>24</v>
      </c>
      <c r="I1064" s="1" t="s">
        <v>2259</v>
      </c>
      <c r="J1064" s="1" t="n">
        <v>10</v>
      </c>
      <c r="K1064" s="1" t="s">
        <v>123</v>
      </c>
    </row>
    <row r="1065" customFormat="false" ht="15" hidden="false" customHeight="true" outlineLevel="0" collapsed="false">
      <c r="A1065" s="1" t="s">
        <v>2266</v>
      </c>
      <c r="B1065" s="1" t="s">
        <v>332</v>
      </c>
      <c r="C1065" s="1" t="s">
        <v>2267</v>
      </c>
      <c r="D1065" s="1" t="n">
        <v>53.3</v>
      </c>
      <c r="E1065" s="1" t="s">
        <v>14</v>
      </c>
      <c r="F1065" s="1" t="s">
        <v>49</v>
      </c>
      <c r="G1065" s="1" t="s">
        <v>42</v>
      </c>
      <c r="H1065" s="1" t="s">
        <v>17</v>
      </c>
      <c r="I1065" s="1" t="s">
        <v>2259</v>
      </c>
      <c r="J1065" s="1" t="n">
        <v>10</v>
      </c>
      <c r="K1065" s="1" t="s">
        <v>123</v>
      </c>
    </row>
    <row r="1066" customFormat="false" ht="15" hidden="false" customHeight="true" outlineLevel="0" collapsed="false">
      <c r="A1066" s="1" t="s">
        <v>2268</v>
      </c>
      <c r="B1066" s="1" t="s">
        <v>302</v>
      </c>
      <c r="C1066" s="1" t="s">
        <v>2269</v>
      </c>
      <c r="D1066" s="1" t="n">
        <v>28.63</v>
      </c>
      <c r="E1066" s="1" t="s">
        <v>14</v>
      </c>
      <c r="F1066" s="1" t="s">
        <v>28</v>
      </c>
      <c r="G1066" s="1" t="s">
        <v>86</v>
      </c>
      <c r="H1066" s="1" t="s">
        <v>37</v>
      </c>
      <c r="I1066" s="1" t="s">
        <v>2259</v>
      </c>
      <c r="J1066" s="1" t="n">
        <v>10</v>
      </c>
      <c r="K1066" s="1" t="s">
        <v>123</v>
      </c>
    </row>
    <row r="1067" customFormat="false" ht="15" hidden="false" customHeight="true" outlineLevel="0" collapsed="false">
      <c r="A1067" s="1" t="s">
        <v>2270</v>
      </c>
      <c r="B1067" s="1" t="s">
        <v>170</v>
      </c>
      <c r="C1067" s="1" t="s">
        <v>2271</v>
      </c>
      <c r="D1067" s="1" t="n">
        <v>72.12</v>
      </c>
      <c r="E1067" s="1" t="s">
        <v>14</v>
      </c>
      <c r="F1067" s="1" t="s">
        <v>41</v>
      </c>
      <c r="G1067" s="1" t="s">
        <v>82</v>
      </c>
      <c r="H1067" s="1" t="s">
        <v>24</v>
      </c>
      <c r="I1067" s="1" t="s">
        <v>2259</v>
      </c>
      <c r="J1067" s="1" t="n">
        <v>10</v>
      </c>
      <c r="K1067" s="1" t="s">
        <v>123</v>
      </c>
    </row>
    <row r="1068" customFormat="false" ht="15" hidden="false" customHeight="true" outlineLevel="0" collapsed="false">
      <c r="A1068" s="1" t="s">
        <v>2272</v>
      </c>
      <c r="B1068" s="1" t="s">
        <v>332</v>
      </c>
      <c r="C1068" s="1" t="s">
        <v>2273</v>
      </c>
      <c r="D1068" s="1" t="n">
        <v>293.09</v>
      </c>
      <c r="E1068" s="1" t="s">
        <v>14</v>
      </c>
      <c r="F1068" s="1" t="s">
        <v>49</v>
      </c>
      <c r="G1068" s="1" t="s">
        <v>86</v>
      </c>
      <c r="H1068" s="1" t="s">
        <v>24</v>
      </c>
      <c r="I1068" s="1" t="s">
        <v>2259</v>
      </c>
      <c r="J1068" s="1" t="n">
        <v>11</v>
      </c>
      <c r="K1068" s="1" t="s">
        <v>123</v>
      </c>
    </row>
    <row r="1069" customFormat="false" ht="15" hidden="false" customHeight="true" outlineLevel="0" collapsed="false">
      <c r="A1069" s="1" t="s">
        <v>2274</v>
      </c>
      <c r="B1069" s="1" t="s">
        <v>120</v>
      </c>
      <c r="C1069" s="1" t="s">
        <v>2275</v>
      </c>
      <c r="D1069" s="1" t="n">
        <v>58.67</v>
      </c>
      <c r="E1069" s="1" t="s">
        <v>14</v>
      </c>
      <c r="F1069" s="1" t="s">
        <v>49</v>
      </c>
      <c r="G1069" s="1" t="s">
        <v>29</v>
      </c>
      <c r="H1069" s="1" t="s">
        <v>37</v>
      </c>
      <c r="I1069" s="1" t="s">
        <v>2259</v>
      </c>
      <c r="J1069" s="1" t="n">
        <v>11</v>
      </c>
      <c r="K1069" s="1" t="s">
        <v>123</v>
      </c>
    </row>
    <row r="1070" customFormat="false" ht="15" hidden="false" customHeight="true" outlineLevel="0" collapsed="false">
      <c r="A1070" s="1" t="s">
        <v>2276</v>
      </c>
      <c r="B1070" s="1" t="s">
        <v>190</v>
      </c>
      <c r="C1070" s="1" t="s">
        <v>2277</v>
      </c>
      <c r="D1070" s="1" t="n">
        <v>165.48</v>
      </c>
      <c r="E1070" s="1" t="s">
        <v>14</v>
      </c>
      <c r="F1070" s="1" t="s">
        <v>49</v>
      </c>
      <c r="G1070" s="1" t="s">
        <v>36</v>
      </c>
      <c r="H1070" s="1" t="s">
        <v>24</v>
      </c>
      <c r="I1070" s="1" t="s">
        <v>2259</v>
      </c>
      <c r="J1070" s="1" t="n">
        <v>12</v>
      </c>
      <c r="K1070" s="1" t="s">
        <v>123</v>
      </c>
    </row>
    <row r="1071" customFormat="false" ht="15" hidden="false" customHeight="true" outlineLevel="0" collapsed="false">
      <c r="A1071" s="1" t="s">
        <v>2278</v>
      </c>
      <c r="B1071" s="1" t="s">
        <v>39</v>
      </c>
      <c r="C1071" s="1" t="s">
        <v>2279</v>
      </c>
      <c r="D1071" s="1" t="n">
        <v>19.44</v>
      </c>
      <c r="E1071" s="1" t="s">
        <v>14</v>
      </c>
      <c r="F1071" s="1" t="s">
        <v>41</v>
      </c>
      <c r="G1071" s="1" t="s">
        <v>23</v>
      </c>
      <c r="H1071" s="1" t="s">
        <v>17</v>
      </c>
      <c r="I1071" s="1" t="s">
        <v>2259</v>
      </c>
      <c r="J1071" s="1" t="n">
        <v>13</v>
      </c>
      <c r="K1071" s="1" t="s">
        <v>123</v>
      </c>
    </row>
    <row r="1072" customFormat="false" ht="15" hidden="false" customHeight="true" outlineLevel="0" collapsed="false">
      <c r="A1072" s="1" t="s">
        <v>2280</v>
      </c>
      <c r="B1072" s="1" t="s">
        <v>84</v>
      </c>
      <c r="C1072" s="1" t="s">
        <v>2281</v>
      </c>
      <c r="D1072" s="1" t="n">
        <v>152.33</v>
      </c>
      <c r="E1072" s="1" t="s">
        <v>14</v>
      </c>
      <c r="F1072" s="1" t="s">
        <v>56</v>
      </c>
      <c r="G1072" s="1" t="s">
        <v>70</v>
      </c>
      <c r="H1072" s="1" t="s">
        <v>17</v>
      </c>
      <c r="I1072" s="1" t="s">
        <v>2259</v>
      </c>
      <c r="J1072" s="1" t="n">
        <v>13</v>
      </c>
      <c r="K1072" s="1" t="s">
        <v>123</v>
      </c>
    </row>
    <row r="1073" customFormat="false" ht="15" hidden="false" customHeight="true" outlineLevel="0" collapsed="false">
      <c r="A1073" s="1" t="s">
        <v>2282</v>
      </c>
      <c r="B1073" s="1" t="s">
        <v>51</v>
      </c>
      <c r="C1073" s="1" t="s">
        <v>2283</v>
      </c>
      <c r="D1073" s="1" t="n">
        <v>43.64</v>
      </c>
      <c r="E1073" s="1" t="s">
        <v>14</v>
      </c>
      <c r="F1073" s="1" t="s">
        <v>41</v>
      </c>
      <c r="G1073" s="1" t="s">
        <v>36</v>
      </c>
      <c r="H1073" s="1" t="s">
        <v>37</v>
      </c>
      <c r="I1073" s="1" t="s">
        <v>2259</v>
      </c>
      <c r="J1073" s="1" t="n">
        <v>13</v>
      </c>
      <c r="K1073" s="1" t="s">
        <v>123</v>
      </c>
    </row>
    <row r="1074" customFormat="false" ht="15" hidden="false" customHeight="true" outlineLevel="0" collapsed="false">
      <c r="A1074" s="1" t="s">
        <v>2284</v>
      </c>
      <c r="B1074" s="1" t="s">
        <v>183</v>
      </c>
      <c r="C1074" s="1" t="s">
        <v>2285</v>
      </c>
      <c r="D1074" s="1" t="n">
        <v>126.8</v>
      </c>
      <c r="E1074" s="1" t="s">
        <v>14</v>
      </c>
      <c r="F1074" s="1" t="s">
        <v>15</v>
      </c>
      <c r="G1074" s="1" t="s">
        <v>86</v>
      </c>
      <c r="H1074" s="1" t="s">
        <v>37</v>
      </c>
      <c r="I1074" s="1" t="s">
        <v>2259</v>
      </c>
      <c r="J1074" s="1" t="n">
        <v>15</v>
      </c>
      <c r="K1074" s="1" t="s">
        <v>123</v>
      </c>
    </row>
    <row r="1075" customFormat="false" ht="15" hidden="false" customHeight="true" outlineLevel="0" collapsed="false">
      <c r="A1075" s="1" t="s">
        <v>2286</v>
      </c>
      <c r="B1075" s="1" t="s">
        <v>162</v>
      </c>
      <c r="C1075" s="1" t="s">
        <v>2287</v>
      </c>
      <c r="D1075" s="1" t="n">
        <v>17.62</v>
      </c>
      <c r="E1075" s="1" t="s">
        <v>14</v>
      </c>
      <c r="F1075" s="1" t="s">
        <v>49</v>
      </c>
      <c r="G1075" s="1" t="s">
        <v>70</v>
      </c>
      <c r="H1075" s="1" t="s">
        <v>37</v>
      </c>
      <c r="I1075" s="1" t="s">
        <v>2259</v>
      </c>
      <c r="J1075" s="1" t="n">
        <v>15</v>
      </c>
      <c r="K1075" s="1" t="s">
        <v>123</v>
      </c>
    </row>
    <row r="1076" customFormat="false" ht="15" hidden="false" customHeight="true" outlineLevel="0" collapsed="false">
      <c r="A1076" s="1" t="s">
        <v>2288</v>
      </c>
      <c r="B1076" s="1" t="s">
        <v>193</v>
      </c>
      <c r="C1076" s="1" t="s">
        <v>2289</v>
      </c>
      <c r="D1076" s="1" t="n">
        <v>362.79</v>
      </c>
      <c r="E1076" s="1" t="s">
        <v>14</v>
      </c>
      <c r="F1076" s="1" t="s">
        <v>15</v>
      </c>
      <c r="G1076" s="1" t="s">
        <v>82</v>
      </c>
      <c r="H1076" s="1" t="s">
        <v>37</v>
      </c>
      <c r="I1076" s="1" t="s">
        <v>2259</v>
      </c>
      <c r="J1076" s="1" t="n">
        <v>15</v>
      </c>
      <c r="K1076" s="1" t="s">
        <v>123</v>
      </c>
    </row>
    <row r="1077" customFormat="false" ht="15" hidden="false" customHeight="true" outlineLevel="0" collapsed="false">
      <c r="A1077" s="1" t="s">
        <v>2290</v>
      </c>
      <c r="B1077" s="1" t="s">
        <v>180</v>
      </c>
      <c r="C1077" s="1" t="s">
        <v>2291</v>
      </c>
      <c r="D1077" s="1" t="n">
        <v>246.7</v>
      </c>
      <c r="E1077" s="1" t="s">
        <v>14</v>
      </c>
      <c r="F1077" s="1" t="s">
        <v>49</v>
      </c>
      <c r="G1077" s="1" t="s">
        <v>86</v>
      </c>
      <c r="H1077" s="1" t="s">
        <v>37</v>
      </c>
      <c r="I1077" s="1" t="s">
        <v>2259</v>
      </c>
      <c r="J1077" s="1" t="n">
        <v>17</v>
      </c>
      <c r="K1077" s="1" t="s">
        <v>123</v>
      </c>
    </row>
    <row r="1078" customFormat="false" ht="15" hidden="false" customHeight="true" outlineLevel="0" collapsed="false">
      <c r="A1078" s="1" t="s">
        <v>2292</v>
      </c>
      <c r="B1078" s="1" t="s">
        <v>140</v>
      </c>
      <c r="C1078" s="1" t="s">
        <v>2293</v>
      </c>
      <c r="D1078" s="1" t="n">
        <v>63.74</v>
      </c>
      <c r="E1078" s="1" t="s">
        <v>14</v>
      </c>
      <c r="F1078" s="1" t="s">
        <v>41</v>
      </c>
      <c r="G1078" s="1" t="s">
        <v>16</v>
      </c>
      <c r="H1078" s="1" t="s">
        <v>17</v>
      </c>
      <c r="I1078" s="1" t="s">
        <v>2259</v>
      </c>
      <c r="J1078" s="1" t="n">
        <v>18</v>
      </c>
      <c r="K1078" s="1" t="s">
        <v>123</v>
      </c>
    </row>
    <row r="1079" customFormat="false" ht="15" hidden="false" customHeight="true" outlineLevel="0" collapsed="false">
      <c r="A1079" s="1" t="s">
        <v>2294</v>
      </c>
      <c r="B1079" s="1" t="s">
        <v>302</v>
      </c>
      <c r="C1079" s="1" t="s">
        <v>2295</v>
      </c>
      <c r="D1079" s="1" t="n">
        <v>55.03</v>
      </c>
      <c r="E1079" s="1" t="s">
        <v>14</v>
      </c>
      <c r="F1079" s="1" t="s">
        <v>28</v>
      </c>
      <c r="G1079" s="1" t="s">
        <v>16</v>
      </c>
      <c r="H1079" s="1" t="s">
        <v>24</v>
      </c>
      <c r="I1079" s="1" t="s">
        <v>2296</v>
      </c>
      <c r="J1079" s="1" t="n">
        <v>3</v>
      </c>
      <c r="K1079" s="1" t="s">
        <v>151</v>
      </c>
    </row>
    <row r="1080" customFormat="false" ht="15" hidden="false" customHeight="true" outlineLevel="0" collapsed="false">
      <c r="A1080" s="1" t="s">
        <v>2297</v>
      </c>
      <c r="B1080" s="1" t="s">
        <v>332</v>
      </c>
      <c r="C1080" s="1" t="s">
        <v>2298</v>
      </c>
      <c r="D1080" s="1" t="n">
        <v>4414.16</v>
      </c>
      <c r="E1080" s="1" t="s">
        <v>14</v>
      </c>
      <c r="F1080" s="1" t="s">
        <v>49</v>
      </c>
      <c r="G1080" s="1" t="s">
        <v>82</v>
      </c>
      <c r="H1080" s="1" t="s">
        <v>17</v>
      </c>
      <c r="I1080" s="1" t="s">
        <v>2296</v>
      </c>
      <c r="J1080" s="1" t="n">
        <v>4</v>
      </c>
      <c r="K1080" s="1" t="s">
        <v>151</v>
      </c>
    </row>
    <row r="1081" customFormat="false" ht="15" hidden="false" customHeight="true" outlineLevel="0" collapsed="false">
      <c r="A1081" s="1" t="s">
        <v>2299</v>
      </c>
      <c r="B1081" s="1" t="s">
        <v>61</v>
      </c>
      <c r="C1081" s="1" t="s">
        <v>2300</v>
      </c>
      <c r="D1081" s="1" t="n">
        <v>118.11</v>
      </c>
      <c r="E1081" s="1" t="s">
        <v>14</v>
      </c>
      <c r="F1081" s="1" t="s">
        <v>56</v>
      </c>
      <c r="G1081" s="1" t="s">
        <v>23</v>
      </c>
      <c r="H1081" s="1" t="s">
        <v>17</v>
      </c>
      <c r="I1081" s="1" t="s">
        <v>2296</v>
      </c>
      <c r="J1081" s="1" t="n">
        <v>5</v>
      </c>
      <c r="K1081" s="1" t="s">
        <v>151</v>
      </c>
    </row>
    <row r="1082" customFormat="false" ht="15" hidden="false" customHeight="true" outlineLevel="0" collapsed="false">
      <c r="A1082" s="1" t="s">
        <v>2301</v>
      </c>
      <c r="B1082" s="1" t="s">
        <v>291</v>
      </c>
      <c r="C1082" s="1" t="s">
        <v>2302</v>
      </c>
      <c r="D1082" s="1" t="n">
        <v>79.2</v>
      </c>
      <c r="E1082" s="1" t="s">
        <v>14</v>
      </c>
      <c r="F1082" s="1" t="s">
        <v>28</v>
      </c>
      <c r="G1082" s="1" t="s">
        <v>36</v>
      </c>
      <c r="H1082" s="1" t="s">
        <v>24</v>
      </c>
      <c r="I1082" s="1" t="s">
        <v>2296</v>
      </c>
      <c r="J1082" s="1" t="n">
        <v>5</v>
      </c>
      <c r="K1082" s="1" t="s">
        <v>151</v>
      </c>
    </row>
    <row r="1083" customFormat="false" ht="15" hidden="false" customHeight="true" outlineLevel="0" collapsed="false">
      <c r="A1083" s="1" t="s">
        <v>2303</v>
      </c>
      <c r="B1083" s="1" t="s">
        <v>487</v>
      </c>
      <c r="C1083" s="1" t="s">
        <v>2304</v>
      </c>
      <c r="D1083" s="1" t="n">
        <v>156.86</v>
      </c>
      <c r="E1083" s="1" t="s">
        <v>14</v>
      </c>
      <c r="F1083" s="1" t="s">
        <v>49</v>
      </c>
      <c r="G1083" s="1" t="s">
        <v>36</v>
      </c>
      <c r="H1083" s="1" t="s">
        <v>37</v>
      </c>
      <c r="I1083" s="1" t="s">
        <v>2296</v>
      </c>
      <c r="J1083" s="1" t="n">
        <v>6</v>
      </c>
      <c r="K1083" s="1" t="s">
        <v>151</v>
      </c>
    </row>
    <row r="1084" customFormat="false" ht="15" hidden="false" customHeight="true" outlineLevel="0" collapsed="false">
      <c r="A1084" s="1" t="s">
        <v>2305</v>
      </c>
      <c r="B1084" s="1" t="s">
        <v>51</v>
      </c>
      <c r="C1084" s="1" t="s">
        <v>2306</v>
      </c>
      <c r="D1084" s="1" t="n">
        <v>106.42</v>
      </c>
      <c r="E1084" s="1" t="s">
        <v>14</v>
      </c>
      <c r="F1084" s="1" t="s">
        <v>41</v>
      </c>
      <c r="G1084" s="1" t="s">
        <v>23</v>
      </c>
      <c r="H1084" s="1" t="s">
        <v>24</v>
      </c>
      <c r="I1084" s="1" t="s">
        <v>2296</v>
      </c>
      <c r="J1084" s="1" t="n">
        <v>8</v>
      </c>
      <c r="K1084" s="1" t="s">
        <v>151</v>
      </c>
    </row>
    <row r="1085" customFormat="false" ht="15" hidden="false" customHeight="true" outlineLevel="0" collapsed="false">
      <c r="A1085" s="1" t="s">
        <v>2307</v>
      </c>
      <c r="B1085" s="1" t="s">
        <v>487</v>
      </c>
      <c r="C1085" s="1" t="s">
        <v>2308</v>
      </c>
      <c r="D1085" s="1" t="n">
        <v>90.7</v>
      </c>
      <c r="E1085" s="1" t="s">
        <v>14</v>
      </c>
      <c r="F1085" s="1" t="s">
        <v>49</v>
      </c>
      <c r="G1085" s="1" t="s">
        <v>36</v>
      </c>
      <c r="H1085" s="1" t="s">
        <v>24</v>
      </c>
      <c r="I1085" s="1" t="s">
        <v>2296</v>
      </c>
      <c r="J1085" s="1" t="n">
        <v>9</v>
      </c>
      <c r="K1085" s="1" t="s">
        <v>151</v>
      </c>
    </row>
    <row r="1086" customFormat="false" ht="15" hidden="false" customHeight="true" outlineLevel="0" collapsed="false">
      <c r="A1086" s="1" t="s">
        <v>2309</v>
      </c>
      <c r="B1086" s="1" t="s">
        <v>221</v>
      </c>
      <c r="C1086" s="1" t="s">
        <v>2310</v>
      </c>
      <c r="D1086" s="1" t="n">
        <v>70.86</v>
      </c>
      <c r="E1086" s="1" t="s">
        <v>14</v>
      </c>
      <c r="F1086" s="1" t="s">
        <v>15</v>
      </c>
      <c r="G1086" s="1" t="s">
        <v>36</v>
      </c>
      <c r="H1086" s="1" t="s">
        <v>37</v>
      </c>
      <c r="I1086" s="1" t="s">
        <v>2296</v>
      </c>
      <c r="J1086" s="1" t="n">
        <v>11</v>
      </c>
      <c r="K1086" s="1" t="s">
        <v>151</v>
      </c>
    </row>
    <row r="1087" customFormat="false" ht="15" hidden="false" customHeight="true" outlineLevel="0" collapsed="false">
      <c r="A1087" s="1" t="s">
        <v>2311</v>
      </c>
      <c r="B1087" s="1" t="s">
        <v>75</v>
      </c>
      <c r="C1087" s="1" t="s">
        <v>2312</v>
      </c>
      <c r="D1087" s="1" t="n">
        <v>187.52</v>
      </c>
      <c r="E1087" s="1" t="s">
        <v>14</v>
      </c>
      <c r="F1087" s="1" t="s">
        <v>15</v>
      </c>
      <c r="G1087" s="1" t="s">
        <v>86</v>
      </c>
      <c r="H1087" s="1" t="s">
        <v>37</v>
      </c>
      <c r="I1087" s="1" t="s">
        <v>2296</v>
      </c>
      <c r="J1087" s="1" t="n">
        <v>12</v>
      </c>
      <c r="K1087" s="1" t="s">
        <v>151</v>
      </c>
    </row>
    <row r="1088" customFormat="false" ht="15" hidden="false" customHeight="true" outlineLevel="0" collapsed="false">
      <c r="A1088" s="1" t="s">
        <v>2313</v>
      </c>
      <c r="B1088" s="1" t="s">
        <v>113</v>
      </c>
      <c r="C1088" s="1" t="s">
        <v>2314</v>
      </c>
      <c r="D1088" s="1" t="n">
        <v>124.78</v>
      </c>
      <c r="E1088" s="1" t="s">
        <v>14</v>
      </c>
      <c r="F1088" s="1" t="s">
        <v>41</v>
      </c>
      <c r="G1088" s="1" t="s">
        <v>23</v>
      </c>
      <c r="H1088" s="1" t="s">
        <v>37</v>
      </c>
      <c r="I1088" s="1" t="s">
        <v>2296</v>
      </c>
      <c r="J1088" s="1" t="n">
        <v>13</v>
      </c>
      <c r="K1088" s="1" t="s">
        <v>151</v>
      </c>
    </row>
    <row r="1089" customFormat="false" ht="15" hidden="false" customHeight="true" outlineLevel="0" collapsed="false">
      <c r="A1089" s="1" t="s">
        <v>2315</v>
      </c>
      <c r="B1089" s="1" t="s">
        <v>145</v>
      </c>
      <c r="C1089" s="1" t="s">
        <v>2316</v>
      </c>
      <c r="D1089" s="1" t="n">
        <v>64.64</v>
      </c>
      <c r="E1089" s="1" t="s">
        <v>14</v>
      </c>
      <c r="F1089" s="1" t="s">
        <v>15</v>
      </c>
      <c r="G1089" s="1" t="s">
        <v>23</v>
      </c>
      <c r="H1089" s="1" t="s">
        <v>17</v>
      </c>
      <c r="I1089" s="1" t="s">
        <v>2296</v>
      </c>
      <c r="J1089" s="1" t="n">
        <v>13</v>
      </c>
      <c r="K1089" s="1" t="s">
        <v>151</v>
      </c>
    </row>
    <row r="1090" customFormat="false" ht="15" hidden="false" customHeight="true" outlineLevel="0" collapsed="false">
      <c r="A1090" s="1" t="s">
        <v>2317</v>
      </c>
      <c r="B1090" s="1" t="s">
        <v>196</v>
      </c>
      <c r="C1090" s="1" t="s">
        <v>2318</v>
      </c>
      <c r="D1090" s="1" t="n">
        <v>537.75</v>
      </c>
      <c r="E1090" s="1" t="s">
        <v>14</v>
      </c>
      <c r="F1090" s="1" t="s">
        <v>15</v>
      </c>
      <c r="G1090" s="1" t="s">
        <v>70</v>
      </c>
      <c r="H1090" s="1" t="s">
        <v>17</v>
      </c>
      <c r="I1090" s="1" t="s">
        <v>2296</v>
      </c>
      <c r="J1090" s="1" t="n">
        <v>14</v>
      </c>
      <c r="K1090" s="1" t="s">
        <v>151</v>
      </c>
    </row>
    <row r="1091" customFormat="false" ht="15" hidden="false" customHeight="true" outlineLevel="0" collapsed="false">
      <c r="A1091" s="1" t="s">
        <v>2319</v>
      </c>
      <c r="B1091" s="1" t="s">
        <v>180</v>
      </c>
      <c r="C1091" s="1" t="s">
        <v>2320</v>
      </c>
      <c r="D1091" s="1" t="n">
        <v>32</v>
      </c>
      <c r="E1091" s="1" t="s">
        <v>14</v>
      </c>
      <c r="F1091" s="1" t="s">
        <v>49</v>
      </c>
      <c r="G1091" s="1" t="s">
        <v>29</v>
      </c>
      <c r="H1091" s="1" t="s">
        <v>24</v>
      </c>
      <c r="I1091" s="1" t="s">
        <v>2296</v>
      </c>
      <c r="J1091" s="1" t="n">
        <v>14</v>
      </c>
      <c r="K1091" s="1" t="s">
        <v>151</v>
      </c>
    </row>
    <row r="1092" customFormat="false" ht="15" hidden="false" customHeight="true" outlineLevel="0" collapsed="false">
      <c r="A1092" s="1" t="s">
        <v>2321</v>
      </c>
      <c r="B1092" s="1" t="s">
        <v>155</v>
      </c>
      <c r="C1092" s="1" t="s">
        <v>2322</v>
      </c>
      <c r="D1092" s="1" t="n">
        <v>29.74</v>
      </c>
      <c r="E1092" s="1" t="s">
        <v>14</v>
      </c>
      <c r="F1092" s="1" t="s">
        <v>41</v>
      </c>
      <c r="G1092" s="1" t="s">
        <v>16</v>
      </c>
      <c r="H1092" s="1" t="s">
        <v>24</v>
      </c>
      <c r="I1092" s="1" t="s">
        <v>2296</v>
      </c>
      <c r="J1092" s="1" t="n">
        <v>17</v>
      </c>
      <c r="K1092" s="1" t="s">
        <v>151</v>
      </c>
    </row>
    <row r="1093" customFormat="false" ht="15" hidden="false" customHeight="true" outlineLevel="0" collapsed="false">
      <c r="A1093" s="1" t="s">
        <v>2323</v>
      </c>
      <c r="B1093" s="1" t="s">
        <v>659</v>
      </c>
      <c r="C1093" s="1" t="s">
        <v>2324</v>
      </c>
      <c r="D1093" s="1" t="n">
        <v>118.72</v>
      </c>
      <c r="E1093" s="1" t="s">
        <v>14</v>
      </c>
      <c r="F1093" s="1" t="s">
        <v>15</v>
      </c>
      <c r="G1093" s="1" t="s">
        <v>23</v>
      </c>
      <c r="H1093" s="1" t="s">
        <v>24</v>
      </c>
      <c r="I1093" s="1" t="s">
        <v>2296</v>
      </c>
      <c r="J1093" s="1" t="n">
        <v>17</v>
      </c>
      <c r="K1093" s="1" t="s">
        <v>151</v>
      </c>
    </row>
    <row r="1094" customFormat="false" ht="15" hidden="false" customHeight="true" outlineLevel="0" collapsed="false">
      <c r="A1094" s="1" t="s">
        <v>2325</v>
      </c>
      <c r="B1094" s="1" t="s">
        <v>167</v>
      </c>
      <c r="C1094" s="1" t="s">
        <v>2326</v>
      </c>
      <c r="D1094" s="1" t="n">
        <v>100.81</v>
      </c>
      <c r="E1094" s="1" t="s">
        <v>14</v>
      </c>
      <c r="F1094" s="1" t="s">
        <v>28</v>
      </c>
      <c r="G1094" s="1" t="s">
        <v>42</v>
      </c>
      <c r="H1094" s="1" t="s">
        <v>17</v>
      </c>
      <c r="I1094" s="1" t="s">
        <v>2296</v>
      </c>
      <c r="J1094" s="1" t="n">
        <v>17</v>
      </c>
      <c r="K1094" s="1" t="s">
        <v>151</v>
      </c>
    </row>
    <row r="1095" customFormat="false" ht="15" hidden="false" customHeight="true" outlineLevel="0" collapsed="false">
      <c r="A1095" s="1" t="s">
        <v>2327</v>
      </c>
      <c r="B1095" s="1" t="s">
        <v>39</v>
      </c>
      <c r="C1095" s="1" t="s">
        <v>2328</v>
      </c>
      <c r="D1095" s="1" t="n">
        <v>56.44</v>
      </c>
      <c r="E1095" s="1" t="s">
        <v>14</v>
      </c>
      <c r="F1095" s="1" t="s">
        <v>41</v>
      </c>
      <c r="G1095" s="1" t="s">
        <v>86</v>
      </c>
      <c r="H1095" s="1" t="s">
        <v>24</v>
      </c>
      <c r="I1095" s="1" t="s">
        <v>2296</v>
      </c>
      <c r="J1095" s="1" t="n">
        <v>19</v>
      </c>
      <c r="K1095" s="1" t="s">
        <v>151</v>
      </c>
    </row>
    <row r="1096" customFormat="false" ht="15" hidden="false" customHeight="true" outlineLevel="0" collapsed="false">
      <c r="A1096" s="1" t="s">
        <v>2329</v>
      </c>
      <c r="B1096" s="1" t="s">
        <v>170</v>
      </c>
      <c r="C1096" s="1" t="s">
        <v>2330</v>
      </c>
      <c r="D1096" s="1" t="n">
        <v>91.96</v>
      </c>
      <c r="E1096" s="1" t="s">
        <v>14</v>
      </c>
      <c r="F1096" s="1" t="s">
        <v>41</v>
      </c>
      <c r="G1096" s="1" t="s">
        <v>70</v>
      </c>
      <c r="H1096" s="1" t="s">
        <v>37</v>
      </c>
      <c r="I1096" s="1" t="s">
        <v>2296</v>
      </c>
      <c r="J1096" s="1" t="n">
        <v>20</v>
      </c>
      <c r="K1096" s="1" t="s">
        <v>151</v>
      </c>
    </row>
    <row r="1097" customFormat="false" ht="15" hidden="false" customHeight="true" outlineLevel="0" collapsed="false">
      <c r="A1097" s="1" t="s">
        <v>2331</v>
      </c>
      <c r="B1097" s="1" t="s">
        <v>80</v>
      </c>
      <c r="C1097" s="1" t="s">
        <v>2332</v>
      </c>
      <c r="D1097" s="1" t="n">
        <v>322.8</v>
      </c>
      <c r="E1097" s="1" t="s">
        <v>14</v>
      </c>
      <c r="F1097" s="1" t="s">
        <v>56</v>
      </c>
      <c r="G1097" s="1" t="s">
        <v>16</v>
      </c>
      <c r="H1097" s="1" t="s">
        <v>37</v>
      </c>
      <c r="I1097" s="1" t="s">
        <v>2296</v>
      </c>
      <c r="J1097" s="1" t="n">
        <v>23</v>
      </c>
      <c r="K1097" s="1" t="s">
        <v>151</v>
      </c>
    </row>
    <row r="1098" customFormat="false" ht="15" hidden="false" customHeight="true" outlineLevel="0" collapsed="false">
      <c r="A1098" s="1" t="s">
        <v>2333</v>
      </c>
      <c r="B1098" s="1" t="s">
        <v>72</v>
      </c>
      <c r="C1098" s="1" t="s">
        <v>2334</v>
      </c>
      <c r="D1098" s="1" t="n">
        <v>33.82</v>
      </c>
      <c r="E1098" s="1" t="s">
        <v>14</v>
      </c>
      <c r="F1098" s="1" t="s">
        <v>49</v>
      </c>
      <c r="G1098" s="1" t="s">
        <v>29</v>
      </c>
      <c r="H1098" s="1" t="s">
        <v>17</v>
      </c>
      <c r="I1098" s="1" t="s">
        <v>2335</v>
      </c>
      <c r="J1098" s="1" t="n">
        <v>6</v>
      </c>
      <c r="K1098" s="1" t="s">
        <v>186</v>
      </c>
    </row>
    <row r="1099" customFormat="false" ht="15" hidden="false" customHeight="true" outlineLevel="0" collapsed="false">
      <c r="A1099" s="1" t="s">
        <v>2336</v>
      </c>
      <c r="B1099" s="1" t="s">
        <v>286</v>
      </c>
      <c r="C1099" s="1" t="s">
        <v>2337</v>
      </c>
      <c r="D1099" s="1" t="n">
        <v>34.89</v>
      </c>
      <c r="E1099" s="1" t="s">
        <v>14</v>
      </c>
      <c r="F1099" s="1" t="s">
        <v>15</v>
      </c>
      <c r="G1099" s="1" t="s">
        <v>16</v>
      </c>
      <c r="H1099" s="1" t="s">
        <v>24</v>
      </c>
      <c r="I1099" s="1" t="s">
        <v>2335</v>
      </c>
      <c r="J1099" s="1" t="n">
        <v>6</v>
      </c>
      <c r="K1099" s="1" t="s">
        <v>186</v>
      </c>
    </row>
    <row r="1100" customFormat="false" ht="15" hidden="false" customHeight="true" outlineLevel="0" collapsed="false">
      <c r="A1100" s="1" t="s">
        <v>2338</v>
      </c>
      <c r="B1100" s="1" t="s">
        <v>21</v>
      </c>
      <c r="C1100" s="1" t="s">
        <v>2339</v>
      </c>
      <c r="D1100" s="1" t="n">
        <v>101.08</v>
      </c>
      <c r="E1100" s="1" t="s">
        <v>14</v>
      </c>
      <c r="F1100" s="1" t="s">
        <v>15</v>
      </c>
      <c r="G1100" s="1" t="s">
        <v>86</v>
      </c>
      <c r="H1100" s="1" t="s">
        <v>37</v>
      </c>
      <c r="I1100" s="1" t="s">
        <v>2335</v>
      </c>
      <c r="J1100" s="1" t="n">
        <v>7</v>
      </c>
      <c r="K1100" s="1" t="s">
        <v>186</v>
      </c>
    </row>
    <row r="1101" customFormat="false" ht="15" hidden="false" customHeight="true" outlineLevel="0" collapsed="false">
      <c r="A1101" s="1" t="s">
        <v>2340</v>
      </c>
      <c r="B1101" s="1" t="s">
        <v>258</v>
      </c>
      <c r="C1101" s="1" t="s">
        <v>2341</v>
      </c>
      <c r="D1101" s="1" t="n">
        <v>180</v>
      </c>
      <c r="E1101" s="1" t="s">
        <v>14</v>
      </c>
      <c r="F1101" s="1" t="s">
        <v>28</v>
      </c>
      <c r="G1101" s="1" t="s">
        <v>42</v>
      </c>
      <c r="H1101" s="1" t="s">
        <v>37</v>
      </c>
      <c r="I1101" s="1" t="s">
        <v>2335</v>
      </c>
      <c r="J1101" s="1" t="n">
        <v>7</v>
      </c>
      <c r="K1101" s="1" t="s">
        <v>186</v>
      </c>
    </row>
    <row r="1102" customFormat="false" ht="15" hidden="false" customHeight="true" outlineLevel="0" collapsed="false">
      <c r="A1102" s="1" t="s">
        <v>2342</v>
      </c>
      <c r="B1102" s="1" t="s">
        <v>196</v>
      </c>
      <c r="C1102" s="1" t="s">
        <v>2343</v>
      </c>
      <c r="D1102" s="1" t="n">
        <v>24.95</v>
      </c>
      <c r="E1102" s="1" t="s">
        <v>14</v>
      </c>
      <c r="F1102" s="1" t="s">
        <v>15</v>
      </c>
      <c r="G1102" s="1" t="s">
        <v>82</v>
      </c>
      <c r="H1102" s="1" t="s">
        <v>24</v>
      </c>
      <c r="I1102" s="1" t="s">
        <v>2335</v>
      </c>
      <c r="J1102" s="1" t="n">
        <v>8</v>
      </c>
      <c r="K1102" s="1" t="s">
        <v>186</v>
      </c>
    </row>
    <row r="1103" customFormat="false" ht="15" hidden="false" customHeight="true" outlineLevel="0" collapsed="false">
      <c r="A1103" s="1" t="s">
        <v>2344</v>
      </c>
      <c r="B1103" s="1" t="s">
        <v>196</v>
      </c>
      <c r="C1103" s="1" t="s">
        <v>2345</v>
      </c>
      <c r="D1103" s="1" t="n">
        <v>75.76</v>
      </c>
      <c r="E1103" s="1" t="s">
        <v>14</v>
      </c>
      <c r="F1103" s="1" t="s">
        <v>15</v>
      </c>
      <c r="G1103" s="1" t="s">
        <v>36</v>
      </c>
      <c r="H1103" s="1" t="s">
        <v>24</v>
      </c>
      <c r="I1103" s="1" t="s">
        <v>2335</v>
      </c>
      <c r="J1103" s="1" t="n">
        <v>8</v>
      </c>
      <c r="K1103" s="1" t="s">
        <v>186</v>
      </c>
    </row>
    <row r="1104" customFormat="false" ht="15" hidden="false" customHeight="true" outlineLevel="0" collapsed="false">
      <c r="A1104" s="1" t="s">
        <v>2346</v>
      </c>
      <c r="B1104" s="1" t="s">
        <v>321</v>
      </c>
      <c r="C1104" s="1" t="s">
        <v>2347</v>
      </c>
      <c r="D1104" s="1" t="n">
        <v>35.74</v>
      </c>
      <c r="E1104" s="1" t="s">
        <v>14</v>
      </c>
      <c r="F1104" s="1" t="s">
        <v>15</v>
      </c>
      <c r="G1104" s="1" t="s">
        <v>82</v>
      </c>
      <c r="H1104" s="1" t="s">
        <v>37</v>
      </c>
      <c r="I1104" s="1" t="s">
        <v>2335</v>
      </c>
      <c r="J1104" s="1" t="n">
        <v>12</v>
      </c>
      <c r="K1104" s="1" t="s">
        <v>186</v>
      </c>
    </row>
    <row r="1105" customFormat="false" ht="15" hidden="false" customHeight="true" outlineLevel="0" collapsed="false">
      <c r="A1105" s="1" t="s">
        <v>2348</v>
      </c>
      <c r="B1105" s="1" t="s">
        <v>44</v>
      </c>
      <c r="C1105" s="1" t="s">
        <v>2349</v>
      </c>
      <c r="D1105" s="1" t="n">
        <v>97.49</v>
      </c>
      <c r="E1105" s="1" t="s">
        <v>14</v>
      </c>
      <c r="F1105" s="1" t="s">
        <v>28</v>
      </c>
      <c r="G1105" s="1" t="s">
        <v>36</v>
      </c>
      <c r="H1105" s="1" t="s">
        <v>17</v>
      </c>
      <c r="I1105" s="1" t="s">
        <v>2335</v>
      </c>
      <c r="J1105" s="1" t="n">
        <v>14</v>
      </c>
      <c r="K1105" s="1" t="s">
        <v>186</v>
      </c>
    </row>
    <row r="1106" customFormat="false" ht="15" hidden="false" customHeight="true" outlineLevel="0" collapsed="false">
      <c r="A1106" s="1" t="s">
        <v>2350</v>
      </c>
      <c r="B1106" s="1" t="s">
        <v>394</v>
      </c>
      <c r="C1106" s="1" t="s">
        <v>2351</v>
      </c>
      <c r="D1106" s="1" t="n">
        <v>49.93</v>
      </c>
      <c r="E1106" s="1" t="s">
        <v>14</v>
      </c>
      <c r="F1106" s="1" t="s">
        <v>56</v>
      </c>
      <c r="G1106" s="1" t="s">
        <v>42</v>
      </c>
      <c r="H1106" s="1" t="s">
        <v>17</v>
      </c>
      <c r="I1106" s="1" t="s">
        <v>2335</v>
      </c>
      <c r="J1106" s="1" t="n">
        <v>17</v>
      </c>
      <c r="K1106" s="1" t="s">
        <v>186</v>
      </c>
    </row>
    <row r="1107" customFormat="false" ht="15" hidden="false" customHeight="true" outlineLevel="0" collapsed="false">
      <c r="A1107" s="1" t="s">
        <v>2352</v>
      </c>
      <c r="B1107" s="1" t="s">
        <v>125</v>
      </c>
      <c r="C1107" s="1" t="s">
        <v>2353</v>
      </c>
      <c r="D1107" s="1" t="n">
        <v>27.65</v>
      </c>
      <c r="E1107" s="1" t="s">
        <v>14</v>
      </c>
      <c r="F1107" s="1" t="s">
        <v>28</v>
      </c>
      <c r="G1107" s="1" t="s">
        <v>82</v>
      </c>
      <c r="H1107" s="1" t="s">
        <v>17</v>
      </c>
      <c r="I1107" s="1" t="s">
        <v>2335</v>
      </c>
      <c r="J1107" s="1" t="n">
        <v>17</v>
      </c>
      <c r="K1107" s="1" t="s">
        <v>186</v>
      </c>
    </row>
    <row r="1108" customFormat="false" ht="15" hidden="false" customHeight="true" outlineLevel="0" collapsed="false">
      <c r="A1108" s="1" t="s">
        <v>2354</v>
      </c>
      <c r="B1108" s="1" t="s">
        <v>286</v>
      </c>
      <c r="C1108" s="1" t="s">
        <v>2355</v>
      </c>
      <c r="D1108" s="1" t="n">
        <v>40.86</v>
      </c>
      <c r="E1108" s="1" t="s">
        <v>14</v>
      </c>
      <c r="F1108" s="1" t="s">
        <v>15</v>
      </c>
      <c r="G1108" s="1" t="s">
        <v>70</v>
      </c>
      <c r="H1108" s="1" t="s">
        <v>17</v>
      </c>
      <c r="I1108" s="1" t="s">
        <v>2335</v>
      </c>
      <c r="J1108" s="1" t="n">
        <v>17</v>
      </c>
      <c r="K1108" s="1" t="s">
        <v>186</v>
      </c>
    </row>
    <row r="1109" customFormat="false" ht="15" hidden="false" customHeight="true" outlineLevel="0" collapsed="false">
      <c r="A1109" s="1" t="s">
        <v>2356</v>
      </c>
      <c r="B1109" s="1" t="s">
        <v>167</v>
      </c>
      <c r="C1109" s="1" t="s">
        <v>2357</v>
      </c>
      <c r="D1109" s="1" t="n">
        <v>14.96</v>
      </c>
      <c r="E1109" s="1" t="s">
        <v>14</v>
      </c>
      <c r="F1109" s="1" t="s">
        <v>28</v>
      </c>
      <c r="G1109" s="1" t="s">
        <v>36</v>
      </c>
      <c r="H1109" s="1" t="s">
        <v>24</v>
      </c>
      <c r="I1109" s="1" t="s">
        <v>2335</v>
      </c>
      <c r="J1109" s="1" t="n">
        <v>18</v>
      </c>
      <c r="K1109" s="1" t="s">
        <v>186</v>
      </c>
    </row>
    <row r="1110" customFormat="false" ht="15" hidden="false" customHeight="true" outlineLevel="0" collapsed="false">
      <c r="A1110" s="1" t="s">
        <v>2358</v>
      </c>
      <c r="B1110" s="1" t="s">
        <v>228</v>
      </c>
      <c r="C1110" s="1" t="s">
        <v>2359</v>
      </c>
      <c r="D1110" s="1" t="n">
        <v>9.22</v>
      </c>
      <c r="E1110" s="1" t="s">
        <v>14</v>
      </c>
      <c r="F1110" s="1" t="s">
        <v>28</v>
      </c>
      <c r="G1110" s="1" t="s">
        <v>70</v>
      </c>
      <c r="H1110" s="1" t="s">
        <v>17</v>
      </c>
      <c r="I1110" s="1" t="s">
        <v>2360</v>
      </c>
      <c r="J1110" s="1" t="n">
        <v>0</v>
      </c>
      <c r="K1110" s="1" t="s">
        <v>219</v>
      </c>
    </row>
    <row r="1111" customFormat="false" ht="15" hidden="false" customHeight="true" outlineLevel="0" collapsed="false">
      <c r="A1111" s="1" t="s">
        <v>2361</v>
      </c>
      <c r="B1111" s="1" t="s">
        <v>148</v>
      </c>
      <c r="C1111" s="1" t="s">
        <v>2362</v>
      </c>
      <c r="D1111" s="1" t="n">
        <v>612.11</v>
      </c>
      <c r="E1111" s="1" t="s">
        <v>14</v>
      </c>
      <c r="F1111" s="1" t="s">
        <v>41</v>
      </c>
      <c r="G1111" s="1" t="s">
        <v>42</v>
      </c>
      <c r="H1111" s="1" t="s">
        <v>24</v>
      </c>
      <c r="I1111" s="1" t="s">
        <v>2360</v>
      </c>
      <c r="J1111" s="1" t="n">
        <v>1</v>
      </c>
      <c r="K1111" s="1" t="s">
        <v>219</v>
      </c>
    </row>
    <row r="1112" customFormat="false" ht="15" hidden="false" customHeight="true" outlineLevel="0" collapsed="false">
      <c r="A1112" s="1" t="s">
        <v>2363</v>
      </c>
      <c r="B1112" s="1" t="s">
        <v>332</v>
      </c>
      <c r="C1112" s="1" t="s">
        <v>2364</v>
      </c>
      <c r="D1112" s="1" t="n">
        <v>17.05</v>
      </c>
      <c r="E1112" s="1" t="s">
        <v>14</v>
      </c>
      <c r="F1112" s="1" t="s">
        <v>49</v>
      </c>
      <c r="G1112" s="1" t="s">
        <v>86</v>
      </c>
      <c r="H1112" s="1" t="s">
        <v>24</v>
      </c>
      <c r="I1112" s="1" t="s">
        <v>2360</v>
      </c>
      <c r="J1112" s="1" t="n">
        <v>6</v>
      </c>
      <c r="K1112" s="1" t="s">
        <v>219</v>
      </c>
    </row>
    <row r="1113" customFormat="false" ht="15" hidden="false" customHeight="true" outlineLevel="0" collapsed="false">
      <c r="A1113" s="1" t="s">
        <v>2365</v>
      </c>
      <c r="B1113" s="1" t="s">
        <v>26</v>
      </c>
      <c r="C1113" s="1" t="s">
        <v>2366</v>
      </c>
      <c r="D1113" s="1" t="n">
        <v>115.64</v>
      </c>
      <c r="E1113" s="1" t="s">
        <v>14</v>
      </c>
      <c r="F1113" s="1" t="s">
        <v>28</v>
      </c>
      <c r="G1113" s="1" t="s">
        <v>36</v>
      </c>
      <c r="H1113" s="1" t="s">
        <v>37</v>
      </c>
      <c r="I1113" s="1" t="s">
        <v>2360</v>
      </c>
      <c r="J1113" s="1" t="n">
        <v>7</v>
      </c>
      <c r="K1113" s="1" t="s">
        <v>219</v>
      </c>
    </row>
    <row r="1114" customFormat="false" ht="15" hidden="false" customHeight="true" outlineLevel="0" collapsed="false">
      <c r="A1114" s="1" t="s">
        <v>2367</v>
      </c>
      <c r="B1114" s="1" t="s">
        <v>93</v>
      </c>
      <c r="C1114" s="1" t="s">
        <v>2368</v>
      </c>
      <c r="D1114" s="1" t="n">
        <v>16.22</v>
      </c>
      <c r="E1114" s="1" t="s">
        <v>14</v>
      </c>
      <c r="F1114" s="1" t="s">
        <v>28</v>
      </c>
      <c r="G1114" s="1" t="s">
        <v>29</v>
      </c>
      <c r="H1114" s="1" t="s">
        <v>17</v>
      </c>
      <c r="I1114" s="1" t="s">
        <v>2360</v>
      </c>
      <c r="J1114" s="1" t="n">
        <v>7</v>
      </c>
      <c r="K1114" s="1" t="s">
        <v>219</v>
      </c>
    </row>
    <row r="1115" customFormat="false" ht="15" hidden="false" customHeight="true" outlineLevel="0" collapsed="false">
      <c r="A1115" s="1" t="s">
        <v>2369</v>
      </c>
      <c r="B1115" s="1" t="s">
        <v>302</v>
      </c>
      <c r="C1115" s="1" t="s">
        <v>2370</v>
      </c>
      <c r="D1115" s="1" t="n">
        <v>108.56</v>
      </c>
      <c r="E1115" s="1" t="s">
        <v>14</v>
      </c>
      <c r="F1115" s="1" t="s">
        <v>28</v>
      </c>
      <c r="G1115" s="1" t="s">
        <v>23</v>
      </c>
      <c r="H1115" s="1" t="s">
        <v>37</v>
      </c>
      <c r="I1115" s="1" t="s">
        <v>2360</v>
      </c>
      <c r="J1115" s="1" t="n">
        <v>7</v>
      </c>
      <c r="K1115" s="1" t="s">
        <v>219</v>
      </c>
    </row>
    <row r="1116" customFormat="false" ht="15" hidden="false" customHeight="true" outlineLevel="0" collapsed="false">
      <c r="A1116" s="1" t="s">
        <v>2371</v>
      </c>
      <c r="B1116" s="1" t="s">
        <v>155</v>
      </c>
      <c r="C1116" s="1" t="s">
        <v>2372</v>
      </c>
      <c r="D1116" s="1" t="n">
        <v>189.1</v>
      </c>
      <c r="E1116" s="1" t="s">
        <v>14</v>
      </c>
      <c r="F1116" s="1" t="s">
        <v>41</v>
      </c>
      <c r="G1116" s="1" t="s">
        <v>86</v>
      </c>
      <c r="H1116" s="1" t="s">
        <v>24</v>
      </c>
      <c r="I1116" s="1" t="s">
        <v>2360</v>
      </c>
      <c r="J1116" s="1" t="n">
        <v>7</v>
      </c>
      <c r="K1116" s="1" t="s">
        <v>219</v>
      </c>
    </row>
    <row r="1117" customFormat="false" ht="15" hidden="false" customHeight="true" outlineLevel="0" collapsed="false">
      <c r="A1117" s="1" t="s">
        <v>2373</v>
      </c>
      <c r="B1117" s="1" t="s">
        <v>90</v>
      </c>
      <c r="C1117" s="1" t="s">
        <v>2374</v>
      </c>
      <c r="D1117" s="1" t="n">
        <v>10.37</v>
      </c>
      <c r="E1117" s="1" t="s">
        <v>14</v>
      </c>
      <c r="F1117" s="1" t="s">
        <v>41</v>
      </c>
      <c r="G1117" s="1" t="s">
        <v>29</v>
      </c>
      <c r="H1117" s="1" t="s">
        <v>24</v>
      </c>
      <c r="I1117" s="1" t="s">
        <v>2360</v>
      </c>
      <c r="J1117" s="1" t="n">
        <v>8</v>
      </c>
      <c r="K1117" s="1" t="s">
        <v>219</v>
      </c>
    </row>
    <row r="1118" customFormat="false" ht="15" hidden="false" customHeight="true" outlineLevel="0" collapsed="false">
      <c r="A1118" s="1" t="s">
        <v>2375</v>
      </c>
      <c r="B1118" s="1" t="s">
        <v>291</v>
      </c>
      <c r="C1118" s="1" t="s">
        <v>2376</v>
      </c>
      <c r="D1118" s="1" t="n">
        <v>210.74</v>
      </c>
      <c r="E1118" s="1" t="s">
        <v>14</v>
      </c>
      <c r="F1118" s="1" t="s">
        <v>28</v>
      </c>
      <c r="G1118" s="1" t="s">
        <v>23</v>
      </c>
      <c r="H1118" s="1" t="s">
        <v>24</v>
      </c>
      <c r="I1118" s="1" t="s">
        <v>2360</v>
      </c>
      <c r="J1118" s="1" t="n">
        <v>8</v>
      </c>
      <c r="K1118" s="1" t="s">
        <v>219</v>
      </c>
    </row>
    <row r="1119" customFormat="false" ht="15" hidden="false" customHeight="true" outlineLevel="0" collapsed="false">
      <c r="A1119" s="1" t="s">
        <v>2377</v>
      </c>
      <c r="B1119" s="1" t="s">
        <v>113</v>
      </c>
      <c r="C1119" s="1" t="s">
        <v>2378</v>
      </c>
      <c r="D1119" s="1" t="n">
        <v>39.79</v>
      </c>
      <c r="E1119" s="1" t="s">
        <v>14</v>
      </c>
      <c r="F1119" s="1" t="s">
        <v>41</v>
      </c>
      <c r="G1119" s="1" t="s">
        <v>16</v>
      </c>
      <c r="H1119" s="1" t="s">
        <v>37</v>
      </c>
      <c r="I1119" s="1" t="s">
        <v>2360</v>
      </c>
      <c r="J1119" s="1" t="n">
        <v>9</v>
      </c>
      <c r="K1119" s="1" t="s">
        <v>219</v>
      </c>
    </row>
    <row r="1120" customFormat="false" ht="15" hidden="false" customHeight="true" outlineLevel="0" collapsed="false">
      <c r="A1120" s="1" t="s">
        <v>2379</v>
      </c>
      <c r="B1120" s="1" t="s">
        <v>183</v>
      </c>
      <c r="C1120" s="1" t="s">
        <v>2380</v>
      </c>
      <c r="D1120" s="1" t="n">
        <v>110.47</v>
      </c>
      <c r="E1120" s="1" t="s">
        <v>14</v>
      </c>
      <c r="F1120" s="1" t="s">
        <v>15</v>
      </c>
      <c r="G1120" s="1" t="s">
        <v>86</v>
      </c>
      <c r="H1120" s="1" t="s">
        <v>17</v>
      </c>
      <c r="I1120" s="1" t="s">
        <v>2360</v>
      </c>
      <c r="J1120" s="1" t="n">
        <v>10</v>
      </c>
      <c r="K1120" s="1" t="s">
        <v>219</v>
      </c>
    </row>
    <row r="1121" customFormat="false" ht="15" hidden="false" customHeight="true" outlineLevel="0" collapsed="false">
      <c r="A1121" s="1" t="s">
        <v>2381</v>
      </c>
      <c r="B1121" s="1" t="s">
        <v>61</v>
      </c>
      <c r="C1121" s="1" t="s">
        <v>2382</v>
      </c>
      <c r="D1121" s="1" t="n">
        <v>218.25</v>
      </c>
      <c r="E1121" s="1" t="s">
        <v>14</v>
      </c>
      <c r="F1121" s="1" t="s">
        <v>56</v>
      </c>
      <c r="G1121" s="1" t="s">
        <v>29</v>
      </c>
      <c r="H1121" s="1" t="s">
        <v>17</v>
      </c>
      <c r="I1121" s="1" t="s">
        <v>2360</v>
      </c>
      <c r="J1121" s="1" t="n">
        <v>10</v>
      </c>
      <c r="K1121" s="1" t="s">
        <v>219</v>
      </c>
    </row>
    <row r="1122" customFormat="false" ht="15" hidden="false" customHeight="true" outlineLevel="0" collapsed="false">
      <c r="A1122" s="1" t="s">
        <v>2383</v>
      </c>
      <c r="B1122" s="1" t="s">
        <v>193</v>
      </c>
      <c r="C1122" s="1" t="s">
        <v>2384</v>
      </c>
      <c r="D1122" s="1" t="n">
        <v>42.09</v>
      </c>
      <c r="E1122" s="1" t="s">
        <v>14</v>
      </c>
      <c r="F1122" s="1" t="s">
        <v>15</v>
      </c>
      <c r="G1122" s="1" t="s">
        <v>70</v>
      </c>
      <c r="H1122" s="1" t="s">
        <v>37</v>
      </c>
      <c r="I1122" s="1" t="s">
        <v>2360</v>
      </c>
      <c r="J1122" s="1" t="n">
        <v>10</v>
      </c>
      <c r="K1122" s="1" t="s">
        <v>219</v>
      </c>
    </row>
    <row r="1123" customFormat="false" ht="15" hidden="false" customHeight="true" outlineLevel="0" collapsed="false">
      <c r="A1123" s="1" t="s">
        <v>2385</v>
      </c>
      <c r="B1123" s="1" t="s">
        <v>196</v>
      </c>
      <c r="C1123" s="1" t="s">
        <v>2386</v>
      </c>
      <c r="D1123" s="1" t="n">
        <v>36.55</v>
      </c>
      <c r="E1123" s="1" t="s">
        <v>14</v>
      </c>
      <c r="F1123" s="1" t="s">
        <v>15</v>
      </c>
      <c r="G1123" s="1" t="s">
        <v>23</v>
      </c>
      <c r="H1123" s="1" t="s">
        <v>24</v>
      </c>
      <c r="I1123" s="1" t="s">
        <v>2360</v>
      </c>
      <c r="J1123" s="1" t="n">
        <v>11</v>
      </c>
      <c r="K1123" s="1" t="s">
        <v>219</v>
      </c>
    </row>
    <row r="1124" customFormat="false" ht="15" hidden="false" customHeight="true" outlineLevel="0" collapsed="false">
      <c r="A1124" s="1" t="s">
        <v>2387</v>
      </c>
      <c r="B1124" s="1" t="s">
        <v>240</v>
      </c>
      <c r="C1124" s="1" t="s">
        <v>2388</v>
      </c>
      <c r="D1124" s="1" t="n">
        <v>19.21</v>
      </c>
      <c r="E1124" s="1" t="s">
        <v>14</v>
      </c>
      <c r="F1124" s="1" t="s">
        <v>56</v>
      </c>
      <c r="G1124" s="1" t="s">
        <v>70</v>
      </c>
      <c r="H1124" s="1" t="s">
        <v>37</v>
      </c>
      <c r="I1124" s="1" t="s">
        <v>2360</v>
      </c>
      <c r="J1124" s="1" t="n">
        <v>11</v>
      </c>
      <c r="K1124" s="1" t="s">
        <v>219</v>
      </c>
    </row>
    <row r="1125" customFormat="false" ht="15" hidden="false" customHeight="true" outlineLevel="0" collapsed="false">
      <c r="A1125" s="1" t="s">
        <v>2389</v>
      </c>
      <c r="B1125" s="1" t="s">
        <v>235</v>
      </c>
      <c r="C1125" s="1" t="s">
        <v>2390</v>
      </c>
      <c r="D1125" s="1" t="n">
        <v>514.38</v>
      </c>
      <c r="E1125" s="1" t="s">
        <v>14</v>
      </c>
      <c r="F1125" s="1" t="s">
        <v>41</v>
      </c>
      <c r="G1125" s="1" t="s">
        <v>86</v>
      </c>
      <c r="H1125" s="1" t="s">
        <v>37</v>
      </c>
      <c r="I1125" s="1" t="s">
        <v>2360</v>
      </c>
      <c r="J1125" s="1" t="n">
        <v>14</v>
      </c>
      <c r="K1125" s="1" t="s">
        <v>219</v>
      </c>
    </row>
    <row r="1126" customFormat="false" ht="15" hidden="false" customHeight="true" outlineLevel="0" collapsed="false">
      <c r="A1126" s="1" t="s">
        <v>2391</v>
      </c>
      <c r="B1126" s="1" t="s">
        <v>235</v>
      </c>
      <c r="C1126" s="1" t="s">
        <v>2392</v>
      </c>
      <c r="D1126" s="1" t="n">
        <v>113.26</v>
      </c>
      <c r="E1126" s="1" t="s">
        <v>14</v>
      </c>
      <c r="F1126" s="1" t="s">
        <v>41</v>
      </c>
      <c r="G1126" s="1" t="s">
        <v>86</v>
      </c>
      <c r="H1126" s="1" t="s">
        <v>37</v>
      </c>
      <c r="I1126" s="1" t="s">
        <v>2360</v>
      </c>
      <c r="J1126" s="1" t="n">
        <v>14</v>
      </c>
      <c r="K1126" s="1" t="s">
        <v>219</v>
      </c>
    </row>
    <row r="1127" customFormat="false" ht="15" hidden="false" customHeight="true" outlineLevel="0" collapsed="false">
      <c r="A1127" s="1" t="s">
        <v>2393</v>
      </c>
      <c r="B1127" s="1" t="s">
        <v>235</v>
      </c>
      <c r="C1127" s="1" t="s">
        <v>2394</v>
      </c>
      <c r="D1127" s="1" t="n">
        <v>505.08</v>
      </c>
      <c r="E1127" s="1" t="s">
        <v>14</v>
      </c>
      <c r="F1127" s="1" t="s">
        <v>41</v>
      </c>
      <c r="G1127" s="1" t="s">
        <v>86</v>
      </c>
      <c r="H1127" s="1" t="s">
        <v>37</v>
      </c>
      <c r="I1127" s="1" t="s">
        <v>2360</v>
      </c>
      <c r="J1127" s="1" t="n">
        <v>14</v>
      </c>
      <c r="K1127" s="1" t="s">
        <v>219</v>
      </c>
    </row>
    <row r="1128" customFormat="false" ht="15" hidden="false" customHeight="true" outlineLevel="0" collapsed="false">
      <c r="A1128" s="1" t="s">
        <v>2395</v>
      </c>
      <c r="B1128" s="1" t="s">
        <v>235</v>
      </c>
      <c r="C1128" s="1" t="s">
        <v>2396</v>
      </c>
      <c r="D1128" s="1" t="n">
        <v>139.37</v>
      </c>
      <c r="E1128" s="1" t="s">
        <v>14</v>
      </c>
      <c r="F1128" s="1" t="s">
        <v>41</v>
      </c>
      <c r="G1128" s="1" t="s">
        <v>86</v>
      </c>
      <c r="H1128" s="1" t="s">
        <v>37</v>
      </c>
      <c r="I1128" s="1" t="s">
        <v>2360</v>
      </c>
      <c r="J1128" s="1" t="n">
        <v>14</v>
      </c>
      <c r="K1128" s="1" t="s">
        <v>219</v>
      </c>
    </row>
    <row r="1129" customFormat="false" ht="15" hidden="false" customHeight="true" outlineLevel="0" collapsed="false">
      <c r="A1129" s="1" t="s">
        <v>2397</v>
      </c>
      <c r="B1129" s="1" t="s">
        <v>140</v>
      </c>
      <c r="C1129" s="1" t="s">
        <v>2398</v>
      </c>
      <c r="D1129" s="1" t="n">
        <v>85.06</v>
      </c>
      <c r="E1129" s="1" t="s">
        <v>14</v>
      </c>
      <c r="F1129" s="1" t="s">
        <v>41</v>
      </c>
      <c r="G1129" s="1" t="s">
        <v>29</v>
      </c>
      <c r="H1129" s="1" t="s">
        <v>37</v>
      </c>
      <c r="I1129" s="1" t="s">
        <v>2360</v>
      </c>
      <c r="J1129" s="1" t="n">
        <v>14</v>
      </c>
      <c r="K1129" s="1" t="s">
        <v>219</v>
      </c>
    </row>
    <row r="1130" customFormat="false" ht="15" hidden="false" customHeight="true" outlineLevel="0" collapsed="false">
      <c r="A1130" s="1" t="s">
        <v>2399</v>
      </c>
      <c r="B1130" s="1" t="s">
        <v>235</v>
      </c>
      <c r="C1130" s="1" t="s">
        <v>2400</v>
      </c>
      <c r="D1130" s="1" t="n">
        <v>389.39</v>
      </c>
      <c r="E1130" s="1" t="s">
        <v>14</v>
      </c>
      <c r="F1130" s="1" t="s">
        <v>41</v>
      </c>
      <c r="G1130" s="1" t="s">
        <v>86</v>
      </c>
      <c r="H1130" s="1" t="s">
        <v>37</v>
      </c>
      <c r="I1130" s="1" t="s">
        <v>2360</v>
      </c>
      <c r="J1130" s="1" t="n">
        <v>14</v>
      </c>
      <c r="K1130" s="1" t="s">
        <v>219</v>
      </c>
    </row>
    <row r="1131" customFormat="false" ht="15" hidden="false" customHeight="true" outlineLevel="0" collapsed="false">
      <c r="A1131" s="1" t="s">
        <v>2401</v>
      </c>
      <c r="B1131" s="1" t="s">
        <v>235</v>
      </c>
      <c r="C1131" s="1" t="s">
        <v>2402</v>
      </c>
      <c r="D1131" s="1" t="n">
        <v>400.13</v>
      </c>
      <c r="E1131" s="1" t="s">
        <v>14</v>
      </c>
      <c r="F1131" s="1" t="s">
        <v>41</v>
      </c>
      <c r="G1131" s="1" t="s">
        <v>86</v>
      </c>
      <c r="H1131" s="1" t="s">
        <v>37</v>
      </c>
      <c r="I1131" s="1" t="s">
        <v>2360</v>
      </c>
      <c r="J1131" s="1" t="n">
        <v>14</v>
      </c>
      <c r="K1131" s="1" t="s">
        <v>219</v>
      </c>
    </row>
    <row r="1132" customFormat="false" ht="15" hidden="false" customHeight="true" outlineLevel="0" collapsed="false">
      <c r="A1132" s="1" t="s">
        <v>2403</v>
      </c>
      <c r="B1132" s="1" t="s">
        <v>235</v>
      </c>
      <c r="C1132" s="1" t="s">
        <v>2404</v>
      </c>
      <c r="D1132" s="1" t="n">
        <v>112.82</v>
      </c>
      <c r="E1132" s="1" t="s">
        <v>14</v>
      </c>
      <c r="F1132" s="1" t="s">
        <v>41</v>
      </c>
      <c r="G1132" s="1" t="s">
        <v>86</v>
      </c>
      <c r="H1132" s="1" t="s">
        <v>37</v>
      </c>
      <c r="I1132" s="1" t="s">
        <v>2360</v>
      </c>
      <c r="J1132" s="1" t="n">
        <v>14</v>
      </c>
      <c r="K1132" s="1" t="s">
        <v>219</v>
      </c>
    </row>
    <row r="1133" customFormat="false" ht="15" hidden="false" customHeight="true" outlineLevel="0" collapsed="false">
      <c r="A1133" s="1" t="s">
        <v>2405</v>
      </c>
      <c r="B1133" s="1" t="s">
        <v>235</v>
      </c>
      <c r="C1133" s="1" t="s">
        <v>2406</v>
      </c>
      <c r="D1133" s="1" t="n">
        <v>185.37</v>
      </c>
      <c r="E1133" s="1" t="s">
        <v>14</v>
      </c>
      <c r="F1133" s="1" t="s">
        <v>41</v>
      </c>
      <c r="G1133" s="1" t="s">
        <v>86</v>
      </c>
      <c r="H1133" s="1" t="s">
        <v>37</v>
      </c>
      <c r="I1133" s="1" t="s">
        <v>2360</v>
      </c>
      <c r="J1133" s="1" t="n">
        <v>14</v>
      </c>
      <c r="K1133" s="1" t="s">
        <v>219</v>
      </c>
    </row>
    <row r="1134" customFormat="false" ht="15" hidden="false" customHeight="true" outlineLevel="0" collapsed="false">
      <c r="A1134" s="1" t="s">
        <v>2407</v>
      </c>
      <c r="B1134" s="1" t="s">
        <v>106</v>
      </c>
      <c r="C1134" s="1" t="s">
        <v>2408</v>
      </c>
      <c r="D1134" s="1" t="n">
        <v>6.48</v>
      </c>
      <c r="E1134" s="1" t="s">
        <v>14</v>
      </c>
      <c r="F1134" s="1" t="s">
        <v>15</v>
      </c>
      <c r="G1134" s="1" t="s">
        <v>23</v>
      </c>
      <c r="H1134" s="1" t="s">
        <v>17</v>
      </c>
      <c r="I1134" s="1" t="s">
        <v>2360</v>
      </c>
      <c r="J1134" s="1" t="n">
        <v>14</v>
      </c>
      <c r="K1134" s="1" t="s">
        <v>219</v>
      </c>
    </row>
    <row r="1135" customFormat="false" ht="15" hidden="false" customHeight="true" outlineLevel="0" collapsed="false">
      <c r="A1135" s="1" t="s">
        <v>2409</v>
      </c>
      <c r="B1135" s="1" t="s">
        <v>72</v>
      </c>
      <c r="C1135" s="1" t="s">
        <v>2410</v>
      </c>
      <c r="D1135" s="1" t="n">
        <v>180.36</v>
      </c>
      <c r="E1135" s="1" t="s">
        <v>14</v>
      </c>
      <c r="F1135" s="1" t="s">
        <v>49</v>
      </c>
      <c r="G1135" s="1" t="s">
        <v>86</v>
      </c>
      <c r="H1135" s="1" t="s">
        <v>24</v>
      </c>
      <c r="I1135" s="1" t="s">
        <v>2360</v>
      </c>
      <c r="J1135" s="1" t="n">
        <v>16</v>
      </c>
      <c r="K1135" s="1" t="s">
        <v>219</v>
      </c>
    </row>
    <row r="1136" customFormat="false" ht="15" hidden="false" customHeight="true" outlineLevel="0" collapsed="false">
      <c r="A1136" s="1" t="s">
        <v>2411</v>
      </c>
      <c r="B1136" s="1" t="s">
        <v>235</v>
      </c>
      <c r="C1136" s="1" t="s">
        <v>2412</v>
      </c>
      <c r="D1136" s="1" t="n">
        <v>70.93</v>
      </c>
      <c r="E1136" s="1" t="s">
        <v>14</v>
      </c>
      <c r="F1136" s="1" t="s">
        <v>41</v>
      </c>
      <c r="G1136" s="1" t="s">
        <v>23</v>
      </c>
      <c r="H1136" s="1" t="s">
        <v>17</v>
      </c>
      <c r="I1136" s="1" t="s">
        <v>2360</v>
      </c>
      <c r="J1136" s="1" t="n">
        <v>16</v>
      </c>
      <c r="K1136" s="1" t="s">
        <v>219</v>
      </c>
    </row>
    <row r="1137" customFormat="false" ht="15" hidden="false" customHeight="true" outlineLevel="0" collapsed="false">
      <c r="A1137" s="1" t="s">
        <v>2413</v>
      </c>
      <c r="B1137" s="1" t="s">
        <v>286</v>
      </c>
      <c r="C1137" s="1" t="s">
        <v>2414</v>
      </c>
      <c r="D1137" s="1" t="n">
        <v>353.21</v>
      </c>
      <c r="E1137" s="1" t="s">
        <v>14</v>
      </c>
      <c r="F1137" s="1" t="s">
        <v>15</v>
      </c>
      <c r="G1137" s="1" t="s">
        <v>86</v>
      </c>
      <c r="H1137" s="1" t="s">
        <v>24</v>
      </c>
      <c r="I1137" s="1" t="s">
        <v>2415</v>
      </c>
      <c r="J1137" s="1" t="n">
        <v>6</v>
      </c>
      <c r="K1137" s="1" t="s">
        <v>263</v>
      </c>
    </row>
    <row r="1138" customFormat="false" ht="15" hidden="false" customHeight="true" outlineLevel="0" collapsed="false">
      <c r="A1138" s="1" t="s">
        <v>2416</v>
      </c>
      <c r="B1138" s="1" t="s">
        <v>64</v>
      </c>
      <c r="C1138" s="1" t="s">
        <v>2417</v>
      </c>
      <c r="D1138" s="1" t="n">
        <v>56.36</v>
      </c>
      <c r="E1138" s="1" t="s">
        <v>14</v>
      </c>
      <c r="F1138" s="1" t="s">
        <v>41</v>
      </c>
      <c r="G1138" s="1" t="s">
        <v>86</v>
      </c>
      <c r="H1138" s="1" t="s">
        <v>24</v>
      </c>
      <c r="I1138" s="1" t="s">
        <v>2415</v>
      </c>
      <c r="J1138" s="1" t="n">
        <v>7</v>
      </c>
      <c r="K1138" s="1" t="s">
        <v>263</v>
      </c>
    </row>
    <row r="1139" customFormat="false" ht="15" hidden="false" customHeight="true" outlineLevel="0" collapsed="false">
      <c r="A1139" s="1" t="s">
        <v>2418</v>
      </c>
      <c r="B1139" s="1" t="s">
        <v>120</v>
      </c>
      <c r="C1139" s="1" t="s">
        <v>2419</v>
      </c>
      <c r="D1139" s="1" t="n">
        <v>225.54</v>
      </c>
      <c r="E1139" s="1" t="s">
        <v>14</v>
      </c>
      <c r="F1139" s="1" t="s">
        <v>49</v>
      </c>
      <c r="G1139" s="1" t="s">
        <v>86</v>
      </c>
      <c r="H1139" s="1" t="s">
        <v>24</v>
      </c>
      <c r="I1139" s="1" t="s">
        <v>2415</v>
      </c>
      <c r="J1139" s="1" t="n">
        <v>8</v>
      </c>
      <c r="K1139" s="1" t="s">
        <v>263</v>
      </c>
    </row>
    <row r="1140" customFormat="false" ht="15" hidden="false" customHeight="true" outlineLevel="0" collapsed="false">
      <c r="A1140" s="1" t="s">
        <v>2420</v>
      </c>
      <c r="B1140" s="1" t="s">
        <v>487</v>
      </c>
      <c r="C1140" s="1" t="s">
        <v>2419</v>
      </c>
      <c r="D1140" s="1" t="n">
        <v>478.58</v>
      </c>
      <c r="E1140" s="1" t="s">
        <v>14</v>
      </c>
      <c r="F1140" s="1" t="s">
        <v>49</v>
      </c>
      <c r="G1140" s="1" t="s">
        <v>36</v>
      </c>
      <c r="H1140" s="1" t="s">
        <v>17</v>
      </c>
      <c r="I1140" s="1" t="s">
        <v>2415</v>
      </c>
      <c r="J1140" s="1" t="n">
        <v>8</v>
      </c>
      <c r="K1140" s="1" t="s">
        <v>263</v>
      </c>
    </row>
    <row r="1141" customFormat="false" ht="15" hidden="false" customHeight="true" outlineLevel="0" collapsed="false">
      <c r="A1141" s="1" t="s">
        <v>2421</v>
      </c>
      <c r="B1141" s="1" t="s">
        <v>196</v>
      </c>
      <c r="C1141" s="1" t="s">
        <v>2422</v>
      </c>
      <c r="D1141" s="1" t="n">
        <v>32.87</v>
      </c>
      <c r="E1141" s="1" t="s">
        <v>14</v>
      </c>
      <c r="F1141" s="1" t="s">
        <v>15</v>
      </c>
      <c r="G1141" s="1" t="s">
        <v>29</v>
      </c>
      <c r="H1141" s="1" t="s">
        <v>24</v>
      </c>
      <c r="I1141" s="1" t="s">
        <v>2415</v>
      </c>
      <c r="J1141" s="1" t="n">
        <v>9</v>
      </c>
      <c r="K1141" s="1" t="s">
        <v>263</v>
      </c>
    </row>
    <row r="1142" customFormat="false" ht="15" hidden="false" customHeight="true" outlineLevel="0" collapsed="false">
      <c r="A1142" s="1" t="s">
        <v>2423</v>
      </c>
      <c r="B1142" s="1" t="s">
        <v>54</v>
      </c>
      <c r="C1142" s="1" t="s">
        <v>2424</v>
      </c>
      <c r="D1142" s="1" t="n">
        <v>141.47</v>
      </c>
      <c r="E1142" s="1" t="s">
        <v>14</v>
      </c>
      <c r="F1142" s="1" t="s">
        <v>56</v>
      </c>
      <c r="G1142" s="1" t="s">
        <v>36</v>
      </c>
      <c r="H1142" s="1" t="s">
        <v>17</v>
      </c>
      <c r="I1142" s="1" t="s">
        <v>2415</v>
      </c>
      <c r="J1142" s="1" t="n">
        <v>9</v>
      </c>
      <c r="K1142" s="1" t="s">
        <v>263</v>
      </c>
    </row>
    <row r="1143" customFormat="false" ht="15" hidden="false" customHeight="true" outlineLevel="0" collapsed="false">
      <c r="A1143" s="1" t="s">
        <v>2425</v>
      </c>
      <c r="B1143" s="1" t="s">
        <v>183</v>
      </c>
      <c r="C1143" s="1" t="s">
        <v>2426</v>
      </c>
      <c r="D1143" s="1" t="n">
        <v>80.86</v>
      </c>
      <c r="E1143" s="1" t="s">
        <v>14</v>
      </c>
      <c r="F1143" s="1" t="s">
        <v>15</v>
      </c>
      <c r="G1143" s="1" t="s">
        <v>82</v>
      </c>
      <c r="H1143" s="1" t="s">
        <v>24</v>
      </c>
      <c r="I1143" s="1" t="s">
        <v>2415</v>
      </c>
      <c r="J1143" s="1" t="n">
        <v>10</v>
      </c>
      <c r="K1143" s="1" t="s">
        <v>263</v>
      </c>
    </row>
    <row r="1144" customFormat="false" ht="15" hidden="false" customHeight="true" outlineLevel="0" collapsed="false">
      <c r="A1144" s="1" t="s">
        <v>2427</v>
      </c>
      <c r="B1144" s="1" t="s">
        <v>180</v>
      </c>
      <c r="C1144" s="1" t="s">
        <v>2428</v>
      </c>
      <c r="D1144" s="1" t="n">
        <v>367.64</v>
      </c>
      <c r="E1144" s="1" t="s">
        <v>14</v>
      </c>
      <c r="F1144" s="1" t="s">
        <v>49</v>
      </c>
      <c r="G1144" s="1" t="s">
        <v>42</v>
      </c>
      <c r="H1144" s="1" t="s">
        <v>37</v>
      </c>
      <c r="I1144" s="1" t="s">
        <v>2415</v>
      </c>
      <c r="J1144" s="1" t="n">
        <v>11</v>
      </c>
      <c r="K1144" s="1" t="s">
        <v>263</v>
      </c>
    </row>
    <row r="1145" customFormat="false" ht="15" hidden="false" customHeight="true" outlineLevel="0" collapsed="false">
      <c r="A1145" s="1" t="s">
        <v>2429</v>
      </c>
      <c r="B1145" s="1" t="s">
        <v>34</v>
      </c>
      <c r="C1145" s="1" t="s">
        <v>2430</v>
      </c>
      <c r="D1145" s="1" t="n">
        <v>25.84</v>
      </c>
      <c r="E1145" s="1" t="s">
        <v>14</v>
      </c>
      <c r="F1145" s="1" t="s">
        <v>15</v>
      </c>
      <c r="G1145" s="1" t="s">
        <v>29</v>
      </c>
      <c r="H1145" s="1" t="s">
        <v>37</v>
      </c>
      <c r="I1145" s="1" t="s">
        <v>2415</v>
      </c>
      <c r="J1145" s="1" t="n">
        <v>11</v>
      </c>
      <c r="K1145" s="1" t="s">
        <v>263</v>
      </c>
    </row>
    <row r="1146" customFormat="false" ht="15" hidden="false" customHeight="true" outlineLevel="0" collapsed="false">
      <c r="A1146" s="1" t="s">
        <v>2431</v>
      </c>
      <c r="B1146" s="1" t="s">
        <v>496</v>
      </c>
      <c r="C1146" s="1" t="s">
        <v>2432</v>
      </c>
      <c r="D1146" s="1" t="n">
        <v>64.32</v>
      </c>
      <c r="E1146" s="1" t="s">
        <v>14</v>
      </c>
      <c r="F1146" s="1" t="s">
        <v>28</v>
      </c>
      <c r="G1146" s="1" t="s">
        <v>36</v>
      </c>
      <c r="H1146" s="1" t="s">
        <v>37</v>
      </c>
      <c r="I1146" s="1" t="s">
        <v>2415</v>
      </c>
      <c r="J1146" s="1" t="n">
        <v>11</v>
      </c>
      <c r="K1146" s="1" t="s">
        <v>263</v>
      </c>
    </row>
    <row r="1147" customFormat="false" ht="15" hidden="false" customHeight="true" outlineLevel="0" collapsed="false">
      <c r="A1147" s="1" t="s">
        <v>2433</v>
      </c>
      <c r="B1147" s="1" t="s">
        <v>140</v>
      </c>
      <c r="C1147" s="1" t="s">
        <v>2434</v>
      </c>
      <c r="D1147" s="1" t="n">
        <v>131.14</v>
      </c>
      <c r="E1147" s="1" t="s">
        <v>14</v>
      </c>
      <c r="F1147" s="1" t="s">
        <v>41</v>
      </c>
      <c r="G1147" s="1" t="s">
        <v>42</v>
      </c>
      <c r="H1147" s="1" t="s">
        <v>17</v>
      </c>
      <c r="I1147" s="1" t="s">
        <v>2415</v>
      </c>
      <c r="J1147" s="1" t="n">
        <v>11</v>
      </c>
      <c r="K1147" s="1" t="s">
        <v>263</v>
      </c>
    </row>
    <row r="1148" customFormat="false" ht="15" hidden="false" customHeight="true" outlineLevel="0" collapsed="false">
      <c r="A1148" s="1" t="s">
        <v>2435</v>
      </c>
      <c r="B1148" s="1" t="s">
        <v>302</v>
      </c>
      <c r="C1148" s="1" t="s">
        <v>2436</v>
      </c>
      <c r="D1148" s="1" t="n">
        <v>114.43</v>
      </c>
      <c r="E1148" s="1" t="s">
        <v>14</v>
      </c>
      <c r="F1148" s="1" t="s">
        <v>28</v>
      </c>
      <c r="G1148" s="1" t="s">
        <v>42</v>
      </c>
      <c r="H1148" s="1" t="s">
        <v>17</v>
      </c>
      <c r="I1148" s="1" t="s">
        <v>2415</v>
      </c>
      <c r="J1148" s="1" t="n">
        <v>13</v>
      </c>
      <c r="K1148" s="1" t="s">
        <v>263</v>
      </c>
    </row>
    <row r="1149" customFormat="false" ht="15" hidden="false" customHeight="true" outlineLevel="0" collapsed="false">
      <c r="A1149" s="1" t="s">
        <v>2437</v>
      </c>
      <c r="B1149" s="1" t="s">
        <v>190</v>
      </c>
      <c r="C1149" s="1" t="s">
        <v>2438</v>
      </c>
      <c r="D1149" s="1" t="n">
        <v>231.79</v>
      </c>
      <c r="E1149" s="1" t="s">
        <v>14</v>
      </c>
      <c r="F1149" s="1" t="s">
        <v>49</v>
      </c>
      <c r="G1149" s="1" t="s">
        <v>70</v>
      </c>
      <c r="H1149" s="1" t="s">
        <v>24</v>
      </c>
      <c r="I1149" s="1" t="s">
        <v>2415</v>
      </c>
      <c r="J1149" s="1" t="n">
        <v>13</v>
      </c>
      <c r="K1149" s="1" t="s">
        <v>263</v>
      </c>
    </row>
    <row r="1150" customFormat="false" ht="15" hidden="false" customHeight="true" outlineLevel="0" collapsed="false">
      <c r="A1150" s="1" t="s">
        <v>2439</v>
      </c>
      <c r="B1150" s="1" t="s">
        <v>113</v>
      </c>
      <c r="C1150" s="1" t="s">
        <v>2440</v>
      </c>
      <c r="D1150" s="1" t="n">
        <v>675.89</v>
      </c>
      <c r="E1150" s="1" t="s">
        <v>14</v>
      </c>
      <c r="F1150" s="1" t="s">
        <v>41</v>
      </c>
      <c r="G1150" s="1" t="s">
        <v>86</v>
      </c>
      <c r="H1150" s="1" t="s">
        <v>24</v>
      </c>
      <c r="I1150" s="1" t="s">
        <v>2415</v>
      </c>
      <c r="J1150" s="1" t="n">
        <v>14</v>
      </c>
      <c r="K1150" s="1" t="s">
        <v>263</v>
      </c>
    </row>
    <row r="1151" customFormat="false" ht="15" hidden="false" customHeight="true" outlineLevel="0" collapsed="false">
      <c r="A1151" s="1" t="s">
        <v>2441</v>
      </c>
      <c r="B1151" s="1" t="s">
        <v>291</v>
      </c>
      <c r="C1151" s="1" t="s">
        <v>2442</v>
      </c>
      <c r="D1151" s="1" t="n">
        <v>61.21</v>
      </c>
      <c r="E1151" s="1" t="s">
        <v>14</v>
      </c>
      <c r="F1151" s="1" t="s">
        <v>28</v>
      </c>
      <c r="G1151" s="1" t="s">
        <v>70</v>
      </c>
      <c r="H1151" s="1" t="s">
        <v>37</v>
      </c>
      <c r="I1151" s="1" t="s">
        <v>2415</v>
      </c>
      <c r="J1151" s="1" t="n">
        <v>15</v>
      </c>
      <c r="K1151" s="1" t="s">
        <v>263</v>
      </c>
    </row>
    <row r="1152" customFormat="false" ht="15" hidden="false" customHeight="true" outlineLevel="0" collapsed="false">
      <c r="A1152" s="1" t="s">
        <v>2443</v>
      </c>
      <c r="B1152" s="1" t="s">
        <v>106</v>
      </c>
      <c r="C1152" s="1" t="s">
        <v>2444</v>
      </c>
      <c r="D1152" s="1" t="n">
        <v>15.61</v>
      </c>
      <c r="E1152" s="1" t="s">
        <v>14</v>
      </c>
      <c r="F1152" s="1" t="s">
        <v>15</v>
      </c>
      <c r="G1152" s="1" t="s">
        <v>16</v>
      </c>
      <c r="H1152" s="1" t="s">
        <v>37</v>
      </c>
      <c r="I1152" s="1" t="s">
        <v>2415</v>
      </c>
      <c r="J1152" s="1" t="n">
        <v>16</v>
      </c>
      <c r="K1152" s="1" t="s">
        <v>263</v>
      </c>
    </row>
    <row r="1153" customFormat="false" ht="15" hidden="false" customHeight="true" outlineLevel="0" collapsed="false">
      <c r="A1153" s="1" t="s">
        <v>2445</v>
      </c>
      <c r="B1153" s="1" t="s">
        <v>80</v>
      </c>
      <c r="C1153" s="1" t="s">
        <v>2446</v>
      </c>
      <c r="D1153" s="1" t="n">
        <v>41.59</v>
      </c>
      <c r="E1153" s="1" t="s">
        <v>14</v>
      </c>
      <c r="F1153" s="1" t="s">
        <v>56</v>
      </c>
      <c r="G1153" s="1" t="s">
        <v>36</v>
      </c>
      <c r="H1153" s="1" t="s">
        <v>24</v>
      </c>
      <c r="I1153" s="1" t="s">
        <v>2415</v>
      </c>
      <c r="J1153" s="1" t="n">
        <v>16</v>
      </c>
      <c r="K1153" s="1" t="s">
        <v>263</v>
      </c>
    </row>
    <row r="1154" customFormat="false" ht="15" hidden="false" customHeight="true" outlineLevel="0" collapsed="false">
      <c r="A1154" s="1" t="s">
        <v>2447</v>
      </c>
      <c r="B1154" s="1" t="s">
        <v>193</v>
      </c>
      <c r="C1154" s="1" t="s">
        <v>2448</v>
      </c>
      <c r="D1154" s="1" t="n">
        <v>120.17</v>
      </c>
      <c r="E1154" s="1" t="s">
        <v>14</v>
      </c>
      <c r="F1154" s="1" t="s">
        <v>15</v>
      </c>
      <c r="G1154" s="1" t="s">
        <v>86</v>
      </c>
      <c r="H1154" s="1" t="s">
        <v>17</v>
      </c>
      <c r="I1154" s="1" t="s">
        <v>2415</v>
      </c>
      <c r="J1154" s="1" t="n">
        <v>17</v>
      </c>
      <c r="K1154" s="1" t="s">
        <v>263</v>
      </c>
    </row>
    <row r="1155" customFormat="false" ht="15" hidden="false" customHeight="true" outlineLevel="0" collapsed="false">
      <c r="A1155" s="1" t="s">
        <v>2449</v>
      </c>
      <c r="B1155" s="1" t="s">
        <v>394</v>
      </c>
      <c r="C1155" s="1" t="s">
        <v>2450</v>
      </c>
      <c r="D1155" s="1" t="n">
        <v>94.04</v>
      </c>
      <c r="E1155" s="1" t="s">
        <v>14</v>
      </c>
      <c r="F1155" s="1" t="s">
        <v>56</v>
      </c>
      <c r="G1155" s="1" t="s">
        <v>86</v>
      </c>
      <c r="H1155" s="1" t="s">
        <v>24</v>
      </c>
      <c r="I1155" s="1" t="s">
        <v>2415</v>
      </c>
      <c r="J1155" s="1" t="n">
        <v>20</v>
      </c>
      <c r="K1155" s="1" t="s">
        <v>263</v>
      </c>
    </row>
    <row r="1156" customFormat="false" ht="15" hidden="false" customHeight="true" outlineLevel="0" collapsed="false">
      <c r="A1156" s="1" t="s">
        <v>2451</v>
      </c>
      <c r="B1156" s="1" t="s">
        <v>58</v>
      </c>
      <c r="C1156" s="1" t="s">
        <v>2452</v>
      </c>
      <c r="D1156" s="1" t="n">
        <v>18.71</v>
      </c>
      <c r="E1156" s="1" t="s">
        <v>14</v>
      </c>
      <c r="F1156" s="1" t="s">
        <v>15</v>
      </c>
      <c r="G1156" s="1" t="s">
        <v>42</v>
      </c>
      <c r="H1156" s="1" t="s">
        <v>17</v>
      </c>
      <c r="I1156" s="1" t="s">
        <v>2415</v>
      </c>
      <c r="J1156" s="1" t="n">
        <v>21</v>
      </c>
      <c r="K1156" s="1" t="s">
        <v>263</v>
      </c>
    </row>
    <row r="1157" customFormat="false" ht="15" hidden="false" customHeight="true" outlineLevel="0" collapsed="false">
      <c r="A1157" s="1" t="s">
        <v>2453</v>
      </c>
      <c r="B1157" s="1" t="s">
        <v>162</v>
      </c>
      <c r="C1157" s="1" t="s">
        <v>2454</v>
      </c>
      <c r="D1157" s="1" t="n">
        <v>12.38</v>
      </c>
      <c r="E1157" s="1" t="s">
        <v>14</v>
      </c>
      <c r="F1157" s="1" t="s">
        <v>49</v>
      </c>
      <c r="G1157" s="1" t="s">
        <v>86</v>
      </c>
      <c r="H1157" s="1" t="s">
        <v>17</v>
      </c>
      <c r="I1157" s="1" t="s">
        <v>2455</v>
      </c>
      <c r="J1157" s="1" t="n">
        <v>1</v>
      </c>
      <c r="K1157" s="1" t="s">
        <v>19</v>
      </c>
    </row>
    <row r="1158" customFormat="false" ht="15" hidden="false" customHeight="true" outlineLevel="0" collapsed="false">
      <c r="A1158" s="1" t="s">
        <v>2456</v>
      </c>
      <c r="B1158" s="1" t="s">
        <v>34</v>
      </c>
      <c r="C1158" s="1" t="s">
        <v>2457</v>
      </c>
      <c r="D1158" s="1" t="n">
        <v>2242.13</v>
      </c>
      <c r="E1158" s="1" t="s">
        <v>14</v>
      </c>
      <c r="F1158" s="1" t="s">
        <v>15</v>
      </c>
      <c r="G1158" s="1" t="s">
        <v>82</v>
      </c>
      <c r="H1158" s="1" t="s">
        <v>17</v>
      </c>
      <c r="I1158" s="1" t="s">
        <v>2455</v>
      </c>
      <c r="J1158" s="1" t="n">
        <v>2</v>
      </c>
      <c r="K1158" s="1" t="s">
        <v>19</v>
      </c>
    </row>
    <row r="1159" customFormat="false" ht="15" hidden="false" customHeight="true" outlineLevel="0" collapsed="false">
      <c r="A1159" s="1" t="s">
        <v>2458</v>
      </c>
      <c r="B1159" s="1" t="s">
        <v>394</v>
      </c>
      <c r="C1159" s="1" t="s">
        <v>2459</v>
      </c>
      <c r="D1159" s="1" t="n">
        <v>257.41</v>
      </c>
      <c r="E1159" s="1" t="s">
        <v>14</v>
      </c>
      <c r="F1159" s="1" t="s">
        <v>56</v>
      </c>
      <c r="G1159" s="1" t="s">
        <v>23</v>
      </c>
      <c r="H1159" s="1" t="s">
        <v>17</v>
      </c>
      <c r="I1159" s="1" t="s">
        <v>2455</v>
      </c>
      <c r="J1159" s="1" t="n">
        <v>2</v>
      </c>
      <c r="K1159" s="1" t="s">
        <v>19</v>
      </c>
    </row>
    <row r="1160" customFormat="false" ht="15" hidden="false" customHeight="true" outlineLevel="0" collapsed="false">
      <c r="A1160" s="1" t="s">
        <v>2460</v>
      </c>
      <c r="B1160" s="1" t="s">
        <v>39</v>
      </c>
      <c r="C1160" s="1" t="s">
        <v>2461</v>
      </c>
      <c r="D1160" s="1" t="n">
        <v>33.35</v>
      </c>
      <c r="E1160" s="1" t="s">
        <v>14</v>
      </c>
      <c r="F1160" s="1" t="s">
        <v>41</v>
      </c>
      <c r="G1160" s="1" t="s">
        <v>36</v>
      </c>
      <c r="H1160" s="1" t="s">
        <v>24</v>
      </c>
      <c r="I1160" s="1" t="s">
        <v>2455</v>
      </c>
      <c r="J1160" s="1" t="n">
        <v>3</v>
      </c>
      <c r="K1160" s="1" t="s">
        <v>19</v>
      </c>
    </row>
    <row r="1161" customFormat="false" ht="15" hidden="false" customHeight="true" outlineLevel="0" collapsed="false">
      <c r="A1161" s="1" t="s">
        <v>2462</v>
      </c>
      <c r="B1161" s="1" t="s">
        <v>286</v>
      </c>
      <c r="C1161" s="1" t="s">
        <v>2463</v>
      </c>
      <c r="D1161" s="1" t="n">
        <v>20.18</v>
      </c>
      <c r="E1161" s="1" t="s">
        <v>14</v>
      </c>
      <c r="F1161" s="1" t="s">
        <v>15</v>
      </c>
      <c r="G1161" s="1" t="s">
        <v>42</v>
      </c>
      <c r="H1161" s="1" t="s">
        <v>24</v>
      </c>
      <c r="I1161" s="1" t="s">
        <v>2455</v>
      </c>
      <c r="J1161" s="1" t="n">
        <v>4</v>
      </c>
      <c r="K1161" s="1" t="s">
        <v>19</v>
      </c>
    </row>
    <row r="1162" customFormat="false" ht="15" hidden="false" customHeight="true" outlineLevel="0" collapsed="false">
      <c r="A1162" s="1" t="s">
        <v>2464</v>
      </c>
      <c r="B1162" s="1" t="s">
        <v>64</v>
      </c>
      <c r="C1162" s="1" t="s">
        <v>2465</v>
      </c>
      <c r="D1162" s="1" t="n">
        <v>162.85</v>
      </c>
      <c r="E1162" s="1" t="s">
        <v>14</v>
      </c>
      <c r="F1162" s="1" t="s">
        <v>41</v>
      </c>
      <c r="G1162" s="1" t="s">
        <v>23</v>
      </c>
      <c r="H1162" s="1" t="s">
        <v>24</v>
      </c>
      <c r="I1162" s="1" t="s">
        <v>2455</v>
      </c>
      <c r="J1162" s="1" t="n">
        <v>6</v>
      </c>
      <c r="K1162" s="1" t="s">
        <v>19</v>
      </c>
    </row>
    <row r="1163" customFormat="false" ht="15" hidden="false" customHeight="true" outlineLevel="0" collapsed="false">
      <c r="A1163" s="1" t="s">
        <v>2466</v>
      </c>
      <c r="B1163" s="1" t="s">
        <v>487</v>
      </c>
      <c r="C1163" s="1" t="s">
        <v>2467</v>
      </c>
      <c r="D1163" s="1" t="n">
        <v>9.86</v>
      </c>
      <c r="E1163" s="1" t="s">
        <v>14</v>
      </c>
      <c r="F1163" s="1" t="s">
        <v>49</v>
      </c>
      <c r="G1163" s="1" t="s">
        <v>16</v>
      </c>
      <c r="H1163" s="1" t="s">
        <v>24</v>
      </c>
      <c r="I1163" s="1" t="s">
        <v>2455</v>
      </c>
      <c r="J1163" s="1" t="n">
        <v>6</v>
      </c>
      <c r="K1163" s="1" t="s">
        <v>19</v>
      </c>
    </row>
    <row r="1164" customFormat="false" ht="15" hidden="false" customHeight="true" outlineLevel="0" collapsed="false">
      <c r="A1164" s="1" t="s">
        <v>2468</v>
      </c>
      <c r="B1164" s="1" t="s">
        <v>84</v>
      </c>
      <c r="C1164" s="1" t="s">
        <v>2469</v>
      </c>
      <c r="D1164" s="1" t="n">
        <v>22.64</v>
      </c>
      <c r="E1164" s="1" t="s">
        <v>14</v>
      </c>
      <c r="F1164" s="1" t="s">
        <v>56</v>
      </c>
      <c r="G1164" s="1" t="s">
        <v>70</v>
      </c>
      <c r="H1164" s="1" t="s">
        <v>37</v>
      </c>
      <c r="I1164" s="1" t="s">
        <v>2455</v>
      </c>
      <c r="J1164" s="1" t="n">
        <v>7</v>
      </c>
      <c r="K1164" s="1" t="s">
        <v>19</v>
      </c>
    </row>
    <row r="1165" customFormat="false" ht="15" hidden="false" customHeight="true" outlineLevel="0" collapsed="false">
      <c r="A1165" s="1" t="s">
        <v>2470</v>
      </c>
      <c r="B1165" s="1" t="s">
        <v>286</v>
      </c>
      <c r="C1165" s="1" t="s">
        <v>2471</v>
      </c>
      <c r="D1165" s="1" t="n">
        <v>38.84</v>
      </c>
      <c r="E1165" s="1" t="s">
        <v>14</v>
      </c>
      <c r="F1165" s="1" t="s">
        <v>15</v>
      </c>
      <c r="G1165" s="1" t="s">
        <v>42</v>
      </c>
      <c r="H1165" s="1" t="s">
        <v>24</v>
      </c>
      <c r="I1165" s="1" t="s">
        <v>2455</v>
      </c>
      <c r="J1165" s="1" t="n">
        <v>7</v>
      </c>
      <c r="K1165" s="1" t="s">
        <v>19</v>
      </c>
    </row>
    <row r="1166" customFormat="false" ht="15" hidden="false" customHeight="true" outlineLevel="0" collapsed="false">
      <c r="A1166" s="1" t="s">
        <v>2472</v>
      </c>
      <c r="B1166" s="1" t="s">
        <v>258</v>
      </c>
      <c r="C1166" s="1" t="s">
        <v>2473</v>
      </c>
      <c r="D1166" s="1" t="n">
        <v>35.38</v>
      </c>
      <c r="E1166" s="1" t="s">
        <v>14</v>
      </c>
      <c r="F1166" s="1" t="s">
        <v>28</v>
      </c>
      <c r="G1166" s="1" t="s">
        <v>16</v>
      </c>
      <c r="H1166" s="1" t="s">
        <v>24</v>
      </c>
      <c r="I1166" s="1" t="s">
        <v>2455</v>
      </c>
      <c r="J1166" s="1" t="n">
        <v>7</v>
      </c>
      <c r="K1166" s="1" t="s">
        <v>19</v>
      </c>
    </row>
    <row r="1167" customFormat="false" ht="15" hidden="false" customHeight="true" outlineLevel="0" collapsed="false">
      <c r="A1167" s="1" t="s">
        <v>2474</v>
      </c>
      <c r="B1167" s="1" t="s">
        <v>39</v>
      </c>
      <c r="C1167" s="1" t="s">
        <v>2475</v>
      </c>
      <c r="D1167" s="1" t="n">
        <v>47.41</v>
      </c>
      <c r="E1167" s="1" t="s">
        <v>14</v>
      </c>
      <c r="F1167" s="1" t="s">
        <v>41</v>
      </c>
      <c r="G1167" s="1" t="s">
        <v>70</v>
      </c>
      <c r="H1167" s="1" t="s">
        <v>24</v>
      </c>
      <c r="I1167" s="1" t="s">
        <v>2455</v>
      </c>
      <c r="J1167" s="1" t="n">
        <v>8</v>
      </c>
      <c r="K1167" s="1" t="s">
        <v>19</v>
      </c>
    </row>
    <row r="1168" customFormat="false" ht="15" hidden="false" customHeight="true" outlineLevel="0" collapsed="false">
      <c r="A1168" s="1" t="s">
        <v>2476</v>
      </c>
      <c r="B1168" s="1" t="s">
        <v>167</v>
      </c>
      <c r="C1168" s="1" t="s">
        <v>2477</v>
      </c>
      <c r="D1168" s="1" t="n">
        <v>172.06</v>
      </c>
      <c r="E1168" s="1" t="s">
        <v>14</v>
      </c>
      <c r="F1168" s="1" t="s">
        <v>28</v>
      </c>
      <c r="G1168" s="1" t="s">
        <v>29</v>
      </c>
      <c r="H1168" s="1" t="s">
        <v>17</v>
      </c>
      <c r="I1168" s="1" t="s">
        <v>2455</v>
      </c>
      <c r="J1168" s="1" t="n">
        <v>9</v>
      </c>
      <c r="K1168" s="1" t="s">
        <v>19</v>
      </c>
    </row>
    <row r="1169" customFormat="false" ht="15" hidden="false" customHeight="true" outlineLevel="0" collapsed="false">
      <c r="A1169" s="1" t="s">
        <v>2478</v>
      </c>
      <c r="B1169" s="1" t="s">
        <v>98</v>
      </c>
      <c r="C1169" s="1" t="s">
        <v>2479</v>
      </c>
      <c r="D1169" s="1" t="n">
        <v>15.69</v>
      </c>
      <c r="E1169" s="1" t="s">
        <v>14</v>
      </c>
      <c r="F1169" s="1" t="s">
        <v>15</v>
      </c>
      <c r="G1169" s="1" t="s">
        <v>86</v>
      </c>
      <c r="H1169" s="1" t="s">
        <v>37</v>
      </c>
      <c r="I1169" s="1" t="s">
        <v>2455</v>
      </c>
      <c r="J1169" s="1" t="n">
        <v>9</v>
      </c>
      <c r="K1169" s="1" t="s">
        <v>19</v>
      </c>
    </row>
    <row r="1170" customFormat="false" ht="15" hidden="false" customHeight="true" outlineLevel="0" collapsed="false">
      <c r="A1170" s="1" t="s">
        <v>2480</v>
      </c>
      <c r="B1170" s="1" t="s">
        <v>80</v>
      </c>
      <c r="C1170" s="1" t="s">
        <v>2481</v>
      </c>
      <c r="D1170" s="1" t="n">
        <v>209.43</v>
      </c>
      <c r="E1170" s="1" t="s">
        <v>14</v>
      </c>
      <c r="F1170" s="1" t="s">
        <v>56</v>
      </c>
      <c r="G1170" s="1" t="s">
        <v>70</v>
      </c>
      <c r="H1170" s="1" t="s">
        <v>37</v>
      </c>
      <c r="I1170" s="1" t="s">
        <v>2455</v>
      </c>
      <c r="J1170" s="1" t="n">
        <v>11</v>
      </c>
      <c r="K1170" s="1" t="s">
        <v>19</v>
      </c>
    </row>
    <row r="1171" customFormat="false" ht="15" hidden="false" customHeight="true" outlineLevel="0" collapsed="false">
      <c r="A1171" s="1" t="s">
        <v>2482</v>
      </c>
      <c r="B1171" s="1" t="s">
        <v>72</v>
      </c>
      <c r="C1171" s="1" t="s">
        <v>2483</v>
      </c>
      <c r="D1171" s="1" t="n">
        <v>145.92</v>
      </c>
      <c r="E1171" s="1" t="s">
        <v>14</v>
      </c>
      <c r="F1171" s="1" t="s">
        <v>49</v>
      </c>
      <c r="G1171" s="1" t="s">
        <v>86</v>
      </c>
      <c r="H1171" s="1" t="s">
        <v>17</v>
      </c>
      <c r="I1171" s="1" t="s">
        <v>2455</v>
      </c>
      <c r="J1171" s="1" t="n">
        <v>12</v>
      </c>
      <c r="K1171" s="1" t="s">
        <v>19</v>
      </c>
    </row>
    <row r="1172" customFormat="false" ht="15" hidden="false" customHeight="true" outlineLevel="0" collapsed="false">
      <c r="A1172" s="1" t="s">
        <v>2484</v>
      </c>
      <c r="B1172" s="1" t="s">
        <v>31</v>
      </c>
      <c r="C1172" s="1" t="s">
        <v>2485</v>
      </c>
      <c r="D1172" s="1" t="n">
        <v>197.52</v>
      </c>
      <c r="E1172" s="1" t="s">
        <v>14</v>
      </c>
      <c r="F1172" s="1" t="s">
        <v>15</v>
      </c>
      <c r="G1172" s="1" t="s">
        <v>70</v>
      </c>
      <c r="H1172" s="1" t="s">
        <v>24</v>
      </c>
      <c r="I1172" s="1" t="s">
        <v>2455</v>
      </c>
      <c r="J1172" s="1" t="n">
        <v>17</v>
      </c>
      <c r="K1172" s="1" t="s">
        <v>19</v>
      </c>
    </row>
    <row r="1173" customFormat="false" ht="15" hidden="false" customHeight="true" outlineLevel="0" collapsed="false">
      <c r="A1173" s="1" t="s">
        <v>2486</v>
      </c>
      <c r="B1173" s="1" t="s">
        <v>216</v>
      </c>
      <c r="C1173" s="1" t="s">
        <v>2487</v>
      </c>
      <c r="D1173" s="1" t="n">
        <v>83.01</v>
      </c>
      <c r="E1173" s="1" t="s">
        <v>14</v>
      </c>
      <c r="F1173" s="1" t="s">
        <v>49</v>
      </c>
      <c r="G1173" s="1" t="s">
        <v>70</v>
      </c>
      <c r="H1173" s="1" t="s">
        <v>17</v>
      </c>
      <c r="I1173" s="1" t="s">
        <v>2455</v>
      </c>
      <c r="J1173" s="1" t="n">
        <v>21</v>
      </c>
      <c r="K1173" s="1" t="s">
        <v>19</v>
      </c>
    </row>
    <row r="1174" customFormat="false" ht="15" hidden="false" customHeight="true" outlineLevel="0" collapsed="false">
      <c r="A1174" s="1" t="s">
        <v>2488</v>
      </c>
      <c r="B1174" s="1" t="s">
        <v>90</v>
      </c>
      <c r="C1174" s="1" t="s">
        <v>2489</v>
      </c>
      <c r="D1174" s="1" t="n">
        <v>28.62</v>
      </c>
      <c r="E1174" s="1" t="s">
        <v>14</v>
      </c>
      <c r="F1174" s="1" t="s">
        <v>41</v>
      </c>
      <c r="G1174" s="1" t="s">
        <v>23</v>
      </c>
      <c r="H1174" s="1" t="s">
        <v>17</v>
      </c>
      <c r="I1174" s="1" t="s">
        <v>2455</v>
      </c>
      <c r="J1174" s="1" t="n">
        <v>22</v>
      </c>
      <c r="K1174" s="1" t="s">
        <v>19</v>
      </c>
    </row>
    <row r="1175" customFormat="false" ht="15" hidden="false" customHeight="true" outlineLevel="0" collapsed="false">
      <c r="A1175" s="1" t="s">
        <v>2490</v>
      </c>
      <c r="B1175" s="1" t="s">
        <v>307</v>
      </c>
      <c r="C1175" s="1" t="s">
        <v>2491</v>
      </c>
      <c r="D1175" s="1" t="n">
        <v>53.13</v>
      </c>
      <c r="E1175" s="1" t="s">
        <v>14</v>
      </c>
      <c r="F1175" s="1" t="s">
        <v>15</v>
      </c>
      <c r="G1175" s="1" t="s">
        <v>82</v>
      </c>
      <c r="H1175" s="1" t="s">
        <v>17</v>
      </c>
      <c r="I1175" s="1" t="s">
        <v>2492</v>
      </c>
      <c r="J1175" s="1" t="n">
        <v>2</v>
      </c>
      <c r="K1175" s="1" t="s">
        <v>67</v>
      </c>
    </row>
    <row r="1176" customFormat="false" ht="15" hidden="false" customHeight="true" outlineLevel="0" collapsed="false">
      <c r="A1176" s="1" t="s">
        <v>2493</v>
      </c>
      <c r="B1176" s="1" t="s">
        <v>167</v>
      </c>
      <c r="C1176" s="1" t="s">
        <v>2494</v>
      </c>
      <c r="D1176" s="1" t="n">
        <v>168.79</v>
      </c>
      <c r="E1176" s="1" t="s">
        <v>14</v>
      </c>
      <c r="F1176" s="1" t="s">
        <v>28</v>
      </c>
      <c r="G1176" s="1" t="s">
        <v>86</v>
      </c>
      <c r="H1176" s="1" t="s">
        <v>24</v>
      </c>
      <c r="I1176" s="1" t="s">
        <v>2492</v>
      </c>
      <c r="J1176" s="1" t="n">
        <v>6</v>
      </c>
      <c r="K1176" s="1" t="s">
        <v>67</v>
      </c>
    </row>
    <row r="1177" customFormat="false" ht="15" hidden="false" customHeight="true" outlineLevel="0" collapsed="false">
      <c r="A1177" s="1" t="s">
        <v>2495</v>
      </c>
      <c r="B1177" s="1" t="s">
        <v>31</v>
      </c>
      <c r="C1177" s="1" t="s">
        <v>2496</v>
      </c>
      <c r="D1177" s="1" t="n">
        <v>194.33</v>
      </c>
      <c r="E1177" s="1" t="s">
        <v>14</v>
      </c>
      <c r="F1177" s="1" t="s">
        <v>15</v>
      </c>
      <c r="G1177" s="1" t="s">
        <v>86</v>
      </c>
      <c r="H1177" s="1" t="s">
        <v>37</v>
      </c>
      <c r="I1177" s="1" t="s">
        <v>2492</v>
      </c>
      <c r="J1177" s="1" t="n">
        <v>7</v>
      </c>
      <c r="K1177" s="1" t="s">
        <v>67</v>
      </c>
    </row>
    <row r="1178" customFormat="false" ht="15" hidden="false" customHeight="true" outlineLevel="0" collapsed="false">
      <c r="A1178" s="1" t="s">
        <v>2497</v>
      </c>
      <c r="B1178" s="1" t="s">
        <v>148</v>
      </c>
      <c r="C1178" s="1" t="s">
        <v>2498</v>
      </c>
      <c r="D1178" s="1" t="n">
        <v>84.35</v>
      </c>
      <c r="E1178" s="1" t="s">
        <v>14</v>
      </c>
      <c r="F1178" s="1" t="s">
        <v>41</v>
      </c>
      <c r="G1178" s="1" t="s">
        <v>16</v>
      </c>
      <c r="H1178" s="1" t="s">
        <v>37</v>
      </c>
      <c r="I1178" s="1" t="s">
        <v>2492</v>
      </c>
      <c r="J1178" s="1" t="n">
        <v>7</v>
      </c>
      <c r="K1178" s="1" t="s">
        <v>67</v>
      </c>
    </row>
    <row r="1179" customFormat="false" ht="15" hidden="false" customHeight="true" outlineLevel="0" collapsed="false">
      <c r="A1179" s="1" t="s">
        <v>2499</v>
      </c>
      <c r="B1179" s="1" t="s">
        <v>228</v>
      </c>
      <c r="C1179" s="1" t="s">
        <v>2500</v>
      </c>
      <c r="D1179" s="1" t="n">
        <v>2622.15</v>
      </c>
      <c r="E1179" s="1" t="s">
        <v>14</v>
      </c>
      <c r="F1179" s="1" t="s">
        <v>28</v>
      </c>
      <c r="G1179" s="1" t="s">
        <v>23</v>
      </c>
      <c r="H1179" s="1" t="s">
        <v>276</v>
      </c>
      <c r="I1179" s="1" t="s">
        <v>2492</v>
      </c>
      <c r="J1179" s="1" t="n">
        <v>9</v>
      </c>
      <c r="K1179" s="1" t="s">
        <v>67</v>
      </c>
    </row>
    <row r="1180" customFormat="false" ht="15" hidden="false" customHeight="true" outlineLevel="0" collapsed="false">
      <c r="A1180" s="1" t="s">
        <v>2501</v>
      </c>
      <c r="B1180" s="1" t="s">
        <v>44</v>
      </c>
      <c r="C1180" s="1" t="s">
        <v>2502</v>
      </c>
      <c r="D1180" s="1" t="n">
        <v>57.07</v>
      </c>
      <c r="E1180" s="1" t="s">
        <v>14</v>
      </c>
      <c r="F1180" s="1" t="s">
        <v>28</v>
      </c>
      <c r="G1180" s="1" t="s">
        <v>82</v>
      </c>
      <c r="H1180" s="1" t="s">
        <v>17</v>
      </c>
      <c r="I1180" s="1" t="s">
        <v>2492</v>
      </c>
      <c r="J1180" s="1" t="n">
        <v>10</v>
      </c>
      <c r="K1180" s="1" t="s">
        <v>67</v>
      </c>
    </row>
    <row r="1181" customFormat="false" ht="15" hidden="false" customHeight="true" outlineLevel="0" collapsed="false">
      <c r="A1181" s="1" t="s">
        <v>2503</v>
      </c>
      <c r="B1181" s="1" t="s">
        <v>228</v>
      </c>
      <c r="C1181" s="1" t="s">
        <v>2504</v>
      </c>
      <c r="D1181" s="1" t="n">
        <v>2697.07</v>
      </c>
      <c r="E1181" s="1" t="s">
        <v>14</v>
      </c>
      <c r="F1181" s="1" t="s">
        <v>28</v>
      </c>
      <c r="G1181" s="1" t="s">
        <v>23</v>
      </c>
      <c r="H1181" s="1" t="s">
        <v>276</v>
      </c>
      <c r="I1181" s="1" t="s">
        <v>2492</v>
      </c>
      <c r="J1181" s="1" t="n">
        <v>10</v>
      </c>
      <c r="K1181" s="1" t="s">
        <v>67</v>
      </c>
    </row>
    <row r="1182" customFormat="false" ht="15" hidden="false" customHeight="true" outlineLevel="0" collapsed="false">
      <c r="A1182" s="1" t="s">
        <v>2505</v>
      </c>
      <c r="B1182" s="1" t="s">
        <v>54</v>
      </c>
      <c r="C1182" s="1" t="s">
        <v>2506</v>
      </c>
      <c r="D1182" s="1" t="n">
        <v>190.76</v>
      </c>
      <c r="E1182" s="1" t="s">
        <v>14</v>
      </c>
      <c r="F1182" s="1" t="s">
        <v>56</v>
      </c>
      <c r="G1182" s="1" t="s">
        <v>42</v>
      </c>
      <c r="H1182" s="1" t="s">
        <v>24</v>
      </c>
      <c r="I1182" s="1" t="s">
        <v>2492</v>
      </c>
      <c r="J1182" s="1" t="n">
        <v>12</v>
      </c>
      <c r="K1182" s="1" t="s">
        <v>67</v>
      </c>
    </row>
    <row r="1183" customFormat="false" ht="15" hidden="false" customHeight="true" outlineLevel="0" collapsed="false">
      <c r="A1183" s="1" t="s">
        <v>2507</v>
      </c>
      <c r="B1183" s="1" t="s">
        <v>228</v>
      </c>
      <c r="C1183" s="1" t="s">
        <v>2508</v>
      </c>
      <c r="D1183" s="1" t="n">
        <v>2611.43</v>
      </c>
      <c r="E1183" s="1" t="s">
        <v>14</v>
      </c>
      <c r="F1183" s="1" t="s">
        <v>28</v>
      </c>
      <c r="G1183" s="1" t="s">
        <v>23</v>
      </c>
      <c r="H1183" s="1" t="s">
        <v>276</v>
      </c>
      <c r="I1183" s="1" t="s">
        <v>2492</v>
      </c>
      <c r="J1183" s="1" t="n">
        <v>12</v>
      </c>
      <c r="K1183" s="1" t="s">
        <v>67</v>
      </c>
    </row>
    <row r="1184" customFormat="false" ht="15" hidden="false" customHeight="true" outlineLevel="0" collapsed="false">
      <c r="A1184" s="1" t="s">
        <v>2509</v>
      </c>
      <c r="B1184" s="1" t="s">
        <v>228</v>
      </c>
      <c r="C1184" s="1" t="s">
        <v>2510</v>
      </c>
      <c r="D1184" s="1" t="n">
        <v>2466.66</v>
      </c>
      <c r="E1184" s="1" t="s">
        <v>14</v>
      </c>
      <c r="F1184" s="1" t="s">
        <v>28</v>
      </c>
      <c r="G1184" s="1" t="s">
        <v>23</v>
      </c>
      <c r="H1184" s="1" t="s">
        <v>276</v>
      </c>
      <c r="I1184" s="1" t="s">
        <v>2492</v>
      </c>
      <c r="J1184" s="1" t="n">
        <v>14</v>
      </c>
      <c r="K1184" s="1" t="s">
        <v>67</v>
      </c>
    </row>
    <row r="1185" customFormat="false" ht="15" hidden="false" customHeight="true" outlineLevel="0" collapsed="false">
      <c r="A1185" s="1" t="s">
        <v>2511</v>
      </c>
      <c r="B1185" s="1" t="s">
        <v>64</v>
      </c>
      <c r="C1185" s="1" t="s">
        <v>2512</v>
      </c>
      <c r="D1185" s="1" t="n">
        <v>25.57</v>
      </c>
      <c r="E1185" s="1" t="s">
        <v>14</v>
      </c>
      <c r="F1185" s="1" t="s">
        <v>41</v>
      </c>
      <c r="G1185" s="1" t="s">
        <v>16</v>
      </c>
      <c r="H1185" s="1" t="s">
        <v>37</v>
      </c>
      <c r="I1185" s="1" t="s">
        <v>2492</v>
      </c>
      <c r="J1185" s="1" t="n">
        <v>17</v>
      </c>
      <c r="K1185" s="1" t="s">
        <v>67</v>
      </c>
    </row>
    <row r="1186" customFormat="false" ht="15" hidden="false" customHeight="true" outlineLevel="0" collapsed="false">
      <c r="A1186" s="1" t="s">
        <v>2513</v>
      </c>
      <c r="B1186" s="1" t="s">
        <v>21</v>
      </c>
      <c r="C1186" s="1" t="s">
        <v>2514</v>
      </c>
      <c r="D1186" s="1" t="n">
        <v>58.17</v>
      </c>
      <c r="E1186" s="1" t="s">
        <v>14</v>
      </c>
      <c r="F1186" s="1" t="s">
        <v>15</v>
      </c>
      <c r="G1186" s="1" t="s">
        <v>82</v>
      </c>
      <c r="H1186" s="1" t="s">
        <v>24</v>
      </c>
      <c r="I1186" s="1" t="s">
        <v>2492</v>
      </c>
      <c r="J1186" s="1" t="n">
        <v>17</v>
      </c>
      <c r="K1186" s="1" t="s">
        <v>67</v>
      </c>
    </row>
    <row r="1187" customFormat="false" ht="15" hidden="false" customHeight="true" outlineLevel="0" collapsed="false">
      <c r="A1187" s="1" t="s">
        <v>2515</v>
      </c>
      <c r="B1187" s="1" t="s">
        <v>26</v>
      </c>
      <c r="C1187" s="1" t="s">
        <v>2516</v>
      </c>
      <c r="D1187" s="1" t="n">
        <v>92.34</v>
      </c>
      <c r="E1187" s="1" t="s">
        <v>14</v>
      </c>
      <c r="F1187" s="1" t="s">
        <v>28</v>
      </c>
      <c r="G1187" s="1" t="s">
        <v>36</v>
      </c>
      <c r="H1187" s="1" t="s">
        <v>24</v>
      </c>
      <c r="I1187" s="1" t="s">
        <v>2492</v>
      </c>
      <c r="J1187" s="1" t="n">
        <v>18</v>
      </c>
      <c r="K1187" s="1" t="s">
        <v>67</v>
      </c>
    </row>
    <row r="1188" customFormat="false" ht="15" hidden="false" customHeight="true" outlineLevel="0" collapsed="false">
      <c r="A1188" s="1" t="s">
        <v>2517</v>
      </c>
      <c r="B1188" s="1" t="s">
        <v>54</v>
      </c>
      <c r="C1188" s="1" t="s">
        <v>2518</v>
      </c>
      <c r="D1188" s="1" t="n">
        <v>46.03</v>
      </c>
      <c r="E1188" s="1" t="s">
        <v>14</v>
      </c>
      <c r="F1188" s="1" t="s">
        <v>56</v>
      </c>
      <c r="G1188" s="1" t="s">
        <v>36</v>
      </c>
      <c r="H1188" s="1" t="s">
        <v>17</v>
      </c>
      <c r="I1188" s="1" t="s">
        <v>2492</v>
      </c>
      <c r="J1188" s="1" t="n">
        <v>19</v>
      </c>
      <c r="K1188" s="1" t="s">
        <v>67</v>
      </c>
    </row>
    <row r="1189" customFormat="false" ht="15" hidden="false" customHeight="true" outlineLevel="0" collapsed="false">
      <c r="A1189" s="1" t="s">
        <v>2519</v>
      </c>
      <c r="B1189" s="1" t="s">
        <v>47</v>
      </c>
      <c r="C1189" s="1" t="s">
        <v>2520</v>
      </c>
      <c r="D1189" s="1" t="n">
        <v>26.56</v>
      </c>
      <c r="E1189" s="1" t="s">
        <v>14</v>
      </c>
      <c r="F1189" s="1" t="s">
        <v>49</v>
      </c>
      <c r="G1189" s="1" t="s">
        <v>82</v>
      </c>
      <c r="H1189" s="1" t="s">
        <v>37</v>
      </c>
      <c r="I1189" s="1" t="s">
        <v>2492</v>
      </c>
      <c r="J1189" s="1" t="n">
        <v>19</v>
      </c>
      <c r="K1189" s="1" t="s">
        <v>67</v>
      </c>
    </row>
    <row r="1190" customFormat="false" ht="15" hidden="false" customHeight="true" outlineLevel="0" collapsed="false">
      <c r="A1190" s="1" t="s">
        <v>2521</v>
      </c>
      <c r="B1190" s="1" t="s">
        <v>307</v>
      </c>
      <c r="C1190" s="1" t="s">
        <v>2522</v>
      </c>
      <c r="D1190" s="1" t="n">
        <v>243.99</v>
      </c>
      <c r="E1190" s="1" t="s">
        <v>14</v>
      </c>
      <c r="F1190" s="1" t="s">
        <v>15</v>
      </c>
      <c r="G1190" s="1" t="s">
        <v>42</v>
      </c>
      <c r="H1190" s="1" t="s">
        <v>17</v>
      </c>
      <c r="I1190" s="1" t="s">
        <v>2492</v>
      </c>
      <c r="J1190" s="1" t="n">
        <v>22</v>
      </c>
      <c r="K1190" s="1" t="s">
        <v>67</v>
      </c>
    </row>
    <row r="1191" customFormat="false" ht="15" hidden="false" customHeight="true" outlineLevel="0" collapsed="false">
      <c r="A1191" s="1" t="s">
        <v>2523</v>
      </c>
      <c r="B1191" s="1" t="s">
        <v>113</v>
      </c>
      <c r="C1191" s="1" t="s">
        <v>2524</v>
      </c>
      <c r="D1191" s="1" t="n">
        <v>52.79</v>
      </c>
      <c r="E1191" s="1" t="s">
        <v>14</v>
      </c>
      <c r="F1191" s="1" t="s">
        <v>41</v>
      </c>
      <c r="G1191" s="1" t="s">
        <v>36</v>
      </c>
      <c r="H1191" s="1" t="s">
        <v>37</v>
      </c>
      <c r="I1191" s="1" t="s">
        <v>2525</v>
      </c>
      <c r="J1191" s="1" t="n">
        <v>0</v>
      </c>
      <c r="K1191" s="1" t="s">
        <v>123</v>
      </c>
    </row>
    <row r="1192" customFormat="false" ht="15" hidden="false" customHeight="true" outlineLevel="0" collapsed="false">
      <c r="A1192" s="1" t="s">
        <v>2526</v>
      </c>
      <c r="B1192" s="1" t="s">
        <v>125</v>
      </c>
      <c r="C1192" s="1" t="s">
        <v>2527</v>
      </c>
      <c r="D1192" s="1" t="n">
        <v>166.16</v>
      </c>
      <c r="E1192" s="1" t="s">
        <v>14</v>
      </c>
      <c r="F1192" s="1" t="s">
        <v>28</v>
      </c>
      <c r="G1192" s="1" t="s">
        <v>36</v>
      </c>
      <c r="H1192" s="1" t="s">
        <v>37</v>
      </c>
      <c r="I1192" s="1" t="s">
        <v>2525</v>
      </c>
      <c r="J1192" s="1" t="n">
        <v>4</v>
      </c>
      <c r="K1192" s="1" t="s">
        <v>123</v>
      </c>
    </row>
    <row r="1193" customFormat="false" ht="15" hidden="false" customHeight="true" outlineLevel="0" collapsed="false">
      <c r="A1193" s="1" t="s">
        <v>2528</v>
      </c>
      <c r="B1193" s="1" t="s">
        <v>72</v>
      </c>
      <c r="C1193" s="1" t="s">
        <v>2529</v>
      </c>
      <c r="D1193" s="1" t="n">
        <v>23.77</v>
      </c>
      <c r="E1193" s="1" t="s">
        <v>14</v>
      </c>
      <c r="F1193" s="1" t="s">
        <v>49</v>
      </c>
      <c r="G1193" s="1" t="s">
        <v>82</v>
      </c>
      <c r="H1193" s="1" t="s">
        <v>17</v>
      </c>
      <c r="I1193" s="1" t="s">
        <v>2525</v>
      </c>
      <c r="J1193" s="1" t="n">
        <v>6</v>
      </c>
      <c r="K1193" s="1" t="s">
        <v>123</v>
      </c>
    </row>
    <row r="1194" customFormat="false" ht="15" hidden="false" customHeight="true" outlineLevel="0" collapsed="false">
      <c r="A1194" s="1" t="s">
        <v>2530</v>
      </c>
      <c r="B1194" s="1" t="s">
        <v>170</v>
      </c>
      <c r="C1194" s="1" t="s">
        <v>2531</v>
      </c>
      <c r="D1194" s="1" t="n">
        <v>89.65</v>
      </c>
      <c r="E1194" s="1" t="s">
        <v>14</v>
      </c>
      <c r="F1194" s="1" t="s">
        <v>41</v>
      </c>
      <c r="G1194" s="1" t="s">
        <v>42</v>
      </c>
      <c r="H1194" s="1" t="s">
        <v>37</v>
      </c>
      <c r="I1194" s="1" t="s">
        <v>2525</v>
      </c>
      <c r="J1194" s="1" t="n">
        <v>8</v>
      </c>
      <c r="K1194" s="1" t="s">
        <v>123</v>
      </c>
    </row>
    <row r="1195" customFormat="false" ht="15" hidden="false" customHeight="true" outlineLevel="0" collapsed="false">
      <c r="A1195" s="1" t="s">
        <v>2532</v>
      </c>
      <c r="B1195" s="1" t="s">
        <v>302</v>
      </c>
      <c r="C1195" s="1" t="s">
        <v>2533</v>
      </c>
      <c r="D1195" s="1" t="n">
        <v>77.74</v>
      </c>
      <c r="E1195" s="1" t="s">
        <v>14</v>
      </c>
      <c r="F1195" s="1" t="s">
        <v>28</v>
      </c>
      <c r="G1195" s="1" t="s">
        <v>86</v>
      </c>
      <c r="H1195" s="1" t="s">
        <v>17</v>
      </c>
      <c r="I1195" s="1" t="s">
        <v>2525</v>
      </c>
      <c r="J1195" s="1" t="n">
        <v>8</v>
      </c>
      <c r="K1195" s="1" t="s">
        <v>123</v>
      </c>
    </row>
    <row r="1196" customFormat="false" ht="15" hidden="false" customHeight="true" outlineLevel="0" collapsed="false">
      <c r="A1196" s="1" t="s">
        <v>2534</v>
      </c>
      <c r="B1196" s="1" t="s">
        <v>221</v>
      </c>
      <c r="C1196" s="1" t="s">
        <v>2535</v>
      </c>
      <c r="D1196" s="1" t="n">
        <v>53.3</v>
      </c>
      <c r="E1196" s="1" t="s">
        <v>14</v>
      </c>
      <c r="F1196" s="1" t="s">
        <v>15</v>
      </c>
      <c r="G1196" s="1" t="s">
        <v>42</v>
      </c>
      <c r="H1196" s="1" t="s">
        <v>37</v>
      </c>
      <c r="I1196" s="1" t="s">
        <v>2525</v>
      </c>
      <c r="J1196" s="1" t="n">
        <v>8</v>
      </c>
      <c r="K1196" s="1" t="s">
        <v>123</v>
      </c>
    </row>
    <row r="1197" customFormat="false" ht="15" hidden="false" customHeight="true" outlineLevel="0" collapsed="false">
      <c r="A1197" s="1" t="s">
        <v>2536</v>
      </c>
      <c r="B1197" s="1" t="s">
        <v>193</v>
      </c>
      <c r="C1197" s="1" t="s">
        <v>2537</v>
      </c>
      <c r="D1197" s="1" t="n">
        <v>73.59</v>
      </c>
      <c r="E1197" s="1" t="s">
        <v>14</v>
      </c>
      <c r="F1197" s="1" t="s">
        <v>15</v>
      </c>
      <c r="G1197" s="1" t="s">
        <v>36</v>
      </c>
      <c r="H1197" s="1" t="s">
        <v>37</v>
      </c>
      <c r="I1197" s="1" t="s">
        <v>2525</v>
      </c>
      <c r="J1197" s="1" t="n">
        <v>9</v>
      </c>
      <c r="K1197" s="1" t="s">
        <v>123</v>
      </c>
    </row>
    <row r="1198" customFormat="false" ht="15" hidden="false" customHeight="true" outlineLevel="0" collapsed="false">
      <c r="A1198" s="1" t="s">
        <v>2538</v>
      </c>
      <c r="B1198" s="1" t="s">
        <v>496</v>
      </c>
      <c r="C1198" s="1" t="s">
        <v>2539</v>
      </c>
      <c r="D1198" s="1" t="n">
        <v>2886.87</v>
      </c>
      <c r="E1198" s="1" t="s">
        <v>14</v>
      </c>
      <c r="F1198" s="1" t="s">
        <v>28</v>
      </c>
      <c r="G1198" s="1" t="s">
        <v>23</v>
      </c>
      <c r="H1198" s="1" t="s">
        <v>276</v>
      </c>
      <c r="I1198" s="1" t="s">
        <v>2525</v>
      </c>
      <c r="J1198" s="1" t="n">
        <v>9</v>
      </c>
      <c r="K1198" s="1" t="s">
        <v>123</v>
      </c>
    </row>
    <row r="1199" customFormat="false" ht="15" hidden="false" customHeight="true" outlineLevel="0" collapsed="false">
      <c r="A1199" s="1" t="s">
        <v>2540</v>
      </c>
      <c r="B1199" s="1" t="s">
        <v>496</v>
      </c>
      <c r="C1199" s="1" t="s">
        <v>2541</v>
      </c>
      <c r="D1199" s="1" t="n">
        <v>2804.43</v>
      </c>
      <c r="E1199" s="1" t="s">
        <v>14</v>
      </c>
      <c r="F1199" s="1" t="s">
        <v>28</v>
      </c>
      <c r="G1199" s="1" t="s">
        <v>23</v>
      </c>
      <c r="H1199" s="1" t="s">
        <v>276</v>
      </c>
      <c r="I1199" s="1" t="s">
        <v>2525</v>
      </c>
      <c r="J1199" s="1" t="n">
        <v>10</v>
      </c>
      <c r="K1199" s="1" t="s">
        <v>123</v>
      </c>
    </row>
    <row r="1200" customFormat="false" ht="15" hidden="false" customHeight="true" outlineLevel="0" collapsed="false">
      <c r="A1200" s="1" t="s">
        <v>2542</v>
      </c>
      <c r="B1200" s="1" t="s">
        <v>496</v>
      </c>
      <c r="C1200" s="1" t="s">
        <v>2543</v>
      </c>
      <c r="D1200" s="1" t="n">
        <v>2419.63</v>
      </c>
      <c r="E1200" s="1" t="s">
        <v>14</v>
      </c>
      <c r="F1200" s="1" t="s">
        <v>28</v>
      </c>
      <c r="G1200" s="1" t="s">
        <v>23</v>
      </c>
      <c r="H1200" s="1" t="s">
        <v>276</v>
      </c>
      <c r="I1200" s="1" t="s">
        <v>2525</v>
      </c>
      <c r="J1200" s="1" t="n">
        <v>12</v>
      </c>
      <c r="K1200" s="1" t="s">
        <v>123</v>
      </c>
    </row>
    <row r="1201" customFormat="false" ht="15" hidden="false" customHeight="true" outlineLevel="0" collapsed="false">
      <c r="A1201" s="1" t="s">
        <v>2544</v>
      </c>
      <c r="B1201" s="1" t="s">
        <v>12</v>
      </c>
      <c r="C1201" s="1" t="s">
        <v>2545</v>
      </c>
      <c r="D1201" s="1" t="n">
        <v>110.22</v>
      </c>
      <c r="E1201" s="1" t="s">
        <v>14</v>
      </c>
      <c r="F1201" s="1" t="s">
        <v>15</v>
      </c>
      <c r="G1201" s="1" t="s">
        <v>36</v>
      </c>
      <c r="H1201" s="1" t="s">
        <v>24</v>
      </c>
      <c r="I1201" s="1" t="s">
        <v>2525</v>
      </c>
      <c r="J1201" s="1" t="n">
        <v>13</v>
      </c>
      <c r="K1201" s="1" t="s">
        <v>123</v>
      </c>
    </row>
    <row r="1202" customFormat="false" ht="15" hidden="false" customHeight="true" outlineLevel="0" collapsed="false">
      <c r="A1202" s="1" t="s">
        <v>2546</v>
      </c>
      <c r="B1202" s="1" t="s">
        <v>344</v>
      </c>
      <c r="C1202" s="1" t="s">
        <v>2547</v>
      </c>
      <c r="D1202" s="1" t="n">
        <v>21.77</v>
      </c>
      <c r="E1202" s="1" t="s">
        <v>14</v>
      </c>
      <c r="F1202" s="1" t="s">
        <v>49</v>
      </c>
      <c r="G1202" s="1" t="s">
        <v>70</v>
      </c>
      <c r="H1202" s="1" t="s">
        <v>24</v>
      </c>
      <c r="I1202" s="1" t="s">
        <v>2525</v>
      </c>
      <c r="J1202" s="1" t="n">
        <v>13</v>
      </c>
      <c r="K1202" s="1" t="s">
        <v>123</v>
      </c>
    </row>
    <row r="1203" customFormat="false" ht="15" hidden="false" customHeight="true" outlineLevel="0" collapsed="false">
      <c r="A1203" s="1" t="s">
        <v>2548</v>
      </c>
      <c r="B1203" s="1" t="s">
        <v>140</v>
      </c>
      <c r="C1203" s="1" t="s">
        <v>2549</v>
      </c>
      <c r="D1203" s="1" t="n">
        <v>47.18</v>
      </c>
      <c r="E1203" s="1" t="s">
        <v>14</v>
      </c>
      <c r="F1203" s="1" t="s">
        <v>41</v>
      </c>
      <c r="G1203" s="1" t="s">
        <v>82</v>
      </c>
      <c r="H1203" s="1" t="s">
        <v>24</v>
      </c>
      <c r="I1203" s="1" t="s">
        <v>2525</v>
      </c>
      <c r="J1203" s="1" t="n">
        <v>14</v>
      </c>
      <c r="K1203" s="1" t="s">
        <v>123</v>
      </c>
    </row>
    <row r="1204" customFormat="false" ht="15" hidden="false" customHeight="true" outlineLevel="0" collapsed="false">
      <c r="A1204" s="1" t="s">
        <v>2550</v>
      </c>
      <c r="B1204" s="1" t="s">
        <v>321</v>
      </c>
      <c r="C1204" s="1" t="s">
        <v>2551</v>
      </c>
      <c r="D1204" s="1" t="n">
        <v>117.53</v>
      </c>
      <c r="E1204" s="1" t="s">
        <v>14</v>
      </c>
      <c r="F1204" s="1" t="s">
        <v>15</v>
      </c>
      <c r="G1204" s="1" t="s">
        <v>82</v>
      </c>
      <c r="H1204" s="1" t="s">
        <v>17</v>
      </c>
      <c r="I1204" s="1" t="s">
        <v>2525</v>
      </c>
      <c r="J1204" s="1" t="n">
        <v>16</v>
      </c>
      <c r="K1204" s="1" t="s">
        <v>123</v>
      </c>
    </row>
    <row r="1205" customFormat="false" ht="15" hidden="false" customHeight="true" outlineLevel="0" collapsed="false">
      <c r="A1205" s="1" t="s">
        <v>2552</v>
      </c>
      <c r="B1205" s="1" t="s">
        <v>64</v>
      </c>
      <c r="C1205" s="1" t="s">
        <v>2553</v>
      </c>
      <c r="D1205" s="1" t="n">
        <v>33.78</v>
      </c>
      <c r="E1205" s="1" t="s">
        <v>14</v>
      </c>
      <c r="F1205" s="1" t="s">
        <v>41</v>
      </c>
      <c r="G1205" s="1" t="s">
        <v>70</v>
      </c>
      <c r="H1205" s="1" t="s">
        <v>24</v>
      </c>
      <c r="I1205" s="1" t="s">
        <v>2525</v>
      </c>
      <c r="J1205" s="1" t="n">
        <v>16</v>
      </c>
      <c r="K1205" s="1" t="s">
        <v>123</v>
      </c>
    </row>
    <row r="1206" customFormat="false" ht="15" hidden="false" customHeight="true" outlineLevel="0" collapsed="false">
      <c r="A1206" s="1" t="s">
        <v>2554</v>
      </c>
      <c r="B1206" s="1" t="s">
        <v>80</v>
      </c>
      <c r="C1206" s="1" t="s">
        <v>2555</v>
      </c>
      <c r="D1206" s="1" t="n">
        <v>127.68</v>
      </c>
      <c r="E1206" s="1" t="s">
        <v>14</v>
      </c>
      <c r="F1206" s="1" t="s">
        <v>56</v>
      </c>
      <c r="G1206" s="1" t="s">
        <v>70</v>
      </c>
      <c r="H1206" s="1" t="s">
        <v>37</v>
      </c>
      <c r="I1206" s="1" t="s">
        <v>2525</v>
      </c>
      <c r="J1206" s="1" t="n">
        <v>16</v>
      </c>
      <c r="K1206" s="1" t="s">
        <v>123</v>
      </c>
    </row>
    <row r="1207" customFormat="false" ht="15" hidden="false" customHeight="true" outlineLevel="0" collapsed="false">
      <c r="A1207" s="1" t="s">
        <v>2556</v>
      </c>
      <c r="B1207" s="1" t="s">
        <v>199</v>
      </c>
      <c r="C1207" s="1" t="s">
        <v>2557</v>
      </c>
      <c r="D1207" s="1" t="n">
        <v>34.66</v>
      </c>
      <c r="E1207" s="1" t="s">
        <v>14</v>
      </c>
      <c r="F1207" s="1" t="s">
        <v>41</v>
      </c>
      <c r="G1207" s="1" t="s">
        <v>29</v>
      </c>
      <c r="H1207" s="1" t="s">
        <v>17</v>
      </c>
      <c r="I1207" s="1" t="s">
        <v>2525</v>
      </c>
      <c r="J1207" s="1" t="n">
        <v>16</v>
      </c>
      <c r="K1207" s="1" t="s">
        <v>123</v>
      </c>
    </row>
    <row r="1208" customFormat="false" ht="15" hidden="false" customHeight="true" outlineLevel="0" collapsed="false">
      <c r="A1208" s="1" t="s">
        <v>2558</v>
      </c>
      <c r="B1208" s="1" t="s">
        <v>180</v>
      </c>
      <c r="C1208" s="1" t="s">
        <v>2559</v>
      </c>
      <c r="D1208" s="1" t="n">
        <v>96.69</v>
      </c>
      <c r="E1208" s="1" t="s">
        <v>14</v>
      </c>
      <c r="F1208" s="1" t="s">
        <v>49</v>
      </c>
      <c r="G1208" s="1" t="s">
        <v>16</v>
      </c>
      <c r="H1208" s="1" t="s">
        <v>37</v>
      </c>
      <c r="I1208" s="1" t="s">
        <v>2525</v>
      </c>
      <c r="J1208" s="1" t="n">
        <v>20</v>
      </c>
      <c r="K1208" s="1" t="s">
        <v>123</v>
      </c>
    </row>
    <row r="1209" customFormat="false" ht="15" hidden="false" customHeight="true" outlineLevel="0" collapsed="false">
      <c r="A1209" s="1" t="s">
        <v>2560</v>
      </c>
      <c r="B1209" s="1" t="s">
        <v>47</v>
      </c>
      <c r="C1209" s="1" t="s">
        <v>2561</v>
      </c>
      <c r="D1209" s="1" t="n">
        <v>14.85</v>
      </c>
      <c r="E1209" s="1" t="s">
        <v>14</v>
      </c>
      <c r="F1209" s="1" t="s">
        <v>49</v>
      </c>
      <c r="G1209" s="1" t="s">
        <v>23</v>
      </c>
      <c r="H1209" s="1" t="s">
        <v>17</v>
      </c>
      <c r="I1209" s="1" t="s">
        <v>2562</v>
      </c>
      <c r="J1209" s="1" t="n">
        <v>0</v>
      </c>
      <c r="K1209" s="1" t="s">
        <v>151</v>
      </c>
    </row>
    <row r="1210" customFormat="false" ht="15" hidden="false" customHeight="true" outlineLevel="0" collapsed="false">
      <c r="A1210" s="1" t="s">
        <v>2563</v>
      </c>
      <c r="B1210" s="1" t="s">
        <v>190</v>
      </c>
      <c r="C1210" s="1" t="s">
        <v>2564</v>
      </c>
      <c r="D1210" s="1" t="n">
        <v>51.8</v>
      </c>
      <c r="E1210" s="1" t="s">
        <v>14</v>
      </c>
      <c r="F1210" s="1" t="s">
        <v>49</v>
      </c>
      <c r="G1210" s="1" t="s">
        <v>23</v>
      </c>
      <c r="H1210" s="1" t="s">
        <v>37</v>
      </c>
      <c r="I1210" s="1" t="s">
        <v>2562</v>
      </c>
      <c r="J1210" s="1" t="n">
        <v>4</v>
      </c>
      <c r="K1210" s="1" t="s">
        <v>151</v>
      </c>
    </row>
    <row r="1211" customFormat="false" ht="15" hidden="false" customHeight="true" outlineLevel="0" collapsed="false">
      <c r="A1211" s="1" t="s">
        <v>2565</v>
      </c>
      <c r="B1211" s="1" t="s">
        <v>487</v>
      </c>
      <c r="C1211" s="1" t="s">
        <v>2566</v>
      </c>
      <c r="D1211" s="1" t="n">
        <v>104.4</v>
      </c>
      <c r="E1211" s="1" t="s">
        <v>14</v>
      </c>
      <c r="F1211" s="1" t="s">
        <v>49</v>
      </c>
      <c r="G1211" s="1" t="s">
        <v>23</v>
      </c>
      <c r="H1211" s="1" t="s">
        <v>37</v>
      </c>
      <c r="I1211" s="1" t="s">
        <v>2562</v>
      </c>
      <c r="J1211" s="1" t="n">
        <v>6</v>
      </c>
      <c r="K1211" s="1" t="s">
        <v>151</v>
      </c>
    </row>
    <row r="1212" customFormat="false" ht="15" hidden="false" customHeight="true" outlineLevel="0" collapsed="false">
      <c r="A1212" s="1" t="s">
        <v>2567</v>
      </c>
      <c r="B1212" s="1" t="s">
        <v>193</v>
      </c>
      <c r="C1212" s="1" t="s">
        <v>2568</v>
      </c>
      <c r="D1212" s="1" t="n">
        <v>59.55</v>
      </c>
      <c r="E1212" s="1" t="s">
        <v>14</v>
      </c>
      <c r="F1212" s="1" t="s">
        <v>15</v>
      </c>
      <c r="G1212" s="1" t="s">
        <v>86</v>
      </c>
      <c r="H1212" s="1" t="s">
        <v>37</v>
      </c>
      <c r="I1212" s="1" t="s">
        <v>2562</v>
      </c>
      <c r="J1212" s="1" t="n">
        <v>6</v>
      </c>
      <c r="K1212" s="1" t="s">
        <v>151</v>
      </c>
    </row>
    <row r="1213" customFormat="false" ht="15" hidden="false" customHeight="true" outlineLevel="0" collapsed="false">
      <c r="A1213" s="1" t="s">
        <v>2569</v>
      </c>
      <c r="B1213" s="1" t="s">
        <v>170</v>
      </c>
      <c r="C1213" s="1" t="s">
        <v>2570</v>
      </c>
      <c r="D1213" s="1" t="n">
        <v>54.72</v>
      </c>
      <c r="E1213" s="1" t="s">
        <v>14</v>
      </c>
      <c r="F1213" s="1" t="s">
        <v>41</v>
      </c>
      <c r="G1213" s="1" t="s">
        <v>23</v>
      </c>
      <c r="H1213" s="1" t="s">
        <v>24</v>
      </c>
      <c r="I1213" s="1" t="s">
        <v>2562</v>
      </c>
      <c r="J1213" s="1" t="n">
        <v>7</v>
      </c>
      <c r="K1213" s="1" t="s">
        <v>151</v>
      </c>
    </row>
    <row r="1214" customFormat="false" ht="15" hidden="false" customHeight="true" outlineLevel="0" collapsed="false">
      <c r="A1214" s="1" t="s">
        <v>2571</v>
      </c>
      <c r="B1214" s="1" t="s">
        <v>190</v>
      </c>
      <c r="C1214" s="1" t="s">
        <v>2572</v>
      </c>
      <c r="D1214" s="1" t="n">
        <v>63.03</v>
      </c>
      <c r="E1214" s="1" t="s">
        <v>14</v>
      </c>
      <c r="F1214" s="1" t="s">
        <v>49</v>
      </c>
      <c r="G1214" s="1" t="s">
        <v>70</v>
      </c>
      <c r="H1214" s="1" t="s">
        <v>24</v>
      </c>
      <c r="I1214" s="1" t="s">
        <v>2562</v>
      </c>
      <c r="J1214" s="1" t="n">
        <v>7</v>
      </c>
      <c r="K1214" s="1" t="s">
        <v>151</v>
      </c>
    </row>
    <row r="1215" customFormat="false" ht="15" hidden="false" customHeight="true" outlineLevel="0" collapsed="false">
      <c r="A1215" s="1" t="s">
        <v>2573</v>
      </c>
      <c r="B1215" s="1" t="s">
        <v>90</v>
      </c>
      <c r="C1215" s="1" t="s">
        <v>2574</v>
      </c>
      <c r="D1215" s="1" t="n">
        <v>63.03</v>
      </c>
      <c r="E1215" s="1" t="s">
        <v>14</v>
      </c>
      <c r="F1215" s="1" t="s">
        <v>41</v>
      </c>
      <c r="G1215" s="1" t="s">
        <v>42</v>
      </c>
      <c r="H1215" s="1" t="s">
        <v>24</v>
      </c>
      <c r="I1215" s="1" t="s">
        <v>2562</v>
      </c>
      <c r="J1215" s="1" t="n">
        <v>7</v>
      </c>
      <c r="K1215" s="1" t="s">
        <v>151</v>
      </c>
    </row>
    <row r="1216" customFormat="false" ht="15" hidden="false" customHeight="true" outlineLevel="0" collapsed="false">
      <c r="A1216" s="1" t="s">
        <v>2575</v>
      </c>
      <c r="B1216" s="1" t="s">
        <v>51</v>
      </c>
      <c r="C1216" s="1" t="s">
        <v>2576</v>
      </c>
      <c r="D1216" s="1" t="n">
        <v>1720.48</v>
      </c>
      <c r="E1216" s="1" t="s">
        <v>14</v>
      </c>
      <c r="F1216" s="1" t="s">
        <v>41</v>
      </c>
      <c r="G1216" s="1" t="s">
        <v>42</v>
      </c>
      <c r="H1216" s="1" t="s">
        <v>24</v>
      </c>
      <c r="I1216" s="1" t="s">
        <v>2562</v>
      </c>
      <c r="J1216" s="1" t="n">
        <v>8</v>
      </c>
      <c r="K1216" s="1" t="s">
        <v>151</v>
      </c>
    </row>
    <row r="1217" customFormat="false" ht="15" hidden="false" customHeight="true" outlineLevel="0" collapsed="false">
      <c r="A1217" s="1" t="s">
        <v>2577</v>
      </c>
      <c r="B1217" s="1" t="s">
        <v>240</v>
      </c>
      <c r="C1217" s="1" t="s">
        <v>2578</v>
      </c>
      <c r="D1217" s="1" t="n">
        <v>30.72</v>
      </c>
      <c r="E1217" s="1" t="s">
        <v>14</v>
      </c>
      <c r="F1217" s="1" t="s">
        <v>56</v>
      </c>
      <c r="G1217" s="1" t="s">
        <v>82</v>
      </c>
      <c r="H1217" s="1" t="s">
        <v>24</v>
      </c>
      <c r="I1217" s="1" t="s">
        <v>2562</v>
      </c>
      <c r="J1217" s="1" t="n">
        <v>9</v>
      </c>
      <c r="K1217" s="1" t="s">
        <v>151</v>
      </c>
    </row>
    <row r="1218" customFormat="false" ht="15" hidden="false" customHeight="true" outlineLevel="0" collapsed="false">
      <c r="A1218" s="1" t="s">
        <v>2579</v>
      </c>
      <c r="B1218" s="1" t="s">
        <v>61</v>
      </c>
      <c r="C1218" s="1" t="s">
        <v>2580</v>
      </c>
      <c r="D1218" s="1" t="n">
        <v>35.86</v>
      </c>
      <c r="E1218" s="1" t="s">
        <v>14</v>
      </c>
      <c r="F1218" s="1" t="s">
        <v>56</v>
      </c>
      <c r="G1218" s="1" t="s">
        <v>23</v>
      </c>
      <c r="H1218" s="1" t="s">
        <v>17</v>
      </c>
      <c r="I1218" s="1" t="s">
        <v>2562</v>
      </c>
      <c r="J1218" s="1" t="n">
        <v>9</v>
      </c>
      <c r="K1218" s="1" t="s">
        <v>151</v>
      </c>
    </row>
    <row r="1219" customFormat="false" ht="15" hidden="false" customHeight="true" outlineLevel="0" collapsed="false">
      <c r="A1219" s="1" t="s">
        <v>2581</v>
      </c>
      <c r="B1219" s="1" t="s">
        <v>125</v>
      </c>
      <c r="C1219" s="1" t="s">
        <v>2582</v>
      </c>
      <c r="D1219" s="1" t="n">
        <v>161.49</v>
      </c>
      <c r="E1219" s="1" t="s">
        <v>14</v>
      </c>
      <c r="F1219" s="1" t="s">
        <v>28</v>
      </c>
      <c r="G1219" s="1" t="s">
        <v>42</v>
      </c>
      <c r="H1219" s="1" t="s">
        <v>24</v>
      </c>
      <c r="I1219" s="1" t="s">
        <v>2562</v>
      </c>
      <c r="J1219" s="1" t="n">
        <v>10</v>
      </c>
      <c r="K1219" s="1" t="s">
        <v>151</v>
      </c>
    </row>
    <row r="1220" customFormat="false" ht="15" hidden="false" customHeight="true" outlineLevel="0" collapsed="false">
      <c r="A1220" s="1" t="s">
        <v>2583</v>
      </c>
      <c r="B1220" s="1" t="s">
        <v>31</v>
      </c>
      <c r="C1220" s="1" t="s">
        <v>2584</v>
      </c>
      <c r="D1220" s="1" t="n">
        <v>335.33</v>
      </c>
      <c r="E1220" s="1" t="s">
        <v>14</v>
      </c>
      <c r="F1220" s="1" t="s">
        <v>15</v>
      </c>
      <c r="G1220" s="1" t="s">
        <v>86</v>
      </c>
      <c r="H1220" s="1" t="s">
        <v>37</v>
      </c>
      <c r="I1220" s="1" t="s">
        <v>2562</v>
      </c>
      <c r="J1220" s="1" t="n">
        <v>11</v>
      </c>
      <c r="K1220" s="1" t="s">
        <v>151</v>
      </c>
    </row>
    <row r="1221" customFormat="false" ht="15" hidden="false" customHeight="true" outlineLevel="0" collapsed="false">
      <c r="A1221" s="1" t="s">
        <v>2585</v>
      </c>
      <c r="B1221" s="1" t="s">
        <v>51</v>
      </c>
      <c r="C1221" s="1" t="s">
        <v>2586</v>
      </c>
      <c r="D1221" s="1" t="n">
        <v>756.57</v>
      </c>
      <c r="E1221" s="1" t="s">
        <v>14</v>
      </c>
      <c r="F1221" s="1" t="s">
        <v>410</v>
      </c>
      <c r="G1221" s="1" t="s">
        <v>82</v>
      </c>
      <c r="H1221" s="1" t="s">
        <v>17</v>
      </c>
      <c r="I1221" s="1" t="s">
        <v>2562</v>
      </c>
      <c r="J1221" s="1" t="n">
        <v>12</v>
      </c>
      <c r="K1221" s="1" t="s">
        <v>151</v>
      </c>
    </row>
    <row r="1222" customFormat="false" ht="15" hidden="false" customHeight="true" outlineLevel="0" collapsed="false">
      <c r="A1222" s="1" t="s">
        <v>2587</v>
      </c>
      <c r="B1222" s="1" t="s">
        <v>291</v>
      </c>
      <c r="C1222" s="1" t="s">
        <v>2588</v>
      </c>
      <c r="D1222" s="1" t="n">
        <v>26.47</v>
      </c>
      <c r="E1222" s="1" t="s">
        <v>14</v>
      </c>
      <c r="F1222" s="1" t="s">
        <v>28</v>
      </c>
      <c r="G1222" s="1" t="s">
        <v>82</v>
      </c>
      <c r="H1222" s="1" t="s">
        <v>17</v>
      </c>
      <c r="I1222" s="1" t="s">
        <v>2562</v>
      </c>
      <c r="J1222" s="1" t="n">
        <v>12</v>
      </c>
      <c r="K1222" s="1" t="s">
        <v>151</v>
      </c>
    </row>
    <row r="1223" customFormat="false" ht="15" hidden="false" customHeight="true" outlineLevel="0" collapsed="false">
      <c r="A1223" s="1" t="s">
        <v>2589</v>
      </c>
      <c r="B1223" s="1" t="s">
        <v>190</v>
      </c>
      <c r="C1223" s="1" t="s">
        <v>2590</v>
      </c>
      <c r="D1223" s="1" t="n">
        <v>113.9</v>
      </c>
      <c r="E1223" s="1" t="s">
        <v>14</v>
      </c>
      <c r="F1223" s="1" t="s">
        <v>49</v>
      </c>
      <c r="G1223" s="1" t="s">
        <v>23</v>
      </c>
      <c r="H1223" s="1" t="s">
        <v>37</v>
      </c>
      <c r="I1223" s="1" t="s">
        <v>2562</v>
      </c>
      <c r="J1223" s="1" t="n">
        <v>12</v>
      </c>
      <c r="K1223" s="1" t="s">
        <v>151</v>
      </c>
    </row>
    <row r="1224" customFormat="false" ht="15" hidden="false" customHeight="true" outlineLevel="0" collapsed="false">
      <c r="A1224" s="1" t="s">
        <v>2591</v>
      </c>
      <c r="B1224" s="1" t="s">
        <v>132</v>
      </c>
      <c r="C1224" s="1" t="s">
        <v>2592</v>
      </c>
      <c r="D1224" s="1" t="n">
        <v>712.76</v>
      </c>
      <c r="E1224" s="1" t="s">
        <v>14</v>
      </c>
      <c r="F1224" s="1" t="s">
        <v>41</v>
      </c>
      <c r="G1224" s="1" t="s">
        <v>36</v>
      </c>
      <c r="H1224" s="1" t="s">
        <v>24</v>
      </c>
      <c r="I1224" s="1" t="s">
        <v>2562</v>
      </c>
      <c r="J1224" s="1" t="n">
        <v>12</v>
      </c>
      <c r="K1224" s="1" t="s">
        <v>151</v>
      </c>
    </row>
    <row r="1225" customFormat="false" ht="15" hidden="false" customHeight="true" outlineLevel="0" collapsed="false">
      <c r="A1225" s="1" t="s">
        <v>2593</v>
      </c>
      <c r="B1225" s="1" t="s">
        <v>321</v>
      </c>
      <c r="C1225" s="1" t="s">
        <v>2594</v>
      </c>
      <c r="D1225" s="1" t="n">
        <v>210.59</v>
      </c>
      <c r="E1225" s="1" t="s">
        <v>14</v>
      </c>
      <c r="F1225" s="1" t="s">
        <v>15</v>
      </c>
      <c r="G1225" s="1" t="s">
        <v>86</v>
      </c>
      <c r="H1225" s="1" t="s">
        <v>17</v>
      </c>
      <c r="I1225" s="1" t="s">
        <v>2562</v>
      </c>
      <c r="J1225" s="1" t="n">
        <v>14</v>
      </c>
      <c r="K1225" s="1" t="s">
        <v>151</v>
      </c>
    </row>
    <row r="1226" customFormat="false" ht="15" hidden="false" customHeight="true" outlineLevel="0" collapsed="false">
      <c r="A1226" s="1" t="s">
        <v>2595</v>
      </c>
      <c r="B1226" s="1" t="s">
        <v>12</v>
      </c>
      <c r="C1226" s="1" t="s">
        <v>2596</v>
      </c>
      <c r="D1226" s="1" t="n">
        <v>60.33</v>
      </c>
      <c r="E1226" s="1" t="s">
        <v>14</v>
      </c>
      <c r="F1226" s="1" t="s">
        <v>15</v>
      </c>
      <c r="G1226" s="1" t="s">
        <v>82</v>
      </c>
      <c r="H1226" s="1" t="s">
        <v>24</v>
      </c>
      <c r="I1226" s="1" t="s">
        <v>2562</v>
      </c>
      <c r="J1226" s="1" t="n">
        <v>14</v>
      </c>
      <c r="K1226" s="1" t="s">
        <v>151</v>
      </c>
    </row>
    <row r="1227" customFormat="false" ht="15" hidden="false" customHeight="true" outlineLevel="0" collapsed="false">
      <c r="A1227" s="1" t="s">
        <v>2597</v>
      </c>
      <c r="B1227" s="1" t="s">
        <v>120</v>
      </c>
      <c r="C1227" s="1" t="s">
        <v>2598</v>
      </c>
      <c r="D1227" s="1" t="n">
        <v>25.51</v>
      </c>
      <c r="E1227" s="1" t="s">
        <v>14</v>
      </c>
      <c r="F1227" s="1" t="s">
        <v>49</v>
      </c>
      <c r="G1227" s="1" t="s">
        <v>36</v>
      </c>
      <c r="H1227" s="1" t="s">
        <v>37</v>
      </c>
      <c r="I1227" s="1" t="s">
        <v>2562</v>
      </c>
      <c r="J1227" s="1" t="n">
        <v>15</v>
      </c>
      <c r="K1227" s="1" t="s">
        <v>151</v>
      </c>
    </row>
    <row r="1228" customFormat="false" ht="15" hidden="false" customHeight="true" outlineLevel="0" collapsed="false">
      <c r="A1228" s="1" t="s">
        <v>2599</v>
      </c>
      <c r="B1228" s="1" t="s">
        <v>190</v>
      </c>
      <c r="C1228" s="1" t="s">
        <v>2600</v>
      </c>
      <c r="D1228" s="1" t="n">
        <v>132.03</v>
      </c>
      <c r="E1228" s="1" t="s">
        <v>14</v>
      </c>
      <c r="F1228" s="1" t="s">
        <v>49</v>
      </c>
      <c r="G1228" s="1" t="s">
        <v>23</v>
      </c>
      <c r="H1228" s="1" t="s">
        <v>37</v>
      </c>
      <c r="I1228" s="1" t="s">
        <v>2562</v>
      </c>
      <c r="J1228" s="1" t="n">
        <v>15</v>
      </c>
      <c r="K1228" s="1" t="s">
        <v>151</v>
      </c>
    </row>
    <row r="1229" customFormat="false" ht="15" hidden="false" customHeight="true" outlineLevel="0" collapsed="false">
      <c r="A1229" s="1" t="s">
        <v>2601</v>
      </c>
      <c r="B1229" s="1" t="s">
        <v>145</v>
      </c>
      <c r="C1229" s="1" t="s">
        <v>2602</v>
      </c>
      <c r="D1229" s="1" t="n">
        <v>276.34</v>
      </c>
      <c r="E1229" s="1" t="s">
        <v>14</v>
      </c>
      <c r="F1229" s="1" t="s">
        <v>15</v>
      </c>
      <c r="G1229" s="1" t="s">
        <v>16</v>
      </c>
      <c r="H1229" s="1" t="s">
        <v>24</v>
      </c>
      <c r="I1229" s="1" t="s">
        <v>2562</v>
      </c>
      <c r="J1229" s="1" t="n">
        <v>16</v>
      </c>
      <c r="K1229" s="1" t="s">
        <v>151</v>
      </c>
    </row>
    <row r="1230" customFormat="false" ht="15" hidden="false" customHeight="true" outlineLevel="0" collapsed="false">
      <c r="A1230" s="1" t="s">
        <v>2603</v>
      </c>
      <c r="B1230" s="1" t="s">
        <v>196</v>
      </c>
      <c r="C1230" s="1" t="s">
        <v>2604</v>
      </c>
      <c r="D1230" s="1" t="n">
        <v>75.2</v>
      </c>
      <c r="E1230" s="1" t="s">
        <v>14</v>
      </c>
      <c r="F1230" s="1" t="s">
        <v>15</v>
      </c>
      <c r="G1230" s="1" t="s">
        <v>70</v>
      </c>
      <c r="H1230" s="1" t="s">
        <v>37</v>
      </c>
      <c r="I1230" s="1" t="s">
        <v>2562</v>
      </c>
      <c r="J1230" s="1" t="n">
        <v>16</v>
      </c>
      <c r="K1230" s="1" t="s">
        <v>151</v>
      </c>
    </row>
    <row r="1231" customFormat="false" ht="15" hidden="false" customHeight="true" outlineLevel="0" collapsed="false">
      <c r="A1231" s="1" t="s">
        <v>2605</v>
      </c>
      <c r="B1231" s="1" t="s">
        <v>291</v>
      </c>
      <c r="C1231" s="1" t="s">
        <v>2606</v>
      </c>
      <c r="D1231" s="1" t="n">
        <v>68.43</v>
      </c>
      <c r="E1231" s="1" t="s">
        <v>14</v>
      </c>
      <c r="F1231" s="1" t="s">
        <v>28</v>
      </c>
      <c r="G1231" s="1" t="s">
        <v>23</v>
      </c>
      <c r="H1231" s="1" t="s">
        <v>17</v>
      </c>
      <c r="I1231" s="1" t="s">
        <v>2562</v>
      </c>
      <c r="J1231" s="1" t="n">
        <v>21</v>
      </c>
      <c r="K1231" s="1" t="s">
        <v>151</v>
      </c>
    </row>
    <row r="1232" customFormat="false" ht="15" hidden="false" customHeight="true" outlineLevel="0" collapsed="false">
      <c r="A1232" s="1" t="s">
        <v>2607</v>
      </c>
      <c r="B1232" s="1" t="s">
        <v>496</v>
      </c>
      <c r="C1232" s="1" t="s">
        <v>2608</v>
      </c>
      <c r="D1232" s="1" t="n">
        <v>111.36</v>
      </c>
      <c r="E1232" s="1" t="s">
        <v>14</v>
      </c>
      <c r="F1232" s="1" t="s">
        <v>28</v>
      </c>
      <c r="G1232" s="1" t="s">
        <v>82</v>
      </c>
      <c r="H1232" s="1" t="s">
        <v>37</v>
      </c>
      <c r="I1232" s="1" t="s">
        <v>2609</v>
      </c>
      <c r="J1232" s="1" t="n">
        <v>6</v>
      </c>
      <c r="K1232" s="1" t="s">
        <v>186</v>
      </c>
    </row>
    <row r="1233" customFormat="false" ht="15" hidden="false" customHeight="true" outlineLevel="0" collapsed="false">
      <c r="A1233" s="1" t="s">
        <v>2610</v>
      </c>
      <c r="B1233" s="1" t="s">
        <v>31</v>
      </c>
      <c r="C1233" s="1" t="s">
        <v>2611</v>
      </c>
      <c r="D1233" s="1" t="n">
        <v>191.02</v>
      </c>
      <c r="E1233" s="1" t="s">
        <v>14</v>
      </c>
      <c r="F1233" s="1" t="s">
        <v>15</v>
      </c>
      <c r="G1233" s="1" t="s">
        <v>36</v>
      </c>
      <c r="H1233" s="1" t="s">
        <v>24</v>
      </c>
      <c r="I1233" s="1" t="s">
        <v>2609</v>
      </c>
      <c r="J1233" s="1" t="n">
        <v>6</v>
      </c>
      <c r="K1233" s="1" t="s">
        <v>186</v>
      </c>
    </row>
    <row r="1234" customFormat="false" ht="15" hidden="false" customHeight="true" outlineLevel="0" collapsed="false">
      <c r="A1234" s="1" t="s">
        <v>2612</v>
      </c>
      <c r="B1234" s="1" t="s">
        <v>145</v>
      </c>
      <c r="C1234" s="1" t="s">
        <v>2613</v>
      </c>
      <c r="D1234" s="1" t="n">
        <v>71.81</v>
      </c>
      <c r="E1234" s="1" t="s">
        <v>14</v>
      </c>
      <c r="F1234" s="1" t="s">
        <v>15</v>
      </c>
      <c r="G1234" s="1" t="s">
        <v>16</v>
      </c>
      <c r="H1234" s="1" t="s">
        <v>37</v>
      </c>
      <c r="I1234" s="1" t="s">
        <v>2609</v>
      </c>
      <c r="J1234" s="1" t="n">
        <v>8</v>
      </c>
      <c r="K1234" s="1" t="s">
        <v>186</v>
      </c>
    </row>
    <row r="1235" customFormat="false" ht="15" hidden="false" customHeight="true" outlineLevel="0" collapsed="false">
      <c r="A1235" s="1" t="s">
        <v>2614</v>
      </c>
      <c r="B1235" s="1" t="s">
        <v>39</v>
      </c>
      <c r="C1235" s="1" t="s">
        <v>2615</v>
      </c>
      <c r="D1235" s="1" t="n">
        <v>22.16</v>
      </c>
      <c r="E1235" s="1" t="s">
        <v>14</v>
      </c>
      <c r="F1235" s="1" t="s">
        <v>41</v>
      </c>
      <c r="G1235" s="1" t="s">
        <v>16</v>
      </c>
      <c r="H1235" s="1" t="s">
        <v>37</v>
      </c>
      <c r="I1235" s="1" t="s">
        <v>2609</v>
      </c>
      <c r="J1235" s="1" t="n">
        <v>9</v>
      </c>
      <c r="K1235" s="1" t="s">
        <v>186</v>
      </c>
    </row>
    <row r="1236" customFormat="false" ht="15" hidden="false" customHeight="true" outlineLevel="0" collapsed="false">
      <c r="A1236" s="1" t="s">
        <v>2616</v>
      </c>
      <c r="B1236" s="1" t="s">
        <v>58</v>
      </c>
      <c r="C1236" s="1" t="s">
        <v>2617</v>
      </c>
      <c r="D1236" s="1" t="n">
        <v>108.67</v>
      </c>
      <c r="E1236" s="1" t="s">
        <v>14</v>
      </c>
      <c r="F1236" s="1" t="s">
        <v>15</v>
      </c>
      <c r="G1236" s="1" t="s">
        <v>23</v>
      </c>
      <c r="H1236" s="1" t="s">
        <v>37</v>
      </c>
      <c r="I1236" s="1" t="s">
        <v>2609</v>
      </c>
      <c r="J1236" s="1" t="n">
        <v>10</v>
      </c>
      <c r="K1236" s="1" t="s">
        <v>186</v>
      </c>
    </row>
    <row r="1237" customFormat="false" ht="15" hidden="false" customHeight="true" outlineLevel="0" collapsed="false">
      <c r="A1237" s="1" t="s">
        <v>2618</v>
      </c>
      <c r="B1237" s="1" t="s">
        <v>180</v>
      </c>
      <c r="C1237" s="1" t="s">
        <v>2619</v>
      </c>
      <c r="D1237" s="1" t="n">
        <v>62.22</v>
      </c>
      <c r="E1237" s="1" t="s">
        <v>14</v>
      </c>
      <c r="F1237" s="1" t="s">
        <v>49</v>
      </c>
      <c r="G1237" s="1" t="s">
        <v>86</v>
      </c>
      <c r="H1237" s="1" t="s">
        <v>24</v>
      </c>
      <c r="I1237" s="1" t="s">
        <v>2609</v>
      </c>
      <c r="J1237" s="1" t="n">
        <v>10</v>
      </c>
      <c r="K1237" s="1" t="s">
        <v>186</v>
      </c>
    </row>
    <row r="1238" customFormat="false" ht="15" hidden="false" customHeight="true" outlineLevel="0" collapsed="false">
      <c r="A1238" s="1" t="s">
        <v>2620</v>
      </c>
      <c r="B1238" s="1" t="s">
        <v>137</v>
      </c>
      <c r="C1238" s="1" t="s">
        <v>2621</v>
      </c>
      <c r="D1238" s="1" t="n">
        <v>27.98</v>
      </c>
      <c r="E1238" s="1" t="s">
        <v>14</v>
      </c>
      <c r="F1238" s="1" t="s">
        <v>49</v>
      </c>
      <c r="G1238" s="1" t="s">
        <v>23</v>
      </c>
      <c r="H1238" s="1" t="s">
        <v>24</v>
      </c>
      <c r="I1238" s="1" t="s">
        <v>2609</v>
      </c>
      <c r="J1238" s="1" t="n">
        <v>11</v>
      </c>
      <c r="K1238" s="1" t="s">
        <v>186</v>
      </c>
    </row>
    <row r="1239" customFormat="false" ht="15" hidden="false" customHeight="true" outlineLevel="0" collapsed="false">
      <c r="A1239" s="1" t="s">
        <v>2622</v>
      </c>
      <c r="B1239" s="1" t="s">
        <v>321</v>
      </c>
      <c r="C1239" s="1" t="s">
        <v>2623</v>
      </c>
      <c r="D1239" s="1" t="n">
        <v>74.11</v>
      </c>
      <c r="E1239" s="1" t="s">
        <v>14</v>
      </c>
      <c r="F1239" s="1" t="s">
        <v>15</v>
      </c>
      <c r="G1239" s="1" t="s">
        <v>42</v>
      </c>
      <c r="H1239" s="1" t="s">
        <v>37</v>
      </c>
      <c r="I1239" s="1" t="s">
        <v>2609</v>
      </c>
      <c r="J1239" s="1" t="n">
        <v>12</v>
      </c>
      <c r="K1239" s="1" t="s">
        <v>186</v>
      </c>
    </row>
    <row r="1240" customFormat="false" ht="15" hidden="false" customHeight="true" outlineLevel="0" collapsed="false">
      <c r="A1240" s="1" t="s">
        <v>2624</v>
      </c>
      <c r="B1240" s="1" t="s">
        <v>344</v>
      </c>
      <c r="C1240" s="1" t="s">
        <v>2625</v>
      </c>
      <c r="D1240" s="1" t="n">
        <v>74.45</v>
      </c>
      <c r="E1240" s="1" t="s">
        <v>14</v>
      </c>
      <c r="F1240" s="1" t="s">
        <v>49</v>
      </c>
      <c r="G1240" s="1" t="s">
        <v>70</v>
      </c>
      <c r="H1240" s="1" t="s">
        <v>24</v>
      </c>
      <c r="I1240" s="1" t="s">
        <v>2609</v>
      </c>
      <c r="J1240" s="1" t="n">
        <v>12</v>
      </c>
      <c r="K1240" s="1" t="s">
        <v>186</v>
      </c>
    </row>
    <row r="1241" customFormat="false" ht="15" hidden="false" customHeight="true" outlineLevel="0" collapsed="false">
      <c r="A1241" s="1" t="s">
        <v>2626</v>
      </c>
      <c r="B1241" s="1" t="s">
        <v>286</v>
      </c>
      <c r="C1241" s="1" t="s">
        <v>2627</v>
      </c>
      <c r="D1241" s="1" t="n">
        <v>13.64</v>
      </c>
      <c r="E1241" s="1" t="s">
        <v>14</v>
      </c>
      <c r="F1241" s="1" t="s">
        <v>15</v>
      </c>
      <c r="G1241" s="1" t="s">
        <v>29</v>
      </c>
      <c r="H1241" s="1" t="s">
        <v>24</v>
      </c>
      <c r="I1241" s="1" t="s">
        <v>2609</v>
      </c>
      <c r="J1241" s="1" t="n">
        <v>13</v>
      </c>
      <c r="K1241" s="1" t="s">
        <v>186</v>
      </c>
    </row>
    <row r="1242" customFormat="false" ht="15" hidden="false" customHeight="true" outlineLevel="0" collapsed="false">
      <c r="A1242" s="1" t="s">
        <v>2628</v>
      </c>
      <c r="B1242" s="1" t="s">
        <v>54</v>
      </c>
      <c r="C1242" s="1" t="s">
        <v>2629</v>
      </c>
      <c r="D1242" s="1" t="n">
        <v>96.19</v>
      </c>
      <c r="E1242" s="1" t="s">
        <v>14</v>
      </c>
      <c r="F1242" s="1" t="s">
        <v>56</v>
      </c>
      <c r="G1242" s="1" t="s">
        <v>70</v>
      </c>
      <c r="H1242" s="1" t="s">
        <v>24</v>
      </c>
      <c r="I1242" s="1" t="s">
        <v>2609</v>
      </c>
      <c r="J1242" s="1" t="n">
        <v>16</v>
      </c>
      <c r="K1242" s="1" t="s">
        <v>186</v>
      </c>
    </row>
    <row r="1243" customFormat="false" ht="15" hidden="false" customHeight="true" outlineLevel="0" collapsed="false">
      <c r="A1243" s="1" t="s">
        <v>2630</v>
      </c>
      <c r="B1243" s="1" t="s">
        <v>54</v>
      </c>
      <c r="C1243" s="1" t="s">
        <v>2631</v>
      </c>
      <c r="D1243" s="1" t="n">
        <v>96.19</v>
      </c>
      <c r="E1243" s="1" t="s">
        <v>14</v>
      </c>
      <c r="F1243" s="1" t="s">
        <v>56</v>
      </c>
      <c r="G1243" s="1" t="s">
        <v>70</v>
      </c>
      <c r="H1243" s="1" t="s">
        <v>24</v>
      </c>
      <c r="I1243" s="1" t="s">
        <v>2609</v>
      </c>
      <c r="J1243" s="1" t="n">
        <v>16</v>
      </c>
      <c r="K1243" s="1" t="s">
        <v>186</v>
      </c>
    </row>
    <row r="1244" customFormat="false" ht="15" hidden="false" customHeight="true" outlineLevel="0" collapsed="false">
      <c r="A1244" s="1" t="s">
        <v>2632</v>
      </c>
      <c r="B1244" s="1" t="s">
        <v>291</v>
      </c>
      <c r="C1244" s="1" t="s">
        <v>2633</v>
      </c>
      <c r="D1244" s="1" t="n">
        <v>44.62</v>
      </c>
      <c r="E1244" s="1" t="s">
        <v>14</v>
      </c>
      <c r="F1244" s="1" t="s">
        <v>28</v>
      </c>
      <c r="G1244" s="1" t="s">
        <v>82</v>
      </c>
      <c r="H1244" s="1" t="s">
        <v>37</v>
      </c>
      <c r="I1244" s="1" t="s">
        <v>2609</v>
      </c>
      <c r="J1244" s="1" t="n">
        <v>17</v>
      </c>
      <c r="K1244" s="1" t="s">
        <v>186</v>
      </c>
    </row>
    <row r="1245" customFormat="false" ht="15" hidden="false" customHeight="true" outlineLevel="0" collapsed="false">
      <c r="A1245" s="1" t="s">
        <v>2634</v>
      </c>
      <c r="B1245" s="1" t="s">
        <v>93</v>
      </c>
      <c r="C1245" s="1" t="s">
        <v>2635</v>
      </c>
      <c r="D1245" s="1" t="n">
        <v>155.51</v>
      </c>
      <c r="E1245" s="1" t="s">
        <v>14</v>
      </c>
      <c r="F1245" s="1" t="s">
        <v>28</v>
      </c>
      <c r="G1245" s="1" t="s">
        <v>42</v>
      </c>
      <c r="H1245" s="1" t="s">
        <v>37</v>
      </c>
      <c r="I1245" s="1" t="s">
        <v>2609</v>
      </c>
      <c r="J1245" s="1" t="n">
        <v>19</v>
      </c>
      <c r="K1245" s="1" t="s">
        <v>186</v>
      </c>
    </row>
    <row r="1246" customFormat="false" ht="15" hidden="false" customHeight="true" outlineLevel="0" collapsed="false">
      <c r="A1246" s="1" t="s">
        <v>2636</v>
      </c>
      <c r="B1246" s="1" t="s">
        <v>659</v>
      </c>
      <c r="C1246" s="1" t="s">
        <v>2637</v>
      </c>
      <c r="D1246" s="1" t="n">
        <v>54.66</v>
      </c>
      <c r="E1246" s="1" t="s">
        <v>14</v>
      </c>
      <c r="F1246" s="1" t="s">
        <v>15</v>
      </c>
      <c r="G1246" s="1" t="s">
        <v>42</v>
      </c>
      <c r="H1246" s="1" t="s">
        <v>17</v>
      </c>
      <c r="I1246" s="1" t="s">
        <v>2638</v>
      </c>
      <c r="J1246" s="1" t="n">
        <v>6</v>
      </c>
      <c r="K1246" s="1" t="s">
        <v>219</v>
      </c>
    </row>
    <row r="1247" customFormat="false" ht="15" hidden="false" customHeight="true" outlineLevel="0" collapsed="false">
      <c r="A1247" s="1" t="s">
        <v>2639</v>
      </c>
      <c r="B1247" s="1" t="s">
        <v>101</v>
      </c>
      <c r="C1247" s="1" t="s">
        <v>2640</v>
      </c>
      <c r="D1247" s="1" t="n">
        <v>157.37</v>
      </c>
      <c r="E1247" s="1" t="s">
        <v>14</v>
      </c>
      <c r="F1247" s="1" t="s">
        <v>49</v>
      </c>
      <c r="G1247" s="1" t="s">
        <v>29</v>
      </c>
      <c r="H1247" s="1" t="s">
        <v>37</v>
      </c>
      <c r="I1247" s="1" t="s">
        <v>2638</v>
      </c>
      <c r="J1247" s="1" t="n">
        <v>8</v>
      </c>
      <c r="K1247" s="1" t="s">
        <v>219</v>
      </c>
    </row>
    <row r="1248" customFormat="false" ht="15" hidden="false" customHeight="true" outlineLevel="0" collapsed="false">
      <c r="A1248" s="1" t="s">
        <v>2641</v>
      </c>
      <c r="B1248" s="1" t="s">
        <v>258</v>
      </c>
      <c r="C1248" s="1" t="s">
        <v>2642</v>
      </c>
      <c r="D1248" s="1" t="n">
        <v>115.05</v>
      </c>
      <c r="E1248" s="1" t="s">
        <v>14</v>
      </c>
      <c r="F1248" s="1" t="s">
        <v>28</v>
      </c>
      <c r="G1248" s="1" t="s">
        <v>16</v>
      </c>
      <c r="H1248" s="1" t="s">
        <v>24</v>
      </c>
      <c r="I1248" s="1" t="s">
        <v>2638</v>
      </c>
      <c r="J1248" s="1" t="n">
        <v>8</v>
      </c>
      <c r="K1248" s="1" t="s">
        <v>219</v>
      </c>
    </row>
    <row r="1249" customFormat="false" ht="15" hidden="false" customHeight="true" outlineLevel="0" collapsed="false">
      <c r="A1249" s="1" t="s">
        <v>2643</v>
      </c>
      <c r="B1249" s="1" t="s">
        <v>235</v>
      </c>
      <c r="C1249" s="1" t="s">
        <v>2644</v>
      </c>
      <c r="D1249" s="1" t="n">
        <v>25.63</v>
      </c>
      <c r="E1249" s="1" t="s">
        <v>14</v>
      </c>
      <c r="F1249" s="1" t="s">
        <v>41</v>
      </c>
      <c r="G1249" s="1" t="s">
        <v>70</v>
      </c>
      <c r="H1249" s="1" t="s">
        <v>24</v>
      </c>
      <c r="I1249" s="1" t="s">
        <v>2638</v>
      </c>
      <c r="J1249" s="1" t="n">
        <v>8</v>
      </c>
      <c r="K1249" s="1" t="s">
        <v>219</v>
      </c>
    </row>
    <row r="1250" customFormat="false" ht="15" hidden="false" customHeight="true" outlineLevel="0" collapsed="false">
      <c r="A1250" s="1" t="s">
        <v>2645</v>
      </c>
      <c r="B1250" s="1" t="s">
        <v>173</v>
      </c>
      <c r="C1250" s="1" t="s">
        <v>2646</v>
      </c>
      <c r="D1250" s="1" t="n">
        <v>71.12</v>
      </c>
      <c r="E1250" s="1" t="s">
        <v>14</v>
      </c>
      <c r="F1250" s="1" t="s">
        <v>28</v>
      </c>
      <c r="G1250" s="1" t="s">
        <v>70</v>
      </c>
      <c r="H1250" s="1" t="s">
        <v>24</v>
      </c>
      <c r="I1250" s="1" t="s">
        <v>2638</v>
      </c>
      <c r="J1250" s="1" t="n">
        <v>10</v>
      </c>
      <c r="K1250" s="1" t="s">
        <v>219</v>
      </c>
    </row>
    <row r="1251" customFormat="false" ht="15" hidden="false" customHeight="true" outlineLevel="0" collapsed="false">
      <c r="A1251" s="1" t="s">
        <v>2647</v>
      </c>
      <c r="B1251" s="1" t="s">
        <v>64</v>
      </c>
      <c r="C1251" s="1" t="s">
        <v>2648</v>
      </c>
      <c r="D1251" s="1" t="n">
        <v>29.71</v>
      </c>
      <c r="E1251" s="1" t="s">
        <v>14</v>
      </c>
      <c r="F1251" s="1" t="s">
        <v>41</v>
      </c>
      <c r="G1251" s="1" t="s">
        <v>16</v>
      </c>
      <c r="H1251" s="1" t="s">
        <v>37</v>
      </c>
      <c r="I1251" s="1" t="s">
        <v>2638</v>
      </c>
      <c r="J1251" s="1" t="n">
        <v>13</v>
      </c>
      <c r="K1251" s="1" t="s">
        <v>219</v>
      </c>
    </row>
    <row r="1252" customFormat="false" ht="15" hidden="false" customHeight="true" outlineLevel="0" collapsed="false">
      <c r="A1252" s="1" t="s">
        <v>2649</v>
      </c>
      <c r="B1252" s="1" t="s">
        <v>80</v>
      </c>
      <c r="C1252" s="1" t="s">
        <v>2650</v>
      </c>
      <c r="D1252" s="1" t="n">
        <v>189.31</v>
      </c>
      <c r="E1252" s="1" t="s">
        <v>14</v>
      </c>
      <c r="F1252" s="1" t="s">
        <v>56</v>
      </c>
      <c r="G1252" s="1" t="s">
        <v>36</v>
      </c>
      <c r="H1252" s="1" t="s">
        <v>24</v>
      </c>
      <c r="I1252" s="1" t="s">
        <v>2638</v>
      </c>
      <c r="J1252" s="1" t="n">
        <v>13</v>
      </c>
      <c r="K1252" s="1" t="s">
        <v>219</v>
      </c>
    </row>
    <row r="1253" customFormat="false" ht="15" hidden="false" customHeight="true" outlineLevel="0" collapsed="false">
      <c r="A1253" s="1" t="s">
        <v>2651</v>
      </c>
      <c r="B1253" s="1" t="s">
        <v>193</v>
      </c>
      <c r="C1253" s="1" t="s">
        <v>2652</v>
      </c>
      <c r="D1253" s="1" t="n">
        <v>602.55</v>
      </c>
      <c r="E1253" s="1" t="s">
        <v>14</v>
      </c>
      <c r="F1253" s="1" t="s">
        <v>15</v>
      </c>
      <c r="G1253" s="1" t="s">
        <v>23</v>
      </c>
      <c r="H1253" s="1" t="s">
        <v>24</v>
      </c>
      <c r="I1253" s="1" t="s">
        <v>2638</v>
      </c>
      <c r="J1253" s="1" t="n">
        <v>15</v>
      </c>
      <c r="K1253" s="1" t="s">
        <v>219</v>
      </c>
    </row>
    <row r="1254" customFormat="false" ht="15" hidden="false" customHeight="true" outlineLevel="0" collapsed="false">
      <c r="A1254" s="1" t="s">
        <v>2653</v>
      </c>
      <c r="B1254" s="1" t="s">
        <v>61</v>
      </c>
      <c r="C1254" s="1" t="s">
        <v>2654</v>
      </c>
      <c r="D1254" s="1" t="n">
        <v>37.25</v>
      </c>
      <c r="E1254" s="1" t="s">
        <v>14</v>
      </c>
      <c r="F1254" s="1" t="s">
        <v>56</v>
      </c>
      <c r="G1254" s="1" t="s">
        <v>16</v>
      </c>
      <c r="H1254" s="1" t="s">
        <v>37</v>
      </c>
      <c r="I1254" s="1" t="s">
        <v>2638</v>
      </c>
      <c r="J1254" s="1" t="n">
        <v>16</v>
      </c>
      <c r="K1254" s="1" t="s">
        <v>219</v>
      </c>
    </row>
    <row r="1255" customFormat="false" ht="15" hidden="false" customHeight="true" outlineLevel="0" collapsed="false">
      <c r="A1255" s="1" t="s">
        <v>2655</v>
      </c>
      <c r="B1255" s="1" t="s">
        <v>39</v>
      </c>
      <c r="C1255" s="1" t="s">
        <v>2656</v>
      </c>
      <c r="D1255" s="1" t="n">
        <v>58.42</v>
      </c>
      <c r="E1255" s="1" t="s">
        <v>14</v>
      </c>
      <c r="F1255" s="1" t="s">
        <v>41</v>
      </c>
      <c r="G1255" s="1" t="s">
        <v>70</v>
      </c>
      <c r="H1255" s="1" t="s">
        <v>37</v>
      </c>
      <c r="I1255" s="1" t="s">
        <v>2638</v>
      </c>
      <c r="J1255" s="1" t="n">
        <v>19</v>
      </c>
      <c r="K1255" s="1" t="s">
        <v>219</v>
      </c>
    </row>
    <row r="1256" customFormat="false" ht="15" hidden="false" customHeight="true" outlineLevel="0" collapsed="false">
      <c r="A1256" s="1" t="s">
        <v>2657</v>
      </c>
      <c r="B1256" s="1" t="s">
        <v>286</v>
      </c>
      <c r="C1256" s="1" t="s">
        <v>2658</v>
      </c>
      <c r="D1256" s="1" t="n">
        <v>90.85</v>
      </c>
      <c r="E1256" s="1" t="s">
        <v>14</v>
      </c>
      <c r="F1256" s="1" t="s">
        <v>15</v>
      </c>
      <c r="G1256" s="1" t="s">
        <v>23</v>
      </c>
      <c r="H1256" s="1" t="s">
        <v>17</v>
      </c>
      <c r="I1256" s="1" t="s">
        <v>2659</v>
      </c>
      <c r="J1256" s="1" t="n">
        <v>1</v>
      </c>
      <c r="K1256" s="1" t="s">
        <v>263</v>
      </c>
    </row>
    <row r="1257" customFormat="false" ht="15" hidden="false" customHeight="true" outlineLevel="0" collapsed="false">
      <c r="A1257" s="1" t="s">
        <v>2660</v>
      </c>
      <c r="B1257" s="1" t="s">
        <v>61</v>
      </c>
      <c r="C1257" s="1" t="s">
        <v>2661</v>
      </c>
      <c r="D1257" s="1" t="n">
        <v>65.24</v>
      </c>
      <c r="E1257" s="1" t="s">
        <v>14</v>
      </c>
      <c r="F1257" s="1" t="s">
        <v>56</v>
      </c>
      <c r="G1257" s="1" t="s">
        <v>36</v>
      </c>
      <c r="H1257" s="1" t="s">
        <v>17</v>
      </c>
      <c r="I1257" s="1" t="s">
        <v>2659</v>
      </c>
      <c r="J1257" s="1" t="n">
        <v>2</v>
      </c>
      <c r="K1257" s="1" t="s">
        <v>263</v>
      </c>
    </row>
    <row r="1258" customFormat="false" ht="15" hidden="false" customHeight="true" outlineLevel="0" collapsed="false">
      <c r="A1258" s="1" t="s">
        <v>2662</v>
      </c>
      <c r="B1258" s="1" t="s">
        <v>21</v>
      </c>
      <c r="C1258" s="1" t="s">
        <v>2663</v>
      </c>
      <c r="D1258" s="1" t="n">
        <v>38.85</v>
      </c>
      <c r="E1258" s="1" t="s">
        <v>14</v>
      </c>
      <c r="F1258" s="1" t="s">
        <v>15</v>
      </c>
      <c r="G1258" s="1" t="s">
        <v>36</v>
      </c>
      <c r="H1258" s="1" t="s">
        <v>24</v>
      </c>
      <c r="I1258" s="1" t="s">
        <v>2659</v>
      </c>
      <c r="J1258" s="1" t="n">
        <v>4</v>
      </c>
      <c r="K1258" s="1" t="s">
        <v>263</v>
      </c>
    </row>
    <row r="1259" customFormat="false" ht="15" hidden="false" customHeight="true" outlineLevel="0" collapsed="false">
      <c r="A1259" s="1" t="s">
        <v>2664</v>
      </c>
      <c r="B1259" s="1" t="s">
        <v>12</v>
      </c>
      <c r="C1259" s="1" t="s">
        <v>2665</v>
      </c>
      <c r="D1259" s="1" t="n">
        <v>202.85</v>
      </c>
      <c r="E1259" s="1" t="s">
        <v>14</v>
      </c>
      <c r="F1259" s="1" t="s">
        <v>15</v>
      </c>
      <c r="G1259" s="1" t="s">
        <v>29</v>
      </c>
      <c r="H1259" s="1" t="s">
        <v>17</v>
      </c>
      <c r="I1259" s="1" t="s">
        <v>2659</v>
      </c>
      <c r="J1259" s="1" t="n">
        <v>5</v>
      </c>
      <c r="K1259" s="1" t="s">
        <v>263</v>
      </c>
    </row>
    <row r="1260" customFormat="false" ht="15" hidden="false" customHeight="true" outlineLevel="0" collapsed="false">
      <c r="A1260" s="1" t="s">
        <v>2666</v>
      </c>
      <c r="B1260" s="1" t="s">
        <v>173</v>
      </c>
      <c r="C1260" s="1" t="s">
        <v>2667</v>
      </c>
      <c r="D1260" s="1" t="n">
        <v>131.8</v>
      </c>
      <c r="E1260" s="1" t="s">
        <v>14</v>
      </c>
      <c r="F1260" s="1" t="s">
        <v>28</v>
      </c>
      <c r="G1260" s="1" t="s">
        <v>23</v>
      </c>
      <c r="H1260" s="1" t="s">
        <v>24</v>
      </c>
      <c r="I1260" s="1" t="s">
        <v>2659</v>
      </c>
      <c r="J1260" s="1" t="n">
        <v>6</v>
      </c>
      <c r="K1260" s="1" t="s">
        <v>263</v>
      </c>
    </row>
    <row r="1261" customFormat="false" ht="15" hidden="false" customHeight="true" outlineLevel="0" collapsed="false">
      <c r="A1261" s="1" t="s">
        <v>2668</v>
      </c>
      <c r="B1261" s="1" t="s">
        <v>72</v>
      </c>
      <c r="C1261" s="1" t="s">
        <v>2669</v>
      </c>
      <c r="D1261" s="1" t="n">
        <v>63.32</v>
      </c>
      <c r="E1261" s="1" t="s">
        <v>14</v>
      </c>
      <c r="F1261" s="1" t="s">
        <v>49</v>
      </c>
      <c r="G1261" s="1" t="s">
        <v>16</v>
      </c>
      <c r="H1261" s="1" t="s">
        <v>24</v>
      </c>
      <c r="I1261" s="1" t="s">
        <v>2659</v>
      </c>
      <c r="J1261" s="1" t="n">
        <v>6</v>
      </c>
      <c r="K1261" s="1" t="s">
        <v>263</v>
      </c>
    </row>
    <row r="1262" customFormat="false" ht="15" hidden="false" customHeight="true" outlineLevel="0" collapsed="false">
      <c r="A1262" s="1" t="s">
        <v>2670</v>
      </c>
      <c r="B1262" s="1" t="s">
        <v>98</v>
      </c>
      <c r="C1262" s="1" t="s">
        <v>2671</v>
      </c>
      <c r="D1262" s="1" t="n">
        <v>27.74</v>
      </c>
      <c r="E1262" s="1" t="s">
        <v>14</v>
      </c>
      <c r="F1262" s="1" t="s">
        <v>15</v>
      </c>
      <c r="G1262" s="1" t="s">
        <v>70</v>
      </c>
      <c r="H1262" s="1" t="s">
        <v>37</v>
      </c>
      <c r="I1262" s="1" t="s">
        <v>2659</v>
      </c>
      <c r="J1262" s="1" t="n">
        <v>11</v>
      </c>
      <c r="K1262" s="1" t="s">
        <v>263</v>
      </c>
    </row>
    <row r="1263" customFormat="false" ht="15" hidden="false" customHeight="true" outlineLevel="0" collapsed="false">
      <c r="A1263" s="1" t="s">
        <v>2672</v>
      </c>
      <c r="B1263" s="1" t="s">
        <v>167</v>
      </c>
      <c r="C1263" s="1" t="s">
        <v>2673</v>
      </c>
      <c r="D1263" s="1" t="n">
        <v>25.21</v>
      </c>
      <c r="E1263" s="1" t="s">
        <v>14</v>
      </c>
      <c r="F1263" s="1" t="s">
        <v>28</v>
      </c>
      <c r="G1263" s="1" t="s">
        <v>86</v>
      </c>
      <c r="H1263" s="1" t="s">
        <v>17</v>
      </c>
      <c r="I1263" s="1" t="s">
        <v>2659</v>
      </c>
      <c r="J1263" s="1" t="n">
        <v>11</v>
      </c>
      <c r="K1263" s="1" t="s">
        <v>263</v>
      </c>
    </row>
    <row r="1264" customFormat="false" ht="15" hidden="false" customHeight="true" outlineLevel="0" collapsed="false">
      <c r="A1264" s="1" t="s">
        <v>2674</v>
      </c>
      <c r="B1264" s="1" t="s">
        <v>307</v>
      </c>
      <c r="C1264" s="1" t="s">
        <v>2675</v>
      </c>
      <c r="D1264" s="1" t="n">
        <v>35.27</v>
      </c>
      <c r="E1264" s="1" t="s">
        <v>14</v>
      </c>
      <c r="F1264" s="1" t="s">
        <v>15</v>
      </c>
      <c r="G1264" s="1" t="s">
        <v>23</v>
      </c>
      <c r="H1264" s="1" t="s">
        <v>24</v>
      </c>
      <c r="I1264" s="1" t="s">
        <v>2659</v>
      </c>
      <c r="J1264" s="1" t="n">
        <v>12</v>
      </c>
      <c r="K1264" s="1" t="s">
        <v>263</v>
      </c>
    </row>
    <row r="1265" customFormat="false" ht="15" hidden="false" customHeight="true" outlineLevel="0" collapsed="false">
      <c r="A1265" s="1" t="s">
        <v>2676</v>
      </c>
      <c r="B1265" s="1" t="s">
        <v>183</v>
      </c>
      <c r="C1265" s="1" t="s">
        <v>2677</v>
      </c>
      <c r="D1265" s="1" t="n">
        <v>62.46</v>
      </c>
      <c r="E1265" s="1" t="s">
        <v>14</v>
      </c>
      <c r="F1265" s="1" t="s">
        <v>15</v>
      </c>
      <c r="G1265" s="1" t="s">
        <v>36</v>
      </c>
      <c r="H1265" s="1" t="s">
        <v>24</v>
      </c>
      <c r="I1265" s="1" t="s">
        <v>2659</v>
      </c>
      <c r="J1265" s="1" t="n">
        <v>12</v>
      </c>
      <c r="K1265" s="1" t="s">
        <v>263</v>
      </c>
    </row>
    <row r="1266" customFormat="false" ht="15" hidden="false" customHeight="true" outlineLevel="0" collapsed="false">
      <c r="A1266" s="1" t="s">
        <v>2678</v>
      </c>
      <c r="B1266" s="1" t="s">
        <v>196</v>
      </c>
      <c r="C1266" s="1" t="s">
        <v>2679</v>
      </c>
      <c r="D1266" s="1" t="n">
        <v>9.61</v>
      </c>
      <c r="E1266" s="1" t="s">
        <v>14</v>
      </c>
      <c r="F1266" s="1" t="s">
        <v>15</v>
      </c>
      <c r="G1266" s="1" t="s">
        <v>86</v>
      </c>
      <c r="H1266" s="1" t="s">
        <v>17</v>
      </c>
      <c r="I1266" s="1" t="s">
        <v>2659</v>
      </c>
      <c r="J1266" s="1" t="n">
        <v>18</v>
      </c>
      <c r="K1266" s="1" t="s">
        <v>263</v>
      </c>
    </row>
    <row r="1267" customFormat="false" ht="15" hidden="false" customHeight="true" outlineLevel="0" collapsed="false">
      <c r="A1267" s="1" t="s">
        <v>2680</v>
      </c>
      <c r="B1267" s="1" t="s">
        <v>659</v>
      </c>
      <c r="C1267" s="1" t="s">
        <v>2681</v>
      </c>
      <c r="D1267" s="1" t="n">
        <v>39.88</v>
      </c>
      <c r="E1267" s="1" t="s">
        <v>14</v>
      </c>
      <c r="F1267" s="1" t="s">
        <v>15</v>
      </c>
      <c r="G1267" s="1" t="s">
        <v>42</v>
      </c>
      <c r="H1267" s="1" t="s">
        <v>17</v>
      </c>
      <c r="I1267" s="1" t="s">
        <v>2682</v>
      </c>
      <c r="J1267" s="1" t="n">
        <v>4</v>
      </c>
      <c r="K1267" s="1" t="s">
        <v>19</v>
      </c>
    </row>
    <row r="1268" customFormat="false" ht="15" hidden="false" customHeight="true" outlineLevel="0" collapsed="false">
      <c r="A1268" s="1" t="s">
        <v>2683</v>
      </c>
      <c r="B1268" s="1" t="s">
        <v>26</v>
      </c>
      <c r="C1268" s="1" t="s">
        <v>2684</v>
      </c>
      <c r="D1268" s="1" t="n">
        <v>160.45</v>
      </c>
      <c r="E1268" s="1" t="s">
        <v>14</v>
      </c>
      <c r="F1268" s="1" t="s">
        <v>28</v>
      </c>
      <c r="G1268" s="1" t="s">
        <v>70</v>
      </c>
      <c r="H1268" s="1" t="s">
        <v>17</v>
      </c>
      <c r="I1268" s="1" t="s">
        <v>2682</v>
      </c>
      <c r="J1268" s="1" t="n">
        <v>7</v>
      </c>
      <c r="K1268" s="1" t="s">
        <v>19</v>
      </c>
    </row>
    <row r="1269" customFormat="false" ht="15" hidden="false" customHeight="true" outlineLevel="0" collapsed="false">
      <c r="A1269" s="1" t="s">
        <v>2685</v>
      </c>
      <c r="B1269" s="1" t="s">
        <v>125</v>
      </c>
      <c r="C1269" s="1" t="s">
        <v>2686</v>
      </c>
      <c r="D1269" s="1" t="n">
        <v>298.55</v>
      </c>
      <c r="E1269" s="1" t="s">
        <v>14</v>
      </c>
      <c r="F1269" s="1" t="s">
        <v>28</v>
      </c>
      <c r="G1269" s="1" t="s">
        <v>70</v>
      </c>
      <c r="H1269" s="1" t="s">
        <v>17</v>
      </c>
      <c r="I1269" s="1" t="s">
        <v>2682</v>
      </c>
      <c r="J1269" s="1" t="n">
        <v>9</v>
      </c>
      <c r="K1269" s="1" t="s">
        <v>19</v>
      </c>
    </row>
    <row r="1270" customFormat="false" ht="15" hidden="false" customHeight="true" outlineLevel="0" collapsed="false">
      <c r="A1270" s="1" t="s">
        <v>2687</v>
      </c>
      <c r="B1270" s="1" t="s">
        <v>245</v>
      </c>
      <c r="C1270" s="1" t="s">
        <v>2688</v>
      </c>
      <c r="D1270" s="1" t="n">
        <v>103.88</v>
      </c>
      <c r="E1270" s="1" t="s">
        <v>14</v>
      </c>
      <c r="F1270" s="1" t="s">
        <v>15</v>
      </c>
      <c r="G1270" s="1" t="s">
        <v>16</v>
      </c>
      <c r="H1270" s="1" t="s">
        <v>17</v>
      </c>
      <c r="I1270" s="1" t="s">
        <v>2682</v>
      </c>
      <c r="J1270" s="1" t="n">
        <v>15</v>
      </c>
      <c r="K1270" s="1" t="s">
        <v>19</v>
      </c>
    </row>
    <row r="1271" customFormat="false" ht="15" hidden="false" customHeight="true" outlineLevel="0" collapsed="false">
      <c r="A1271" s="1" t="s">
        <v>2689</v>
      </c>
      <c r="B1271" s="1" t="s">
        <v>101</v>
      </c>
      <c r="C1271" s="1" t="s">
        <v>2690</v>
      </c>
      <c r="D1271" s="1" t="n">
        <v>43.08</v>
      </c>
      <c r="E1271" s="1" t="s">
        <v>14</v>
      </c>
      <c r="F1271" s="1" t="s">
        <v>49</v>
      </c>
      <c r="G1271" s="1" t="s">
        <v>70</v>
      </c>
      <c r="H1271" s="1" t="s">
        <v>17</v>
      </c>
      <c r="I1271" s="1" t="s">
        <v>2682</v>
      </c>
      <c r="J1271" s="1" t="n">
        <v>16</v>
      </c>
      <c r="K1271" s="1" t="s">
        <v>19</v>
      </c>
    </row>
    <row r="1272" customFormat="false" ht="15" hidden="false" customHeight="true" outlineLevel="0" collapsed="false">
      <c r="A1272" s="1" t="s">
        <v>2691</v>
      </c>
      <c r="B1272" s="1" t="s">
        <v>12</v>
      </c>
      <c r="C1272" s="1" t="s">
        <v>2692</v>
      </c>
      <c r="D1272" s="1" t="n">
        <v>141.2</v>
      </c>
      <c r="E1272" s="1" t="s">
        <v>14</v>
      </c>
      <c r="F1272" s="1" t="s">
        <v>15</v>
      </c>
      <c r="G1272" s="1" t="s">
        <v>82</v>
      </c>
      <c r="H1272" s="1" t="s">
        <v>24</v>
      </c>
      <c r="I1272" s="1" t="s">
        <v>2682</v>
      </c>
      <c r="J1272" s="1" t="n">
        <v>17</v>
      </c>
      <c r="K1272" s="1" t="s">
        <v>19</v>
      </c>
    </row>
    <row r="1273" customFormat="false" ht="15" hidden="false" customHeight="true" outlineLevel="0" collapsed="false">
      <c r="A1273" s="1" t="s">
        <v>2693</v>
      </c>
      <c r="B1273" s="1" t="s">
        <v>302</v>
      </c>
      <c r="C1273" s="1" t="s">
        <v>2694</v>
      </c>
      <c r="D1273" s="1" t="n">
        <v>11.27</v>
      </c>
      <c r="E1273" s="1" t="s">
        <v>14</v>
      </c>
      <c r="F1273" s="1" t="s">
        <v>28</v>
      </c>
      <c r="G1273" s="1" t="s">
        <v>36</v>
      </c>
      <c r="H1273" s="1" t="s">
        <v>37</v>
      </c>
      <c r="I1273" s="1" t="s">
        <v>2682</v>
      </c>
      <c r="J1273" s="1" t="n">
        <v>20</v>
      </c>
      <c r="K1273" s="1" t="s">
        <v>19</v>
      </c>
    </row>
    <row r="1274" customFormat="false" ht="15" hidden="false" customHeight="true" outlineLevel="0" collapsed="false">
      <c r="A1274" s="1" t="s">
        <v>2695</v>
      </c>
      <c r="B1274" s="1" t="s">
        <v>162</v>
      </c>
      <c r="C1274" s="1" t="s">
        <v>2696</v>
      </c>
      <c r="D1274" s="1" t="n">
        <v>49.73</v>
      </c>
      <c r="E1274" s="1" t="s">
        <v>14</v>
      </c>
      <c r="F1274" s="1" t="s">
        <v>49</v>
      </c>
      <c r="G1274" s="1" t="s">
        <v>86</v>
      </c>
      <c r="H1274" s="1" t="s">
        <v>37</v>
      </c>
      <c r="I1274" s="1" t="s">
        <v>2682</v>
      </c>
      <c r="J1274" s="1" t="n">
        <v>21</v>
      </c>
      <c r="K1274" s="1" t="s">
        <v>19</v>
      </c>
    </row>
    <row r="1275" customFormat="false" ht="15" hidden="false" customHeight="true" outlineLevel="0" collapsed="false">
      <c r="A1275" s="1" t="s">
        <v>2697</v>
      </c>
      <c r="B1275" s="1" t="s">
        <v>31</v>
      </c>
      <c r="C1275" s="1" t="s">
        <v>2698</v>
      </c>
      <c r="D1275" s="1" t="n">
        <v>65.71</v>
      </c>
      <c r="E1275" s="1" t="s">
        <v>14</v>
      </c>
      <c r="F1275" s="1" t="s">
        <v>15</v>
      </c>
      <c r="G1275" s="1" t="s">
        <v>29</v>
      </c>
      <c r="H1275" s="1" t="s">
        <v>17</v>
      </c>
      <c r="I1275" s="1" t="s">
        <v>2682</v>
      </c>
      <c r="J1275" s="1" t="n">
        <v>22</v>
      </c>
      <c r="K1275" s="1" t="s">
        <v>19</v>
      </c>
    </row>
    <row r="1276" customFormat="false" ht="15" hidden="false" customHeight="true" outlineLevel="0" collapsed="false">
      <c r="A1276" s="1" t="s">
        <v>2699</v>
      </c>
      <c r="B1276" s="1" t="s">
        <v>235</v>
      </c>
      <c r="C1276" s="1" t="s">
        <v>2700</v>
      </c>
      <c r="D1276" s="1" t="n">
        <v>235.69</v>
      </c>
      <c r="E1276" s="1" t="s">
        <v>14</v>
      </c>
      <c r="F1276" s="1" t="s">
        <v>41</v>
      </c>
      <c r="G1276" s="1" t="s">
        <v>16</v>
      </c>
      <c r="H1276" s="1" t="s">
        <v>24</v>
      </c>
      <c r="I1276" s="1" t="s">
        <v>2682</v>
      </c>
      <c r="J1276" s="1" t="n">
        <v>22</v>
      </c>
      <c r="K1276" s="1" t="s">
        <v>19</v>
      </c>
    </row>
    <row r="1277" customFormat="false" ht="15" hidden="false" customHeight="true" outlineLevel="0" collapsed="false">
      <c r="A1277" s="1" t="s">
        <v>2701</v>
      </c>
      <c r="B1277" s="1" t="s">
        <v>487</v>
      </c>
      <c r="C1277" s="1" t="s">
        <v>2702</v>
      </c>
      <c r="D1277" s="1" t="n">
        <v>264.93</v>
      </c>
      <c r="E1277" s="1" t="s">
        <v>14</v>
      </c>
      <c r="F1277" s="1" t="s">
        <v>49</v>
      </c>
      <c r="G1277" s="1" t="s">
        <v>29</v>
      </c>
      <c r="H1277" s="1" t="s">
        <v>37</v>
      </c>
      <c r="I1277" s="1" t="s">
        <v>2682</v>
      </c>
      <c r="J1277" s="1" t="n">
        <v>23</v>
      </c>
      <c r="K1277" s="1" t="s">
        <v>19</v>
      </c>
    </row>
    <row r="1278" customFormat="false" ht="15" hidden="false" customHeight="true" outlineLevel="0" collapsed="false">
      <c r="A1278" s="1" t="s">
        <v>2703</v>
      </c>
      <c r="B1278" s="1" t="s">
        <v>659</v>
      </c>
      <c r="C1278" s="1" t="s">
        <v>2704</v>
      </c>
      <c r="D1278" s="1" t="n">
        <v>53.39</v>
      </c>
      <c r="E1278" s="1" t="s">
        <v>14</v>
      </c>
      <c r="F1278" s="1" t="s">
        <v>15</v>
      </c>
      <c r="G1278" s="1" t="s">
        <v>86</v>
      </c>
      <c r="H1278" s="1" t="s">
        <v>24</v>
      </c>
      <c r="I1278" s="1" t="s">
        <v>2682</v>
      </c>
      <c r="J1278" s="1" t="n">
        <v>23</v>
      </c>
      <c r="K1278" s="1" t="s">
        <v>19</v>
      </c>
    </row>
    <row r="1279" customFormat="false" ht="15" hidden="false" customHeight="true" outlineLevel="0" collapsed="false">
      <c r="A1279" s="1" t="s">
        <v>2705</v>
      </c>
      <c r="B1279" s="1" t="s">
        <v>162</v>
      </c>
      <c r="C1279" s="1" t="s">
        <v>2706</v>
      </c>
      <c r="D1279" s="1" t="n">
        <v>82.44</v>
      </c>
      <c r="E1279" s="1" t="s">
        <v>14</v>
      </c>
      <c r="F1279" s="1" t="s">
        <v>49</v>
      </c>
      <c r="G1279" s="1" t="s">
        <v>23</v>
      </c>
      <c r="H1279" s="1" t="s">
        <v>37</v>
      </c>
      <c r="I1279" s="1" t="s">
        <v>2707</v>
      </c>
      <c r="J1279" s="1" t="n">
        <v>2</v>
      </c>
      <c r="K1279" s="1" t="s">
        <v>67</v>
      </c>
    </row>
    <row r="1280" customFormat="false" ht="15" hidden="false" customHeight="true" outlineLevel="0" collapsed="false">
      <c r="A1280" s="1" t="s">
        <v>2708</v>
      </c>
      <c r="B1280" s="1" t="s">
        <v>193</v>
      </c>
      <c r="C1280" s="1" t="s">
        <v>2709</v>
      </c>
      <c r="D1280" s="1" t="n">
        <v>74.91</v>
      </c>
      <c r="E1280" s="1" t="s">
        <v>14</v>
      </c>
      <c r="F1280" s="1" t="s">
        <v>15</v>
      </c>
      <c r="G1280" s="1" t="s">
        <v>70</v>
      </c>
      <c r="H1280" s="1" t="s">
        <v>24</v>
      </c>
      <c r="I1280" s="1" t="s">
        <v>2707</v>
      </c>
      <c r="J1280" s="1" t="n">
        <v>6</v>
      </c>
      <c r="K1280" s="1" t="s">
        <v>67</v>
      </c>
    </row>
    <row r="1281" customFormat="false" ht="15" hidden="false" customHeight="true" outlineLevel="0" collapsed="false">
      <c r="A1281" s="1" t="s">
        <v>2710</v>
      </c>
      <c r="B1281" s="1" t="s">
        <v>54</v>
      </c>
      <c r="C1281" s="1" t="s">
        <v>2711</v>
      </c>
      <c r="D1281" s="1" t="n">
        <v>86.56</v>
      </c>
      <c r="E1281" s="1" t="s">
        <v>14</v>
      </c>
      <c r="F1281" s="1" t="s">
        <v>56</v>
      </c>
      <c r="G1281" s="1" t="s">
        <v>36</v>
      </c>
      <c r="H1281" s="1" t="s">
        <v>37</v>
      </c>
      <c r="I1281" s="1" t="s">
        <v>2707</v>
      </c>
      <c r="J1281" s="1" t="n">
        <v>7</v>
      </c>
      <c r="K1281" s="1" t="s">
        <v>67</v>
      </c>
    </row>
    <row r="1282" customFormat="false" ht="15" hidden="false" customHeight="true" outlineLevel="0" collapsed="false">
      <c r="A1282" s="1" t="s">
        <v>2712</v>
      </c>
      <c r="B1282" s="1" t="s">
        <v>155</v>
      </c>
      <c r="C1282" s="1" t="s">
        <v>2713</v>
      </c>
      <c r="D1282" s="1" t="n">
        <v>22.36</v>
      </c>
      <c r="E1282" s="1" t="s">
        <v>14</v>
      </c>
      <c r="F1282" s="1" t="s">
        <v>41</v>
      </c>
      <c r="G1282" s="1" t="s">
        <v>86</v>
      </c>
      <c r="H1282" s="1" t="s">
        <v>24</v>
      </c>
      <c r="I1282" s="1" t="s">
        <v>2707</v>
      </c>
      <c r="J1282" s="1" t="n">
        <v>8</v>
      </c>
      <c r="K1282" s="1" t="s">
        <v>67</v>
      </c>
    </row>
    <row r="1283" customFormat="false" ht="15" hidden="false" customHeight="true" outlineLevel="0" collapsed="false">
      <c r="A1283" s="1" t="s">
        <v>2714</v>
      </c>
      <c r="B1283" s="1" t="s">
        <v>221</v>
      </c>
      <c r="C1283" s="1" t="s">
        <v>2715</v>
      </c>
      <c r="D1283" s="1" t="n">
        <v>426.1</v>
      </c>
      <c r="E1283" s="1" t="s">
        <v>14</v>
      </c>
      <c r="F1283" s="1" t="s">
        <v>15</v>
      </c>
      <c r="G1283" s="1" t="s">
        <v>29</v>
      </c>
      <c r="H1283" s="1" t="s">
        <v>17</v>
      </c>
      <c r="I1283" s="1" t="s">
        <v>2707</v>
      </c>
      <c r="J1283" s="1" t="n">
        <v>9</v>
      </c>
      <c r="K1283" s="1" t="s">
        <v>67</v>
      </c>
    </row>
    <row r="1284" customFormat="false" ht="15" hidden="false" customHeight="true" outlineLevel="0" collapsed="false">
      <c r="A1284" s="1" t="s">
        <v>2716</v>
      </c>
      <c r="B1284" s="1" t="s">
        <v>84</v>
      </c>
      <c r="C1284" s="1" t="s">
        <v>2717</v>
      </c>
      <c r="D1284" s="1" t="n">
        <v>36.76</v>
      </c>
      <c r="E1284" s="1" t="s">
        <v>14</v>
      </c>
      <c r="F1284" s="1" t="s">
        <v>56</v>
      </c>
      <c r="G1284" s="1" t="s">
        <v>42</v>
      </c>
      <c r="H1284" s="1" t="s">
        <v>17</v>
      </c>
      <c r="I1284" s="1" t="s">
        <v>2707</v>
      </c>
      <c r="J1284" s="1" t="n">
        <v>10</v>
      </c>
      <c r="K1284" s="1" t="s">
        <v>67</v>
      </c>
    </row>
    <row r="1285" customFormat="false" ht="15" hidden="false" customHeight="true" outlineLevel="0" collapsed="false">
      <c r="A1285" s="1" t="s">
        <v>2718</v>
      </c>
      <c r="B1285" s="1" t="s">
        <v>475</v>
      </c>
      <c r="C1285" s="1" t="s">
        <v>2719</v>
      </c>
      <c r="D1285" s="1" t="n">
        <v>38.42</v>
      </c>
      <c r="E1285" s="1" t="s">
        <v>14</v>
      </c>
      <c r="F1285" s="1" t="s">
        <v>56</v>
      </c>
      <c r="G1285" s="1" t="s">
        <v>42</v>
      </c>
      <c r="H1285" s="1" t="s">
        <v>17</v>
      </c>
      <c r="I1285" s="1" t="s">
        <v>2707</v>
      </c>
      <c r="J1285" s="1" t="n">
        <v>10</v>
      </c>
      <c r="K1285" s="1" t="s">
        <v>67</v>
      </c>
    </row>
    <row r="1286" customFormat="false" ht="15" hidden="false" customHeight="true" outlineLevel="0" collapsed="false">
      <c r="A1286" s="1" t="s">
        <v>2720</v>
      </c>
      <c r="B1286" s="1" t="s">
        <v>145</v>
      </c>
      <c r="C1286" s="1" t="s">
        <v>2721</v>
      </c>
      <c r="D1286" s="1" t="n">
        <v>41.66</v>
      </c>
      <c r="E1286" s="1" t="s">
        <v>14</v>
      </c>
      <c r="F1286" s="1" t="s">
        <v>15</v>
      </c>
      <c r="G1286" s="1" t="s">
        <v>23</v>
      </c>
      <c r="H1286" s="1" t="s">
        <v>37</v>
      </c>
      <c r="I1286" s="1" t="s">
        <v>2707</v>
      </c>
      <c r="J1286" s="1" t="n">
        <v>10</v>
      </c>
      <c r="K1286" s="1" t="s">
        <v>67</v>
      </c>
    </row>
    <row r="1287" customFormat="false" ht="15" hidden="false" customHeight="true" outlineLevel="0" collapsed="false">
      <c r="A1287" s="1" t="s">
        <v>2722</v>
      </c>
      <c r="B1287" s="1" t="s">
        <v>64</v>
      </c>
      <c r="C1287" s="1" t="s">
        <v>2723</v>
      </c>
      <c r="D1287" s="1" t="n">
        <v>139.21</v>
      </c>
      <c r="E1287" s="1" t="s">
        <v>14</v>
      </c>
      <c r="F1287" s="1" t="s">
        <v>41</v>
      </c>
      <c r="G1287" s="1" t="s">
        <v>70</v>
      </c>
      <c r="H1287" s="1" t="s">
        <v>17</v>
      </c>
      <c r="I1287" s="1" t="s">
        <v>2707</v>
      </c>
      <c r="J1287" s="1" t="n">
        <v>13</v>
      </c>
      <c r="K1287" s="1" t="s">
        <v>67</v>
      </c>
    </row>
    <row r="1288" customFormat="false" ht="15" hidden="false" customHeight="true" outlineLevel="0" collapsed="false">
      <c r="A1288" s="1" t="s">
        <v>2724</v>
      </c>
      <c r="B1288" s="1" t="s">
        <v>258</v>
      </c>
      <c r="C1288" s="1" t="s">
        <v>2725</v>
      </c>
      <c r="D1288" s="1" t="n">
        <v>40.84</v>
      </c>
      <c r="E1288" s="1" t="s">
        <v>14</v>
      </c>
      <c r="F1288" s="1" t="s">
        <v>28</v>
      </c>
      <c r="G1288" s="1" t="s">
        <v>29</v>
      </c>
      <c r="H1288" s="1" t="s">
        <v>37</v>
      </c>
      <c r="I1288" s="1" t="s">
        <v>2707</v>
      </c>
      <c r="J1288" s="1" t="n">
        <v>13</v>
      </c>
      <c r="K1288" s="1" t="s">
        <v>67</v>
      </c>
    </row>
    <row r="1289" customFormat="false" ht="15" hidden="false" customHeight="true" outlineLevel="0" collapsed="false">
      <c r="A1289" s="1" t="s">
        <v>2726</v>
      </c>
      <c r="B1289" s="1" t="s">
        <v>113</v>
      </c>
      <c r="C1289" s="1" t="s">
        <v>2727</v>
      </c>
      <c r="D1289" s="1" t="n">
        <v>40.89</v>
      </c>
      <c r="E1289" s="1" t="s">
        <v>14</v>
      </c>
      <c r="F1289" s="1" t="s">
        <v>41</v>
      </c>
      <c r="G1289" s="1" t="s">
        <v>36</v>
      </c>
      <c r="H1289" s="1" t="s">
        <v>24</v>
      </c>
      <c r="I1289" s="1" t="s">
        <v>2707</v>
      </c>
      <c r="J1289" s="1" t="n">
        <v>13</v>
      </c>
      <c r="K1289" s="1" t="s">
        <v>67</v>
      </c>
    </row>
    <row r="1290" customFormat="false" ht="15" hidden="false" customHeight="true" outlineLevel="0" collapsed="false">
      <c r="A1290" s="1" t="s">
        <v>2728</v>
      </c>
      <c r="B1290" s="1" t="s">
        <v>12</v>
      </c>
      <c r="C1290" s="1" t="s">
        <v>2729</v>
      </c>
      <c r="D1290" s="1" t="n">
        <v>11.09</v>
      </c>
      <c r="E1290" s="1" t="s">
        <v>14</v>
      </c>
      <c r="F1290" s="1" t="s">
        <v>15</v>
      </c>
      <c r="G1290" s="1" t="s">
        <v>86</v>
      </c>
      <c r="H1290" s="1" t="s">
        <v>37</v>
      </c>
      <c r="I1290" s="1" t="s">
        <v>2707</v>
      </c>
      <c r="J1290" s="1" t="n">
        <v>13</v>
      </c>
      <c r="K1290" s="1" t="s">
        <v>67</v>
      </c>
    </row>
    <row r="1291" customFormat="false" ht="15" hidden="false" customHeight="true" outlineLevel="0" collapsed="false">
      <c r="A1291" s="1" t="s">
        <v>2730</v>
      </c>
      <c r="B1291" s="1" t="s">
        <v>113</v>
      </c>
      <c r="C1291" s="1" t="s">
        <v>2731</v>
      </c>
      <c r="D1291" s="1" t="n">
        <v>53.45</v>
      </c>
      <c r="E1291" s="1" t="s">
        <v>14</v>
      </c>
      <c r="F1291" s="1" t="s">
        <v>41</v>
      </c>
      <c r="G1291" s="1" t="s">
        <v>70</v>
      </c>
      <c r="H1291" s="1" t="s">
        <v>24</v>
      </c>
      <c r="I1291" s="1" t="s">
        <v>2707</v>
      </c>
      <c r="J1291" s="1" t="n">
        <v>14</v>
      </c>
      <c r="K1291" s="1" t="s">
        <v>67</v>
      </c>
    </row>
    <row r="1292" customFormat="false" ht="15" hidden="false" customHeight="true" outlineLevel="0" collapsed="false">
      <c r="A1292" s="1" t="s">
        <v>2732</v>
      </c>
      <c r="B1292" s="1" t="s">
        <v>61</v>
      </c>
      <c r="C1292" s="1" t="s">
        <v>2733</v>
      </c>
      <c r="D1292" s="1" t="n">
        <v>43.14</v>
      </c>
      <c r="E1292" s="1" t="s">
        <v>14</v>
      </c>
      <c r="F1292" s="1" t="s">
        <v>56</v>
      </c>
      <c r="G1292" s="1" t="s">
        <v>42</v>
      </c>
      <c r="H1292" s="1" t="s">
        <v>24</v>
      </c>
      <c r="I1292" s="1" t="s">
        <v>2707</v>
      </c>
      <c r="J1292" s="1" t="n">
        <v>15</v>
      </c>
      <c r="K1292" s="1" t="s">
        <v>67</v>
      </c>
    </row>
    <row r="1293" customFormat="false" ht="15" hidden="false" customHeight="true" outlineLevel="0" collapsed="false">
      <c r="A1293" s="1" t="s">
        <v>2734</v>
      </c>
      <c r="B1293" s="1" t="s">
        <v>140</v>
      </c>
      <c r="C1293" s="1" t="s">
        <v>2735</v>
      </c>
      <c r="D1293" s="1" t="n">
        <v>1000</v>
      </c>
      <c r="E1293" s="1" t="s">
        <v>14</v>
      </c>
      <c r="F1293" s="1" t="s">
        <v>41</v>
      </c>
      <c r="G1293" s="1" t="s">
        <v>23</v>
      </c>
      <c r="H1293" s="1" t="s">
        <v>276</v>
      </c>
      <c r="I1293" s="1" t="s">
        <v>2707</v>
      </c>
      <c r="J1293" s="1" t="n">
        <v>16</v>
      </c>
      <c r="K1293" s="1" t="s">
        <v>67</v>
      </c>
    </row>
    <row r="1294" customFormat="false" ht="15" hidden="false" customHeight="true" outlineLevel="0" collapsed="false">
      <c r="A1294" s="1" t="s">
        <v>2736</v>
      </c>
      <c r="B1294" s="1" t="s">
        <v>34</v>
      </c>
      <c r="C1294" s="1" t="s">
        <v>2737</v>
      </c>
      <c r="D1294" s="1" t="n">
        <v>71.58</v>
      </c>
      <c r="E1294" s="1" t="s">
        <v>14</v>
      </c>
      <c r="F1294" s="1" t="s">
        <v>15</v>
      </c>
      <c r="G1294" s="1" t="s">
        <v>29</v>
      </c>
      <c r="H1294" s="1" t="s">
        <v>37</v>
      </c>
      <c r="I1294" s="1" t="s">
        <v>2707</v>
      </c>
      <c r="J1294" s="1" t="n">
        <v>16</v>
      </c>
      <c r="K1294" s="1" t="s">
        <v>67</v>
      </c>
    </row>
    <row r="1295" customFormat="false" ht="15" hidden="false" customHeight="true" outlineLevel="0" collapsed="false">
      <c r="A1295" s="1" t="s">
        <v>2738</v>
      </c>
      <c r="B1295" s="1" t="s">
        <v>183</v>
      </c>
      <c r="C1295" s="1" t="s">
        <v>2739</v>
      </c>
      <c r="D1295" s="1" t="n">
        <v>106.01</v>
      </c>
      <c r="E1295" s="1" t="s">
        <v>14</v>
      </c>
      <c r="F1295" s="1" t="s">
        <v>15</v>
      </c>
      <c r="G1295" s="1" t="s">
        <v>70</v>
      </c>
      <c r="H1295" s="1" t="s">
        <v>37</v>
      </c>
      <c r="I1295" s="1" t="s">
        <v>2707</v>
      </c>
      <c r="J1295" s="1" t="n">
        <v>17</v>
      </c>
      <c r="K1295" s="1" t="s">
        <v>67</v>
      </c>
    </row>
    <row r="1296" customFormat="false" ht="15" hidden="false" customHeight="true" outlineLevel="0" collapsed="false">
      <c r="A1296" s="1" t="s">
        <v>2740</v>
      </c>
      <c r="B1296" s="1" t="s">
        <v>148</v>
      </c>
      <c r="C1296" s="1" t="s">
        <v>2741</v>
      </c>
      <c r="D1296" s="1" t="n">
        <v>53.99</v>
      </c>
      <c r="E1296" s="1" t="s">
        <v>14</v>
      </c>
      <c r="F1296" s="1" t="s">
        <v>41</v>
      </c>
      <c r="G1296" s="1" t="s">
        <v>23</v>
      </c>
      <c r="H1296" s="1" t="s">
        <v>17</v>
      </c>
      <c r="I1296" s="1" t="s">
        <v>2707</v>
      </c>
      <c r="J1296" s="1" t="n">
        <v>17</v>
      </c>
      <c r="K1296" s="1" t="s">
        <v>67</v>
      </c>
    </row>
    <row r="1297" customFormat="false" ht="15" hidden="false" customHeight="true" outlineLevel="0" collapsed="false">
      <c r="A1297" s="1" t="s">
        <v>2742</v>
      </c>
      <c r="B1297" s="1" t="s">
        <v>196</v>
      </c>
      <c r="C1297" s="1" t="s">
        <v>2743</v>
      </c>
      <c r="D1297" s="1" t="n">
        <v>12.77</v>
      </c>
      <c r="E1297" s="1" t="s">
        <v>14</v>
      </c>
      <c r="F1297" s="1" t="s">
        <v>15</v>
      </c>
      <c r="G1297" s="1" t="s">
        <v>86</v>
      </c>
      <c r="H1297" s="1" t="s">
        <v>24</v>
      </c>
      <c r="I1297" s="1" t="s">
        <v>2707</v>
      </c>
      <c r="J1297" s="1" t="n">
        <v>18</v>
      </c>
      <c r="K1297" s="1" t="s">
        <v>67</v>
      </c>
    </row>
    <row r="1298" customFormat="false" ht="15" hidden="false" customHeight="true" outlineLevel="0" collapsed="false">
      <c r="A1298" s="1" t="s">
        <v>2744</v>
      </c>
      <c r="B1298" s="1" t="s">
        <v>228</v>
      </c>
      <c r="C1298" s="1" t="s">
        <v>2745</v>
      </c>
      <c r="D1298" s="1" t="n">
        <v>93.64</v>
      </c>
      <c r="E1298" s="1" t="s">
        <v>14</v>
      </c>
      <c r="F1298" s="1" t="s">
        <v>28</v>
      </c>
      <c r="G1298" s="1" t="s">
        <v>42</v>
      </c>
      <c r="H1298" s="1" t="s">
        <v>17</v>
      </c>
      <c r="I1298" s="1" t="s">
        <v>2707</v>
      </c>
      <c r="J1298" s="1" t="n">
        <v>20</v>
      </c>
      <c r="K1298" s="1" t="s">
        <v>67</v>
      </c>
    </row>
    <row r="1299" customFormat="false" ht="15" hidden="false" customHeight="true" outlineLevel="0" collapsed="false">
      <c r="A1299" s="1" t="s">
        <v>2746</v>
      </c>
      <c r="B1299" s="1" t="s">
        <v>54</v>
      </c>
      <c r="C1299" s="1" t="s">
        <v>2747</v>
      </c>
      <c r="D1299" s="1" t="n">
        <v>244.06</v>
      </c>
      <c r="E1299" s="1" t="s">
        <v>14</v>
      </c>
      <c r="F1299" s="1" t="s">
        <v>56</v>
      </c>
      <c r="G1299" s="1" t="s">
        <v>82</v>
      </c>
      <c r="H1299" s="1" t="s">
        <v>24</v>
      </c>
      <c r="I1299" s="1" t="s">
        <v>2707</v>
      </c>
      <c r="J1299" s="1" t="n">
        <v>21</v>
      </c>
      <c r="K1299" s="1" t="s">
        <v>67</v>
      </c>
    </row>
    <row r="1300" customFormat="false" ht="15" hidden="false" customHeight="true" outlineLevel="0" collapsed="false">
      <c r="A1300" s="1" t="s">
        <v>2748</v>
      </c>
      <c r="B1300" s="1" t="s">
        <v>302</v>
      </c>
      <c r="C1300" s="1" t="s">
        <v>2749</v>
      </c>
      <c r="D1300" s="1" t="n">
        <v>66.87</v>
      </c>
      <c r="E1300" s="1" t="s">
        <v>14</v>
      </c>
      <c r="F1300" s="1" t="s">
        <v>28</v>
      </c>
      <c r="G1300" s="1" t="s">
        <v>16</v>
      </c>
      <c r="H1300" s="1" t="s">
        <v>24</v>
      </c>
      <c r="I1300" s="1" t="s">
        <v>2750</v>
      </c>
      <c r="J1300" s="1" t="n">
        <v>1</v>
      </c>
      <c r="K1300" s="1" t="s">
        <v>123</v>
      </c>
    </row>
    <row r="1301" customFormat="false" ht="15" hidden="false" customHeight="true" outlineLevel="0" collapsed="false">
      <c r="A1301" s="1" t="s">
        <v>2751</v>
      </c>
      <c r="B1301" s="1" t="s">
        <v>145</v>
      </c>
      <c r="C1301" s="1" t="s">
        <v>2752</v>
      </c>
      <c r="D1301" s="1" t="n">
        <v>63.78</v>
      </c>
      <c r="E1301" s="1" t="s">
        <v>14</v>
      </c>
      <c r="F1301" s="1" t="s">
        <v>15</v>
      </c>
      <c r="G1301" s="1" t="s">
        <v>16</v>
      </c>
      <c r="H1301" s="1" t="s">
        <v>17</v>
      </c>
      <c r="I1301" s="1" t="s">
        <v>2750</v>
      </c>
      <c r="J1301" s="1" t="n">
        <v>2</v>
      </c>
      <c r="K1301" s="1" t="s">
        <v>123</v>
      </c>
    </row>
    <row r="1302" customFormat="false" ht="15" hidden="false" customHeight="true" outlineLevel="0" collapsed="false">
      <c r="A1302" s="1" t="s">
        <v>2753</v>
      </c>
      <c r="B1302" s="1" t="s">
        <v>21</v>
      </c>
      <c r="C1302" s="1" t="s">
        <v>2754</v>
      </c>
      <c r="D1302" s="1" t="n">
        <v>71.01</v>
      </c>
      <c r="E1302" s="1" t="s">
        <v>14</v>
      </c>
      <c r="F1302" s="1" t="s">
        <v>15</v>
      </c>
      <c r="G1302" s="1" t="s">
        <v>29</v>
      </c>
      <c r="H1302" s="1" t="s">
        <v>37</v>
      </c>
      <c r="I1302" s="1" t="s">
        <v>2750</v>
      </c>
      <c r="J1302" s="1" t="n">
        <v>2</v>
      </c>
      <c r="K1302" s="1" t="s">
        <v>123</v>
      </c>
    </row>
    <row r="1303" customFormat="false" ht="15" hidden="false" customHeight="true" outlineLevel="0" collapsed="false">
      <c r="A1303" s="1" t="s">
        <v>2755</v>
      </c>
      <c r="B1303" s="1" t="s">
        <v>496</v>
      </c>
      <c r="C1303" s="1" t="s">
        <v>2756</v>
      </c>
      <c r="D1303" s="1" t="n">
        <v>90.78</v>
      </c>
      <c r="E1303" s="1" t="s">
        <v>14</v>
      </c>
      <c r="F1303" s="1" t="s">
        <v>28</v>
      </c>
      <c r="G1303" s="1" t="s">
        <v>82</v>
      </c>
      <c r="H1303" s="1" t="s">
        <v>37</v>
      </c>
      <c r="I1303" s="1" t="s">
        <v>2750</v>
      </c>
      <c r="J1303" s="1" t="n">
        <v>3</v>
      </c>
      <c r="K1303" s="1" t="s">
        <v>123</v>
      </c>
    </row>
    <row r="1304" customFormat="false" ht="15" hidden="false" customHeight="true" outlineLevel="0" collapsed="false">
      <c r="A1304" s="1" t="s">
        <v>2757</v>
      </c>
      <c r="B1304" s="1" t="s">
        <v>245</v>
      </c>
      <c r="C1304" s="1" t="s">
        <v>2758</v>
      </c>
      <c r="D1304" s="1" t="n">
        <v>86.51</v>
      </c>
      <c r="E1304" s="1" t="s">
        <v>14</v>
      </c>
      <c r="F1304" s="1" t="s">
        <v>15</v>
      </c>
      <c r="G1304" s="1" t="s">
        <v>16</v>
      </c>
      <c r="H1304" s="1" t="s">
        <v>37</v>
      </c>
      <c r="I1304" s="1" t="s">
        <v>2750</v>
      </c>
      <c r="J1304" s="1" t="n">
        <v>5</v>
      </c>
      <c r="K1304" s="1" t="s">
        <v>123</v>
      </c>
    </row>
    <row r="1305" customFormat="false" ht="15" hidden="false" customHeight="true" outlineLevel="0" collapsed="false">
      <c r="A1305" s="1" t="s">
        <v>2759</v>
      </c>
      <c r="B1305" s="1" t="s">
        <v>307</v>
      </c>
      <c r="C1305" s="1" t="s">
        <v>2760</v>
      </c>
      <c r="D1305" s="1" t="n">
        <v>208.56</v>
      </c>
      <c r="E1305" s="1" t="s">
        <v>14</v>
      </c>
      <c r="F1305" s="1" t="s">
        <v>15</v>
      </c>
      <c r="G1305" s="1" t="s">
        <v>82</v>
      </c>
      <c r="H1305" s="1" t="s">
        <v>37</v>
      </c>
      <c r="I1305" s="1" t="s">
        <v>2750</v>
      </c>
      <c r="J1305" s="1" t="n">
        <v>14</v>
      </c>
      <c r="K1305" s="1" t="s">
        <v>123</v>
      </c>
    </row>
    <row r="1306" customFormat="false" ht="15" hidden="false" customHeight="true" outlineLevel="0" collapsed="false">
      <c r="A1306" s="1" t="s">
        <v>2761</v>
      </c>
      <c r="B1306" s="1" t="s">
        <v>84</v>
      </c>
      <c r="C1306" s="1" t="s">
        <v>2762</v>
      </c>
      <c r="D1306" s="1" t="n">
        <v>81.03</v>
      </c>
      <c r="E1306" s="1" t="s">
        <v>14</v>
      </c>
      <c r="F1306" s="1" t="s">
        <v>56</v>
      </c>
      <c r="G1306" s="1" t="s">
        <v>82</v>
      </c>
      <c r="H1306" s="1" t="s">
        <v>17</v>
      </c>
      <c r="I1306" s="1" t="s">
        <v>2750</v>
      </c>
      <c r="J1306" s="1" t="n">
        <v>18</v>
      </c>
      <c r="K1306" s="1" t="s">
        <v>123</v>
      </c>
    </row>
    <row r="1307" customFormat="false" ht="15" hidden="false" customHeight="true" outlineLevel="0" collapsed="false">
      <c r="A1307" s="1" t="s">
        <v>2763</v>
      </c>
      <c r="B1307" s="1" t="s">
        <v>496</v>
      </c>
      <c r="C1307" s="1" t="s">
        <v>2764</v>
      </c>
      <c r="D1307" s="1" t="n">
        <v>36.28</v>
      </c>
      <c r="E1307" s="1" t="s">
        <v>14</v>
      </c>
      <c r="F1307" s="1" t="s">
        <v>28</v>
      </c>
      <c r="G1307" s="1" t="s">
        <v>23</v>
      </c>
      <c r="H1307" s="1" t="s">
        <v>17</v>
      </c>
      <c r="I1307" s="1" t="s">
        <v>2765</v>
      </c>
      <c r="J1307" s="1" t="n">
        <v>1</v>
      </c>
      <c r="K1307" s="1" t="s">
        <v>151</v>
      </c>
    </row>
    <row r="1308" customFormat="false" ht="15" hidden="false" customHeight="true" outlineLevel="0" collapsed="false">
      <c r="A1308" s="1" t="s">
        <v>2766</v>
      </c>
      <c r="B1308" s="1" t="s">
        <v>286</v>
      </c>
      <c r="C1308" s="1" t="s">
        <v>2767</v>
      </c>
      <c r="D1308" s="1" t="n">
        <v>51.29</v>
      </c>
      <c r="E1308" s="1" t="s">
        <v>14</v>
      </c>
      <c r="F1308" s="1" t="s">
        <v>15</v>
      </c>
      <c r="G1308" s="1" t="s">
        <v>42</v>
      </c>
      <c r="H1308" s="1" t="s">
        <v>37</v>
      </c>
      <c r="I1308" s="1" t="s">
        <v>2765</v>
      </c>
      <c r="J1308" s="1" t="n">
        <v>2</v>
      </c>
      <c r="K1308" s="1" t="s">
        <v>151</v>
      </c>
    </row>
    <row r="1309" customFormat="false" ht="15" hidden="false" customHeight="true" outlineLevel="0" collapsed="false">
      <c r="A1309" s="1" t="s">
        <v>2768</v>
      </c>
      <c r="B1309" s="1" t="s">
        <v>496</v>
      </c>
      <c r="C1309" s="1" t="s">
        <v>2769</v>
      </c>
      <c r="D1309" s="1" t="n">
        <v>243.74</v>
      </c>
      <c r="E1309" s="1" t="s">
        <v>14</v>
      </c>
      <c r="F1309" s="1" t="s">
        <v>28</v>
      </c>
      <c r="G1309" s="1" t="s">
        <v>42</v>
      </c>
      <c r="H1309" s="1" t="s">
        <v>17</v>
      </c>
      <c r="I1309" s="1" t="s">
        <v>2765</v>
      </c>
      <c r="J1309" s="1" t="n">
        <v>3</v>
      </c>
      <c r="K1309" s="1" t="s">
        <v>151</v>
      </c>
    </row>
    <row r="1310" customFormat="false" ht="15" hidden="false" customHeight="true" outlineLevel="0" collapsed="false">
      <c r="A1310" s="1" t="s">
        <v>2770</v>
      </c>
      <c r="B1310" s="1" t="s">
        <v>199</v>
      </c>
      <c r="C1310" s="1" t="s">
        <v>2771</v>
      </c>
      <c r="D1310" s="1" t="n">
        <v>40.2</v>
      </c>
      <c r="E1310" s="1" t="s">
        <v>14</v>
      </c>
      <c r="F1310" s="1" t="s">
        <v>41</v>
      </c>
      <c r="G1310" s="1" t="s">
        <v>29</v>
      </c>
      <c r="H1310" s="1" t="s">
        <v>37</v>
      </c>
      <c r="I1310" s="1" t="s">
        <v>2765</v>
      </c>
      <c r="J1310" s="1" t="n">
        <v>6</v>
      </c>
      <c r="K1310" s="1" t="s">
        <v>151</v>
      </c>
    </row>
    <row r="1311" customFormat="false" ht="15" hidden="false" customHeight="true" outlineLevel="0" collapsed="false">
      <c r="A1311" s="1" t="s">
        <v>2772</v>
      </c>
      <c r="B1311" s="1" t="s">
        <v>39</v>
      </c>
      <c r="C1311" s="1" t="s">
        <v>2773</v>
      </c>
      <c r="D1311" s="1" t="n">
        <v>291.55</v>
      </c>
      <c r="E1311" s="1" t="s">
        <v>14</v>
      </c>
      <c r="F1311" s="1" t="s">
        <v>41</v>
      </c>
      <c r="G1311" s="1" t="s">
        <v>36</v>
      </c>
      <c r="H1311" s="1" t="s">
        <v>24</v>
      </c>
      <c r="I1311" s="1" t="s">
        <v>2765</v>
      </c>
      <c r="J1311" s="1" t="n">
        <v>6</v>
      </c>
      <c r="K1311" s="1" t="s">
        <v>151</v>
      </c>
    </row>
    <row r="1312" customFormat="false" ht="15" hidden="false" customHeight="true" outlineLevel="0" collapsed="false">
      <c r="A1312" s="1" t="s">
        <v>2774</v>
      </c>
      <c r="B1312" s="1" t="s">
        <v>321</v>
      </c>
      <c r="C1312" s="1" t="s">
        <v>2775</v>
      </c>
      <c r="D1312" s="1" t="n">
        <v>40.28</v>
      </c>
      <c r="E1312" s="1" t="s">
        <v>14</v>
      </c>
      <c r="F1312" s="1" t="s">
        <v>15</v>
      </c>
      <c r="G1312" s="1" t="s">
        <v>42</v>
      </c>
      <c r="H1312" s="1" t="s">
        <v>37</v>
      </c>
      <c r="I1312" s="1" t="s">
        <v>2765</v>
      </c>
      <c r="J1312" s="1" t="n">
        <v>8</v>
      </c>
      <c r="K1312" s="1" t="s">
        <v>151</v>
      </c>
    </row>
    <row r="1313" customFormat="false" ht="15" hidden="false" customHeight="true" outlineLevel="0" collapsed="false">
      <c r="A1313" s="1" t="s">
        <v>2776</v>
      </c>
      <c r="B1313" s="1" t="s">
        <v>120</v>
      </c>
      <c r="C1313" s="1" t="s">
        <v>2777</v>
      </c>
      <c r="D1313" s="1" t="n">
        <v>103.83</v>
      </c>
      <c r="E1313" s="1" t="s">
        <v>14</v>
      </c>
      <c r="F1313" s="1" t="s">
        <v>49</v>
      </c>
      <c r="G1313" s="1" t="s">
        <v>16</v>
      </c>
      <c r="H1313" s="1" t="s">
        <v>17</v>
      </c>
      <c r="I1313" s="1" t="s">
        <v>2765</v>
      </c>
      <c r="J1313" s="1" t="n">
        <v>8</v>
      </c>
      <c r="K1313" s="1" t="s">
        <v>151</v>
      </c>
    </row>
    <row r="1314" customFormat="false" ht="15" hidden="false" customHeight="true" outlineLevel="0" collapsed="false">
      <c r="A1314" s="1" t="s">
        <v>2778</v>
      </c>
      <c r="B1314" s="1" t="s">
        <v>193</v>
      </c>
      <c r="C1314" s="1" t="s">
        <v>2779</v>
      </c>
      <c r="D1314" s="1" t="n">
        <v>26.82</v>
      </c>
      <c r="E1314" s="1" t="s">
        <v>14</v>
      </c>
      <c r="F1314" s="1" t="s">
        <v>15</v>
      </c>
      <c r="G1314" s="1" t="s">
        <v>70</v>
      </c>
      <c r="H1314" s="1" t="s">
        <v>37</v>
      </c>
      <c r="I1314" s="1" t="s">
        <v>2765</v>
      </c>
      <c r="J1314" s="1" t="n">
        <v>8</v>
      </c>
      <c r="K1314" s="1" t="s">
        <v>151</v>
      </c>
    </row>
    <row r="1315" customFormat="false" ht="15" hidden="false" customHeight="true" outlineLevel="0" collapsed="false">
      <c r="A1315" s="1" t="s">
        <v>2780</v>
      </c>
      <c r="B1315" s="1" t="s">
        <v>190</v>
      </c>
      <c r="C1315" s="1" t="s">
        <v>2781</v>
      </c>
      <c r="D1315" s="1" t="n">
        <v>599.31</v>
      </c>
      <c r="E1315" s="1" t="s">
        <v>14</v>
      </c>
      <c r="F1315" s="1" t="s">
        <v>49</v>
      </c>
      <c r="G1315" s="1" t="s">
        <v>42</v>
      </c>
      <c r="H1315" s="1" t="s">
        <v>37</v>
      </c>
      <c r="I1315" s="1" t="s">
        <v>2765</v>
      </c>
      <c r="J1315" s="1" t="n">
        <v>10</v>
      </c>
      <c r="K1315" s="1" t="s">
        <v>151</v>
      </c>
    </row>
    <row r="1316" customFormat="false" ht="15" hidden="false" customHeight="true" outlineLevel="0" collapsed="false">
      <c r="A1316" s="1" t="s">
        <v>2782</v>
      </c>
      <c r="B1316" s="1" t="s">
        <v>12</v>
      </c>
      <c r="C1316" s="1" t="s">
        <v>2783</v>
      </c>
      <c r="D1316" s="1" t="n">
        <v>34.4</v>
      </c>
      <c r="E1316" s="1" t="s">
        <v>14</v>
      </c>
      <c r="F1316" s="1" t="s">
        <v>15</v>
      </c>
      <c r="G1316" s="1" t="s">
        <v>23</v>
      </c>
      <c r="H1316" s="1" t="s">
        <v>24</v>
      </c>
      <c r="I1316" s="1" t="s">
        <v>2765</v>
      </c>
      <c r="J1316" s="1" t="n">
        <v>12</v>
      </c>
      <c r="K1316" s="1" t="s">
        <v>151</v>
      </c>
    </row>
    <row r="1317" customFormat="false" ht="15" hidden="false" customHeight="true" outlineLevel="0" collapsed="false">
      <c r="A1317" s="1" t="s">
        <v>2784</v>
      </c>
      <c r="B1317" s="1" t="s">
        <v>180</v>
      </c>
      <c r="C1317" s="1" t="s">
        <v>2785</v>
      </c>
      <c r="D1317" s="1" t="n">
        <v>189.19</v>
      </c>
      <c r="E1317" s="1" t="s">
        <v>14</v>
      </c>
      <c r="F1317" s="1" t="s">
        <v>49</v>
      </c>
      <c r="G1317" s="1" t="s">
        <v>70</v>
      </c>
      <c r="H1317" s="1" t="s">
        <v>37</v>
      </c>
      <c r="I1317" s="1" t="s">
        <v>2765</v>
      </c>
      <c r="J1317" s="1" t="n">
        <v>13</v>
      </c>
      <c r="K1317" s="1" t="s">
        <v>151</v>
      </c>
    </row>
    <row r="1318" customFormat="false" ht="15" hidden="false" customHeight="true" outlineLevel="0" collapsed="false">
      <c r="A1318" s="1" t="s">
        <v>2786</v>
      </c>
      <c r="B1318" s="1" t="s">
        <v>228</v>
      </c>
      <c r="C1318" s="1" t="s">
        <v>2787</v>
      </c>
      <c r="D1318" s="1" t="n">
        <v>99.09</v>
      </c>
      <c r="E1318" s="1" t="s">
        <v>14</v>
      </c>
      <c r="F1318" s="1" t="s">
        <v>28</v>
      </c>
      <c r="G1318" s="1" t="s">
        <v>23</v>
      </c>
      <c r="H1318" s="1" t="s">
        <v>24</v>
      </c>
      <c r="I1318" s="1" t="s">
        <v>2765</v>
      </c>
      <c r="J1318" s="1" t="n">
        <v>16</v>
      </c>
      <c r="K1318" s="1" t="s">
        <v>151</v>
      </c>
    </row>
    <row r="1319" customFormat="false" ht="15" hidden="false" customHeight="true" outlineLevel="0" collapsed="false">
      <c r="A1319" s="1" t="s">
        <v>2788</v>
      </c>
      <c r="B1319" s="1" t="s">
        <v>394</v>
      </c>
      <c r="C1319" s="1" t="s">
        <v>2789</v>
      </c>
      <c r="D1319" s="1" t="n">
        <v>63.93</v>
      </c>
      <c r="E1319" s="1" t="s">
        <v>14</v>
      </c>
      <c r="F1319" s="1" t="s">
        <v>56</v>
      </c>
      <c r="G1319" s="1" t="s">
        <v>36</v>
      </c>
      <c r="H1319" s="1" t="s">
        <v>17</v>
      </c>
      <c r="I1319" s="1" t="s">
        <v>2765</v>
      </c>
      <c r="J1319" s="1" t="n">
        <v>21</v>
      </c>
      <c r="K1319" s="1" t="s">
        <v>151</v>
      </c>
    </row>
    <row r="1320" customFormat="false" ht="15" hidden="false" customHeight="true" outlineLevel="0" collapsed="false">
      <c r="A1320" s="1" t="s">
        <v>2790</v>
      </c>
      <c r="B1320" s="1" t="s">
        <v>140</v>
      </c>
      <c r="C1320" s="1" t="s">
        <v>2791</v>
      </c>
      <c r="D1320" s="1" t="n">
        <v>22.42</v>
      </c>
      <c r="E1320" s="1" t="s">
        <v>14</v>
      </c>
      <c r="F1320" s="1" t="s">
        <v>41</v>
      </c>
      <c r="G1320" s="1" t="s">
        <v>16</v>
      </c>
      <c r="H1320" s="1" t="s">
        <v>37</v>
      </c>
      <c r="I1320" s="1" t="s">
        <v>2792</v>
      </c>
      <c r="J1320" s="1" t="n">
        <v>0</v>
      </c>
      <c r="K1320" s="1" t="s">
        <v>186</v>
      </c>
    </row>
    <row r="1321" customFormat="false" ht="15" hidden="false" customHeight="true" outlineLevel="0" collapsed="false">
      <c r="A1321" s="1" t="s">
        <v>2793</v>
      </c>
      <c r="B1321" s="1" t="s">
        <v>84</v>
      </c>
      <c r="C1321" s="1" t="s">
        <v>2794</v>
      </c>
      <c r="D1321" s="1" t="n">
        <v>3618.74</v>
      </c>
      <c r="E1321" s="1" t="s">
        <v>14</v>
      </c>
      <c r="F1321" s="1" t="s">
        <v>56</v>
      </c>
      <c r="G1321" s="1" t="s">
        <v>82</v>
      </c>
      <c r="H1321" s="1" t="s">
        <v>17</v>
      </c>
      <c r="I1321" s="1" t="s">
        <v>2792</v>
      </c>
      <c r="J1321" s="1" t="n">
        <v>2</v>
      </c>
      <c r="K1321" s="1" t="s">
        <v>186</v>
      </c>
    </row>
    <row r="1322" customFormat="false" ht="15" hidden="false" customHeight="true" outlineLevel="0" collapsed="false">
      <c r="A1322" s="1" t="s">
        <v>2795</v>
      </c>
      <c r="B1322" s="1" t="s">
        <v>44</v>
      </c>
      <c r="C1322" s="1" t="s">
        <v>2796</v>
      </c>
      <c r="D1322" s="1" t="n">
        <v>125.34</v>
      </c>
      <c r="E1322" s="1" t="s">
        <v>14</v>
      </c>
      <c r="F1322" s="1" t="s">
        <v>28</v>
      </c>
      <c r="G1322" s="1" t="s">
        <v>23</v>
      </c>
      <c r="H1322" s="1" t="s">
        <v>37</v>
      </c>
      <c r="I1322" s="1" t="s">
        <v>2792</v>
      </c>
      <c r="J1322" s="1" t="n">
        <v>2</v>
      </c>
      <c r="K1322" s="1" t="s">
        <v>186</v>
      </c>
    </row>
    <row r="1323" customFormat="false" ht="15" hidden="false" customHeight="true" outlineLevel="0" collapsed="false">
      <c r="A1323" s="1" t="s">
        <v>2797</v>
      </c>
      <c r="B1323" s="1" t="s">
        <v>106</v>
      </c>
      <c r="C1323" s="1" t="s">
        <v>2798</v>
      </c>
      <c r="D1323" s="1" t="n">
        <v>195.76</v>
      </c>
      <c r="E1323" s="1" t="s">
        <v>14</v>
      </c>
      <c r="F1323" s="1" t="s">
        <v>15</v>
      </c>
      <c r="G1323" s="1" t="s">
        <v>16</v>
      </c>
      <c r="H1323" s="1" t="s">
        <v>17</v>
      </c>
      <c r="I1323" s="1" t="s">
        <v>2792</v>
      </c>
      <c r="J1323" s="1" t="n">
        <v>5</v>
      </c>
      <c r="K1323" s="1" t="s">
        <v>186</v>
      </c>
    </row>
    <row r="1324" customFormat="false" ht="15" hidden="false" customHeight="true" outlineLevel="0" collapsed="false">
      <c r="A1324" s="1" t="s">
        <v>2799</v>
      </c>
      <c r="B1324" s="1" t="s">
        <v>302</v>
      </c>
      <c r="C1324" s="1" t="s">
        <v>2800</v>
      </c>
      <c r="D1324" s="1" t="n">
        <v>54.47</v>
      </c>
      <c r="E1324" s="1" t="s">
        <v>14</v>
      </c>
      <c r="F1324" s="1" t="s">
        <v>28</v>
      </c>
      <c r="G1324" s="1" t="s">
        <v>82</v>
      </c>
      <c r="H1324" s="1" t="s">
        <v>24</v>
      </c>
      <c r="I1324" s="1" t="s">
        <v>2792</v>
      </c>
      <c r="J1324" s="1" t="n">
        <v>6</v>
      </c>
      <c r="K1324" s="1" t="s">
        <v>186</v>
      </c>
    </row>
    <row r="1325" customFormat="false" ht="15" hidden="false" customHeight="true" outlineLevel="0" collapsed="false">
      <c r="A1325" s="1" t="s">
        <v>2801</v>
      </c>
      <c r="B1325" s="1" t="s">
        <v>12</v>
      </c>
      <c r="C1325" s="1" t="s">
        <v>2802</v>
      </c>
      <c r="D1325" s="1" t="n">
        <v>97.23</v>
      </c>
      <c r="E1325" s="1" t="s">
        <v>14</v>
      </c>
      <c r="F1325" s="1" t="s">
        <v>15</v>
      </c>
      <c r="G1325" s="1" t="s">
        <v>29</v>
      </c>
      <c r="H1325" s="1" t="s">
        <v>24</v>
      </c>
      <c r="I1325" s="1" t="s">
        <v>2792</v>
      </c>
      <c r="J1325" s="1" t="n">
        <v>7</v>
      </c>
      <c r="K1325" s="1" t="s">
        <v>186</v>
      </c>
    </row>
    <row r="1326" customFormat="false" ht="15" hidden="false" customHeight="true" outlineLevel="0" collapsed="false">
      <c r="A1326" s="1" t="s">
        <v>2803</v>
      </c>
      <c r="B1326" s="1" t="s">
        <v>54</v>
      </c>
      <c r="C1326" s="1" t="s">
        <v>2804</v>
      </c>
      <c r="D1326" s="1" t="n">
        <v>7.21</v>
      </c>
      <c r="E1326" s="1" t="s">
        <v>14</v>
      </c>
      <c r="F1326" s="1" t="s">
        <v>56</v>
      </c>
      <c r="G1326" s="1" t="s">
        <v>86</v>
      </c>
      <c r="H1326" s="1" t="s">
        <v>24</v>
      </c>
      <c r="I1326" s="1" t="s">
        <v>2792</v>
      </c>
      <c r="J1326" s="1" t="n">
        <v>8</v>
      </c>
      <c r="K1326" s="1" t="s">
        <v>186</v>
      </c>
    </row>
    <row r="1327" customFormat="false" ht="15" hidden="false" customHeight="true" outlineLevel="0" collapsed="false">
      <c r="A1327" s="1" t="s">
        <v>2805</v>
      </c>
      <c r="B1327" s="1" t="s">
        <v>44</v>
      </c>
      <c r="C1327" s="1" t="s">
        <v>2806</v>
      </c>
      <c r="D1327" s="1" t="n">
        <v>31.12</v>
      </c>
      <c r="E1327" s="1" t="s">
        <v>14</v>
      </c>
      <c r="F1327" s="1" t="s">
        <v>28</v>
      </c>
      <c r="G1327" s="1" t="s">
        <v>82</v>
      </c>
      <c r="H1327" s="1" t="s">
        <v>17</v>
      </c>
      <c r="I1327" s="1" t="s">
        <v>2792</v>
      </c>
      <c r="J1327" s="1" t="n">
        <v>10</v>
      </c>
      <c r="K1327" s="1" t="s">
        <v>186</v>
      </c>
    </row>
    <row r="1328" customFormat="false" ht="15" hidden="false" customHeight="true" outlineLevel="0" collapsed="false">
      <c r="A1328" s="1" t="s">
        <v>2807</v>
      </c>
      <c r="B1328" s="1" t="s">
        <v>302</v>
      </c>
      <c r="C1328" s="1" t="s">
        <v>2808</v>
      </c>
      <c r="D1328" s="1" t="n">
        <v>76.23</v>
      </c>
      <c r="E1328" s="1" t="s">
        <v>14</v>
      </c>
      <c r="F1328" s="1" t="s">
        <v>28</v>
      </c>
      <c r="G1328" s="1" t="s">
        <v>29</v>
      </c>
      <c r="H1328" s="1" t="s">
        <v>17</v>
      </c>
      <c r="I1328" s="1" t="s">
        <v>2792</v>
      </c>
      <c r="J1328" s="1" t="n">
        <v>12</v>
      </c>
      <c r="K1328" s="1" t="s">
        <v>186</v>
      </c>
    </row>
    <row r="1329" customFormat="false" ht="15" hidden="false" customHeight="true" outlineLevel="0" collapsed="false">
      <c r="A1329" s="1" t="s">
        <v>2809</v>
      </c>
      <c r="B1329" s="1" t="s">
        <v>291</v>
      </c>
      <c r="C1329" s="1" t="s">
        <v>2810</v>
      </c>
      <c r="D1329" s="1" t="n">
        <v>275.81</v>
      </c>
      <c r="E1329" s="1" t="s">
        <v>14</v>
      </c>
      <c r="F1329" s="1" t="s">
        <v>28</v>
      </c>
      <c r="G1329" s="1" t="s">
        <v>82</v>
      </c>
      <c r="H1329" s="1" t="s">
        <v>17</v>
      </c>
      <c r="I1329" s="1" t="s">
        <v>2792</v>
      </c>
      <c r="J1329" s="1" t="n">
        <v>15</v>
      </c>
      <c r="K1329" s="1" t="s">
        <v>186</v>
      </c>
    </row>
    <row r="1330" customFormat="false" ht="15" hidden="false" customHeight="true" outlineLevel="0" collapsed="false">
      <c r="A1330" s="1" t="s">
        <v>2811</v>
      </c>
      <c r="B1330" s="1" t="s">
        <v>47</v>
      </c>
      <c r="C1330" s="1" t="s">
        <v>2812</v>
      </c>
      <c r="D1330" s="1" t="n">
        <v>17.85</v>
      </c>
      <c r="E1330" s="1" t="s">
        <v>14</v>
      </c>
      <c r="F1330" s="1" t="s">
        <v>49</v>
      </c>
      <c r="G1330" s="1" t="s">
        <v>70</v>
      </c>
      <c r="H1330" s="1" t="s">
        <v>37</v>
      </c>
      <c r="I1330" s="1" t="s">
        <v>2792</v>
      </c>
      <c r="J1330" s="1" t="n">
        <v>16</v>
      </c>
      <c r="K1330" s="1" t="s">
        <v>186</v>
      </c>
    </row>
    <row r="1331" customFormat="false" ht="15" hidden="false" customHeight="true" outlineLevel="0" collapsed="false">
      <c r="A1331" s="1" t="s">
        <v>2813</v>
      </c>
      <c r="B1331" s="1" t="s">
        <v>26</v>
      </c>
      <c r="C1331" s="1" t="s">
        <v>2814</v>
      </c>
      <c r="D1331" s="1" t="n">
        <v>43.33</v>
      </c>
      <c r="E1331" s="1" t="s">
        <v>14</v>
      </c>
      <c r="F1331" s="1" t="s">
        <v>28</v>
      </c>
      <c r="G1331" s="1" t="s">
        <v>86</v>
      </c>
      <c r="H1331" s="1" t="s">
        <v>37</v>
      </c>
      <c r="I1331" s="1" t="s">
        <v>2792</v>
      </c>
      <c r="J1331" s="1" t="n">
        <v>17</v>
      </c>
      <c r="K1331" s="1" t="s">
        <v>186</v>
      </c>
    </row>
    <row r="1332" customFormat="false" ht="15" hidden="false" customHeight="true" outlineLevel="0" collapsed="false">
      <c r="A1332" s="1" t="s">
        <v>2815</v>
      </c>
      <c r="B1332" s="1" t="s">
        <v>394</v>
      </c>
      <c r="C1332" s="1" t="s">
        <v>2816</v>
      </c>
      <c r="D1332" s="1" t="n">
        <v>168.55</v>
      </c>
      <c r="E1332" s="1" t="s">
        <v>14</v>
      </c>
      <c r="F1332" s="1" t="s">
        <v>56</v>
      </c>
      <c r="G1332" s="1" t="s">
        <v>29</v>
      </c>
      <c r="H1332" s="1" t="s">
        <v>37</v>
      </c>
      <c r="I1332" s="1" t="s">
        <v>2792</v>
      </c>
      <c r="J1332" s="1" t="n">
        <v>18</v>
      </c>
      <c r="K1332" s="1" t="s">
        <v>186</v>
      </c>
    </row>
    <row r="1333" customFormat="false" ht="15" hidden="false" customHeight="true" outlineLevel="0" collapsed="false">
      <c r="A1333" s="1" t="s">
        <v>2817</v>
      </c>
      <c r="B1333" s="1" t="s">
        <v>344</v>
      </c>
      <c r="C1333" s="1" t="s">
        <v>2818</v>
      </c>
      <c r="D1333" s="1" t="n">
        <v>18.87</v>
      </c>
      <c r="E1333" s="1" t="s">
        <v>14</v>
      </c>
      <c r="F1333" s="1" t="s">
        <v>49</v>
      </c>
      <c r="G1333" s="1" t="s">
        <v>36</v>
      </c>
      <c r="H1333" s="1" t="s">
        <v>24</v>
      </c>
      <c r="I1333" s="1" t="s">
        <v>2792</v>
      </c>
      <c r="J1333" s="1" t="n">
        <v>20</v>
      </c>
      <c r="K1333" s="1" t="s">
        <v>186</v>
      </c>
    </row>
    <row r="1334" customFormat="false" ht="15" hidden="false" customHeight="true" outlineLevel="0" collapsed="false">
      <c r="A1334" s="1" t="s">
        <v>2819</v>
      </c>
      <c r="B1334" s="1" t="s">
        <v>113</v>
      </c>
      <c r="C1334" s="1" t="s">
        <v>2820</v>
      </c>
      <c r="D1334" s="1" t="n">
        <v>352.15</v>
      </c>
      <c r="E1334" s="1" t="s">
        <v>14</v>
      </c>
      <c r="F1334" s="1" t="s">
        <v>41</v>
      </c>
      <c r="G1334" s="1" t="s">
        <v>70</v>
      </c>
      <c r="H1334" s="1" t="s">
        <v>37</v>
      </c>
      <c r="I1334" s="1" t="s">
        <v>2821</v>
      </c>
      <c r="J1334" s="1" t="n">
        <v>2</v>
      </c>
      <c r="K1334" s="1" t="s">
        <v>219</v>
      </c>
    </row>
    <row r="1335" customFormat="false" ht="15" hidden="false" customHeight="true" outlineLevel="0" collapsed="false">
      <c r="A1335" s="1" t="s">
        <v>2822</v>
      </c>
      <c r="B1335" s="1" t="s">
        <v>113</v>
      </c>
      <c r="C1335" s="1" t="s">
        <v>2823</v>
      </c>
      <c r="D1335" s="1" t="n">
        <v>63.51</v>
      </c>
      <c r="E1335" s="1" t="s">
        <v>14</v>
      </c>
      <c r="F1335" s="1" t="s">
        <v>41</v>
      </c>
      <c r="G1335" s="1" t="s">
        <v>29</v>
      </c>
      <c r="H1335" s="1" t="s">
        <v>17</v>
      </c>
      <c r="I1335" s="1" t="s">
        <v>2821</v>
      </c>
      <c r="J1335" s="1" t="n">
        <v>4</v>
      </c>
      <c r="K1335" s="1" t="s">
        <v>219</v>
      </c>
    </row>
    <row r="1336" customFormat="false" ht="15" hidden="false" customHeight="true" outlineLevel="0" collapsed="false">
      <c r="A1336" s="1" t="s">
        <v>2824</v>
      </c>
      <c r="B1336" s="1" t="s">
        <v>120</v>
      </c>
      <c r="C1336" s="1" t="s">
        <v>2825</v>
      </c>
      <c r="D1336" s="1" t="n">
        <v>20.32</v>
      </c>
      <c r="E1336" s="1" t="s">
        <v>14</v>
      </c>
      <c r="F1336" s="1" t="s">
        <v>49</v>
      </c>
      <c r="G1336" s="1" t="s">
        <v>36</v>
      </c>
      <c r="H1336" s="1" t="s">
        <v>24</v>
      </c>
      <c r="I1336" s="1" t="s">
        <v>2821</v>
      </c>
      <c r="J1336" s="1" t="n">
        <v>6</v>
      </c>
      <c r="K1336" s="1" t="s">
        <v>219</v>
      </c>
    </row>
    <row r="1337" customFormat="false" ht="15" hidden="false" customHeight="true" outlineLevel="0" collapsed="false">
      <c r="A1337" s="1" t="s">
        <v>2826</v>
      </c>
      <c r="B1337" s="1" t="s">
        <v>167</v>
      </c>
      <c r="C1337" s="1" t="s">
        <v>2827</v>
      </c>
      <c r="D1337" s="1" t="n">
        <v>68.41</v>
      </c>
      <c r="E1337" s="1" t="s">
        <v>14</v>
      </c>
      <c r="F1337" s="1" t="s">
        <v>28</v>
      </c>
      <c r="G1337" s="1" t="s">
        <v>29</v>
      </c>
      <c r="H1337" s="1" t="s">
        <v>17</v>
      </c>
      <c r="I1337" s="1" t="s">
        <v>2821</v>
      </c>
      <c r="J1337" s="1" t="n">
        <v>7</v>
      </c>
      <c r="K1337" s="1" t="s">
        <v>219</v>
      </c>
    </row>
    <row r="1338" customFormat="false" ht="15" hidden="false" customHeight="true" outlineLevel="0" collapsed="false">
      <c r="A1338" s="1" t="s">
        <v>2828</v>
      </c>
      <c r="B1338" s="1" t="s">
        <v>245</v>
      </c>
      <c r="C1338" s="1" t="s">
        <v>2829</v>
      </c>
      <c r="D1338" s="1" t="n">
        <v>194.44</v>
      </c>
      <c r="E1338" s="1" t="s">
        <v>14</v>
      </c>
      <c r="F1338" s="1" t="s">
        <v>15</v>
      </c>
      <c r="G1338" s="1" t="s">
        <v>29</v>
      </c>
      <c r="H1338" s="1" t="s">
        <v>37</v>
      </c>
      <c r="I1338" s="1" t="s">
        <v>2821</v>
      </c>
      <c r="J1338" s="1" t="n">
        <v>7</v>
      </c>
      <c r="K1338" s="1" t="s">
        <v>219</v>
      </c>
    </row>
    <row r="1339" customFormat="false" ht="15" hidden="false" customHeight="true" outlineLevel="0" collapsed="false">
      <c r="A1339" s="1" t="s">
        <v>2830</v>
      </c>
      <c r="B1339" s="1" t="s">
        <v>659</v>
      </c>
      <c r="C1339" s="1" t="s">
        <v>2831</v>
      </c>
      <c r="D1339" s="1" t="n">
        <v>63.88</v>
      </c>
      <c r="E1339" s="1" t="s">
        <v>14</v>
      </c>
      <c r="F1339" s="1" t="s">
        <v>15</v>
      </c>
      <c r="G1339" s="1" t="s">
        <v>36</v>
      </c>
      <c r="H1339" s="1" t="s">
        <v>24</v>
      </c>
      <c r="I1339" s="1" t="s">
        <v>2821</v>
      </c>
      <c r="J1339" s="1" t="n">
        <v>8</v>
      </c>
      <c r="K1339" s="1" t="s">
        <v>219</v>
      </c>
    </row>
    <row r="1340" customFormat="false" ht="15" hidden="false" customHeight="true" outlineLevel="0" collapsed="false">
      <c r="A1340" s="1" t="s">
        <v>2832</v>
      </c>
      <c r="B1340" s="1" t="s">
        <v>190</v>
      </c>
      <c r="C1340" s="1" t="s">
        <v>2833</v>
      </c>
      <c r="D1340" s="1" t="n">
        <v>524.19</v>
      </c>
      <c r="E1340" s="1" t="s">
        <v>14</v>
      </c>
      <c r="F1340" s="1" t="s">
        <v>49</v>
      </c>
      <c r="G1340" s="1" t="s">
        <v>23</v>
      </c>
      <c r="H1340" s="1" t="s">
        <v>24</v>
      </c>
      <c r="I1340" s="1" t="s">
        <v>2821</v>
      </c>
      <c r="J1340" s="1" t="n">
        <v>8</v>
      </c>
      <c r="K1340" s="1" t="s">
        <v>219</v>
      </c>
    </row>
    <row r="1341" customFormat="false" ht="15" hidden="false" customHeight="true" outlineLevel="0" collapsed="false">
      <c r="A1341" s="1" t="s">
        <v>2834</v>
      </c>
      <c r="B1341" s="1" t="s">
        <v>302</v>
      </c>
      <c r="C1341" s="1" t="s">
        <v>2835</v>
      </c>
      <c r="D1341" s="1" t="n">
        <v>23.26</v>
      </c>
      <c r="E1341" s="1" t="s">
        <v>14</v>
      </c>
      <c r="F1341" s="1" t="s">
        <v>28</v>
      </c>
      <c r="G1341" s="1" t="s">
        <v>16</v>
      </c>
      <c r="H1341" s="1" t="s">
        <v>24</v>
      </c>
      <c r="I1341" s="1" t="s">
        <v>2821</v>
      </c>
      <c r="J1341" s="1" t="n">
        <v>8</v>
      </c>
      <c r="K1341" s="1" t="s">
        <v>219</v>
      </c>
    </row>
    <row r="1342" customFormat="false" ht="15" hidden="false" customHeight="true" outlineLevel="0" collapsed="false">
      <c r="A1342" s="1" t="s">
        <v>2836</v>
      </c>
      <c r="B1342" s="1" t="s">
        <v>216</v>
      </c>
      <c r="C1342" s="1" t="s">
        <v>2837</v>
      </c>
      <c r="D1342" s="1" t="n">
        <v>35.78</v>
      </c>
      <c r="E1342" s="1" t="s">
        <v>14</v>
      </c>
      <c r="F1342" s="1" t="s">
        <v>49</v>
      </c>
      <c r="G1342" s="1" t="s">
        <v>36</v>
      </c>
      <c r="H1342" s="1" t="s">
        <v>24</v>
      </c>
      <c r="I1342" s="1" t="s">
        <v>2821</v>
      </c>
      <c r="J1342" s="1" t="n">
        <v>9</v>
      </c>
      <c r="K1342" s="1" t="s">
        <v>219</v>
      </c>
    </row>
    <row r="1343" customFormat="false" ht="15" hidden="false" customHeight="true" outlineLevel="0" collapsed="false">
      <c r="A1343" s="1" t="s">
        <v>2838</v>
      </c>
      <c r="B1343" s="1" t="s">
        <v>496</v>
      </c>
      <c r="C1343" s="1" t="s">
        <v>2839</v>
      </c>
      <c r="D1343" s="1" t="n">
        <v>118.92</v>
      </c>
      <c r="E1343" s="1" t="s">
        <v>14</v>
      </c>
      <c r="F1343" s="1" t="s">
        <v>28</v>
      </c>
      <c r="G1343" s="1" t="s">
        <v>82</v>
      </c>
      <c r="H1343" s="1" t="s">
        <v>24</v>
      </c>
      <c r="I1343" s="1" t="s">
        <v>2821</v>
      </c>
      <c r="J1343" s="1" t="n">
        <v>10</v>
      </c>
      <c r="K1343" s="1" t="s">
        <v>219</v>
      </c>
    </row>
    <row r="1344" customFormat="false" ht="15" hidden="false" customHeight="true" outlineLevel="0" collapsed="false">
      <c r="A1344" s="1" t="s">
        <v>2840</v>
      </c>
      <c r="B1344" s="1" t="s">
        <v>148</v>
      </c>
      <c r="C1344" s="1" t="s">
        <v>2841</v>
      </c>
      <c r="D1344" s="1" t="n">
        <v>56.09</v>
      </c>
      <c r="E1344" s="1" t="s">
        <v>14</v>
      </c>
      <c r="F1344" s="1" t="s">
        <v>41</v>
      </c>
      <c r="G1344" s="1" t="s">
        <v>86</v>
      </c>
      <c r="H1344" s="1" t="s">
        <v>24</v>
      </c>
      <c r="I1344" s="1" t="s">
        <v>2821</v>
      </c>
      <c r="J1344" s="1" t="n">
        <v>10</v>
      </c>
      <c r="K1344" s="1" t="s">
        <v>219</v>
      </c>
    </row>
    <row r="1345" customFormat="false" ht="15" hidden="false" customHeight="true" outlineLevel="0" collapsed="false">
      <c r="A1345" s="1" t="s">
        <v>2842</v>
      </c>
      <c r="B1345" s="1" t="s">
        <v>155</v>
      </c>
      <c r="C1345" s="1" t="s">
        <v>2843</v>
      </c>
      <c r="D1345" s="1" t="n">
        <v>65.96</v>
      </c>
      <c r="E1345" s="1" t="s">
        <v>14</v>
      </c>
      <c r="F1345" s="1" t="s">
        <v>41</v>
      </c>
      <c r="G1345" s="1" t="s">
        <v>16</v>
      </c>
      <c r="H1345" s="1" t="s">
        <v>17</v>
      </c>
      <c r="I1345" s="1" t="s">
        <v>2821</v>
      </c>
      <c r="J1345" s="1" t="n">
        <v>11</v>
      </c>
      <c r="K1345" s="1" t="s">
        <v>219</v>
      </c>
    </row>
    <row r="1346" customFormat="false" ht="15" hidden="false" customHeight="true" outlineLevel="0" collapsed="false">
      <c r="A1346" s="1" t="s">
        <v>2844</v>
      </c>
      <c r="B1346" s="1" t="s">
        <v>199</v>
      </c>
      <c r="C1346" s="1" t="s">
        <v>2845</v>
      </c>
      <c r="D1346" s="1" t="n">
        <v>39.72</v>
      </c>
      <c r="E1346" s="1" t="s">
        <v>14</v>
      </c>
      <c r="F1346" s="1" t="s">
        <v>41</v>
      </c>
      <c r="G1346" s="1" t="s">
        <v>82</v>
      </c>
      <c r="H1346" s="1" t="s">
        <v>37</v>
      </c>
      <c r="I1346" s="1" t="s">
        <v>2821</v>
      </c>
      <c r="J1346" s="1" t="n">
        <v>12</v>
      </c>
      <c r="K1346" s="1" t="s">
        <v>219</v>
      </c>
    </row>
    <row r="1347" customFormat="false" ht="15" hidden="false" customHeight="true" outlineLevel="0" collapsed="false">
      <c r="A1347" s="1" t="s">
        <v>2846</v>
      </c>
      <c r="B1347" s="1" t="s">
        <v>291</v>
      </c>
      <c r="C1347" s="1" t="s">
        <v>2847</v>
      </c>
      <c r="D1347" s="1" t="n">
        <v>467.28</v>
      </c>
      <c r="E1347" s="1" t="s">
        <v>14</v>
      </c>
      <c r="F1347" s="1" t="s">
        <v>28</v>
      </c>
      <c r="G1347" s="1" t="s">
        <v>29</v>
      </c>
      <c r="H1347" s="1" t="s">
        <v>17</v>
      </c>
      <c r="I1347" s="1" t="s">
        <v>2821</v>
      </c>
      <c r="J1347" s="1" t="n">
        <v>12</v>
      </c>
      <c r="K1347" s="1" t="s">
        <v>219</v>
      </c>
    </row>
    <row r="1348" customFormat="false" ht="15" hidden="false" customHeight="true" outlineLevel="0" collapsed="false">
      <c r="A1348" s="1" t="s">
        <v>2848</v>
      </c>
      <c r="B1348" s="1" t="s">
        <v>167</v>
      </c>
      <c r="C1348" s="1" t="s">
        <v>2849</v>
      </c>
      <c r="D1348" s="1" t="n">
        <v>50.49</v>
      </c>
      <c r="E1348" s="1" t="s">
        <v>14</v>
      </c>
      <c r="F1348" s="1" t="s">
        <v>28</v>
      </c>
      <c r="G1348" s="1" t="s">
        <v>29</v>
      </c>
      <c r="H1348" s="1" t="s">
        <v>17</v>
      </c>
      <c r="I1348" s="1" t="s">
        <v>2821</v>
      </c>
      <c r="J1348" s="1" t="n">
        <v>13</v>
      </c>
      <c r="K1348" s="1" t="s">
        <v>219</v>
      </c>
    </row>
    <row r="1349" customFormat="false" ht="15" hidden="false" customHeight="true" outlineLevel="0" collapsed="false">
      <c r="A1349" s="1" t="s">
        <v>2850</v>
      </c>
      <c r="B1349" s="1" t="s">
        <v>291</v>
      </c>
      <c r="C1349" s="1" t="s">
        <v>2851</v>
      </c>
      <c r="D1349" s="1" t="n">
        <v>3000</v>
      </c>
      <c r="E1349" s="1" t="s">
        <v>14</v>
      </c>
      <c r="F1349" s="1" t="s">
        <v>28</v>
      </c>
      <c r="G1349" s="1" t="s">
        <v>23</v>
      </c>
      <c r="H1349" s="1" t="s">
        <v>276</v>
      </c>
      <c r="I1349" s="1" t="s">
        <v>2821</v>
      </c>
      <c r="J1349" s="1" t="n">
        <v>14</v>
      </c>
      <c r="K1349" s="1" t="s">
        <v>219</v>
      </c>
    </row>
    <row r="1350" customFormat="false" ht="15" hidden="false" customHeight="true" outlineLevel="0" collapsed="false">
      <c r="A1350" s="1" t="s">
        <v>2852</v>
      </c>
      <c r="B1350" s="1" t="s">
        <v>240</v>
      </c>
      <c r="C1350" s="1" t="s">
        <v>2853</v>
      </c>
      <c r="D1350" s="1" t="n">
        <v>56.19</v>
      </c>
      <c r="E1350" s="1" t="s">
        <v>14</v>
      </c>
      <c r="F1350" s="1" t="s">
        <v>56</v>
      </c>
      <c r="G1350" s="1" t="s">
        <v>82</v>
      </c>
      <c r="H1350" s="1" t="s">
        <v>17</v>
      </c>
      <c r="I1350" s="1" t="s">
        <v>2821</v>
      </c>
      <c r="J1350" s="1" t="n">
        <v>14</v>
      </c>
      <c r="K1350" s="1" t="s">
        <v>219</v>
      </c>
    </row>
    <row r="1351" customFormat="false" ht="15" hidden="false" customHeight="true" outlineLevel="0" collapsed="false">
      <c r="A1351" s="1" t="s">
        <v>2854</v>
      </c>
      <c r="B1351" s="1" t="s">
        <v>216</v>
      </c>
      <c r="C1351" s="1" t="s">
        <v>2855</v>
      </c>
      <c r="D1351" s="1" t="n">
        <v>146.23</v>
      </c>
      <c r="E1351" s="1" t="s">
        <v>14</v>
      </c>
      <c r="F1351" s="1" t="s">
        <v>49</v>
      </c>
      <c r="G1351" s="1" t="s">
        <v>42</v>
      </c>
      <c r="H1351" s="1" t="s">
        <v>17</v>
      </c>
      <c r="I1351" s="1" t="s">
        <v>2821</v>
      </c>
      <c r="J1351" s="1" t="n">
        <v>15</v>
      </c>
      <c r="K1351" s="1" t="s">
        <v>219</v>
      </c>
    </row>
    <row r="1352" customFormat="false" ht="15" hidden="false" customHeight="true" outlineLevel="0" collapsed="false">
      <c r="A1352" s="1" t="s">
        <v>2856</v>
      </c>
      <c r="B1352" s="1" t="s">
        <v>120</v>
      </c>
      <c r="C1352" s="1" t="s">
        <v>2857</v>
      </c>
      <c r="D1352" s="1" t="n">
        <v>43.72</v>
      </c>
      <c r="E1352" s="1" t="s">
        <v>14</v>
      </c>
      <c r="F1352" s="1" t="s">
        <v>49</v>
      </c>
      <c r="G1352" s="1" t="s">
        <v>70</v>
      </c>
      <c r="H1352" s="1" t="s">
        <v>17</v>
      </c>
      <c r="I1352" s="1" t="s">
        <v>2821</v>
      </c>
      <c r="J1352" s="1" t="n">
        <v>16</v>
      </c>
      <c r="K1352" s="1" t="s">
        <v>219</v>
      </c>
    </row>
    <row r="1353" customFormat="false" ht="15" hidden="false" customHeight="true" outlineLevel="0" collapsed="false">
      <c r="A1353" s="1" t="s">
        <v>2858</v>
      </c>
      <c r="B1353" s="1" t="s">
        <v>302</v>
      </c>
      <c r="C1353" s="1" t="s">
        <v>2859</v>
      </c>
      <c r="D1353" s="1" t="n">
        <v>70.67</v>
      </c>
      <c r="E1353" s="1" t="s">
        <v>14</v>
      </c>
      <c r="F1353" s="1" t="s">
        <v>28</v>
      </c>
      <c r="G1353" s="1" t="s">
        <v>86</v>
      </c>
      <c r="H1353" s="1" t="s">
        <v>17</v>
      </c>
      <c r="I1353" s="1" t="s">
        <v>2821</v>
      </c>
      <c r="J1353" s="1" t="n">
        <v>16</v>
      </c>
      <c r="K1353" s="1" t="s">
        <v>219</v>
      </c>
    </row>
    <row r="1354" customFormat="false" ht="15" hidden="false" customHeight="true" outlineLevel="0" collapsed="false">
      <c r="A1354" s="1" t="s">
        <v>2860</v>
      </c>
      <c r="B1354" s="1" t="s">
        <v>321</v>
      </c>
      <c r="C1354" s="1" t="s">
        <v>2861</v>
      </c>
      <c r="D1354" s="1" t="n">
        <v>149.85</v>
      </c>
      <c r="E1354" s="1" t="s">
        <v>14</v>
      </c>
      <c r="F1354" s="1" t="s">
        <v>15</v>
      </c>
      <c r="G1354" s="1" t="s">
        <v>16</v>
      </c>
      <c r="H1354" s="1" t="s">
        <v>24</v>
      </c>
      <c r="I1354" s="1" t="s">
        <v>2821</v>
      </c>
      <c r="J1354" s="1" t="n">
        <v>17</v>
      </c>
      <c r="K1354" s="1" t="s">
        <v>219</v>
      </c>
    </row>
    <row r="1355" customFormat="false" ht="15" hidden="false" customHeight="true" outlineLevel="0" collapsed="false">
      <c r="A1355" s="1" t="s">
        <v>2862</v>
      </c>
      <c r="B1355" s="1" t="s">
        <v>475</v>
      </c>
      <c r="C1355" s="1" t="s">
        <v>2863</v>
      </c>
      <c r="D1355" s="1" t="n">
        <v>32.51</v>
      </c>
      <c r="E1355" s="1" t="s">
        <v>14</v>
      </c>
      <c r="F1355" s="1" t="s">
        <v>56</v>
      </c>
      <c r="G1355" s="1" t="s">
        <v>86</v>
      </c>
      <c r="H1355" s="1" t="s">
        <v>37</v>
      </c>
      <c r="I1355" s="1" t="s">
        <v>2821</v>
      </c>
      <c r="J1355" s="1" t="n">
        <v>20</v>
      </c>
      <c r="K1355" s="1" t="s">
        <v>219</v>
      </c>
    </row>
    <row r="1356" customFormat="false" ht="15" hidden="false" customHeight="true" outlineLevel="0" collapsed="false">
      <c r="A1356" s="1" t="s">
        <v>2864</v>
      </c>
      <c r="B1356" s="1" t="s">
        <v>84</v>
      </c>
      <c r="C1356" s="1" t="s">
        <v>2865</v>
      </c>
      <c r="D1356" s="1" t="n">
        <v>168.89</v>
      </c>
      <c r="E1356" s="1" t="s">
        <v>14</v>
      </c>
      <c r="F1356" s="1" t="s">
        <v>56</v>
      </c>
      <c r="G1356" s="1" t="s">
        <v>86</v>
      </c>
      <c r="H1356" s="1" t="s">
        <v>37</v>
      </c>
      <c r="I1356" s="1" t="s">
        <v>2821</v>
      </c>
      <c r="J1356" s="1" t="n">
        <v>22</v>
      </c>
      <c r="K1356" s="1" t="s">
        <v>219</v>
      </c>
    </row>
    <row r="1357" customFormat="false" ht="15" hidden="false" customHeight="true" outlineLevel="0" collapsed="false">
      <c r="A1357" s="1" t="s">
        <v>2866</v>
      </c>
      <c r="B1357" s="1" t="s">
        <v>332</v>
      </c>
      <c r="C1357" s="1" t="s">
        <v>2867</v>
      </c>
      <c r="D1357" s="1" t="n">
        <v>28.22</v>
      </c>
      <c r="E1357" s="1" t="s">
        <v>14</v>
      </c>
      <c r="F1357" s="1" t="s">
        <v>49</v>
      </c>
      <c r="G1357" s="1" t="s">
        <v>23</v>
      </c>
      <c r="H1357" s="1" t="s">
        <v>37</v>
      </c>
      <c r="I1357" s="1" t="s">
        <v>2821</v>
      </c>
      <c r="J1357" s="1" t="n">
        <v>22</v>
      </c>
      <c r="K1357" s="1" t="s">
        <v>219</v>
      </c>
    </row>
    <row r="1358" customFormat="false" ht="15" hidden="false" customHeight="true" outlineLevel="0" collapsed="false">
      <c r="A1358" s="1" t="s">
        <v>2868</v>
      </c>
      <c r="B1358" s="1" t="s">
        <v>113</v>
      </c>
      <c r="C1358" s="1" t="s">
        <v>2869</v>
      </c>
      <c r="D1358" s="1" t="n">
        <v>299.5</v>
      </c>
      <c r="E1358" s="1" t="s">
        <v>14</v>
      </c>
      <c r="F1358" s="1" t="s">
        <v>41</v>
      </c>
      <c r="G1358" s="1" t="s">
        <v>16</v>
      </c>
      <c r="H1358" s="1" t="s">
        <v>17</v>
      </c>
      <c r="I1358" s="1" t="s">
        <v>2821</v>
      </c>
      <c r="J1358" s="1" t="n">
        <v>23</v>
      </c>
      <c r="K1358" s="1" t="s">
        <v>219</v>
      </c>
    </row>
    <row r="1359" customFormat="false" ht="15" hidden="false" customHeight="true" outlineLevel="0" collapsed="false">
      <c r="A1359" s="1" t="s">
        <v>2870</v>
      </c>
      <c r="B1359" s="1" t="s">
        <v>193</v>
      </c>
      <c r="C1359" s="1" t="s">
        <v>2871</v>
      </c>
      <c r="D1359" s="1" t="n">
        <v>15.04</v>
      </c>
      <c r="E1359" s="1" t="s">
        <v>14</v>
      </c>
      <c r="F1359" s="1" t="s">
        <v>15</v>
      </c>
      <c r="G1359" s="1" t="s">
        <v>42</v>
      </c>
      <c r="H1359" s="1" t="s">
        <v>24</v>
      </c>
      <c r="I1359" s="1" t="s">
        <v>2872</v>
      </c>
      <c r="J1359" s="1" t="n">
        <v>4</v>
      </c>
      <c r="K1359" s="1" t="s">
        <v>263</v>
      </c>
    </row>
    <row r="1360" customFormat="false" ht="15" hidden="false" customHeight="true" outlineLevel="0" collapsed="false">
      <c r="A1360" s="1" t="s">
        <v>2873</v>
      </c>
      <c r="B1360" s="1" t="s">
        <v>487</v>
      </c>
      <c r="C1360" s="1" t="s">
        <v>2874</v>
      </c>
      <c r="D1360" s="1" t="n">
        <v>246.17</v>
      </c>
      <c r="E1360" s="1" t="s">
        <v>14</v>
      </c>
      <c r="F1360" s="1" t="s">
        <v>49</v>
      </c>
      <c r="G1360" s="1" t="s">
        <v>42</v>
      </c>
      <c r="H1360" s="1" t="s">
        <v>17</v>
      </c>
      <c r="I1360" s="1" t="s">
        <v>2872</v>
      </c>
      <c r="J1360" s="1" t="n">
        <v>8</v>
      </c>
      <c r="K1360" s="1" t="s">
        <v>263</v>
      </c>
    </row>
    <row r="1361" customFormat="false" ht="15" hidden="false" customHeight="true" outlineLevel="0" collapsed="false">
      <c r="A1361" s="1" t="s">
        <v>2875</v>
      </c>
      <c r="B1361" s="1" t="s">
        <v>394</v>
      </c>
      <c r="C1361" s="1" t="s">
        <v>2876</v>
      </c>
      <c r="D1361" s="1" t="n">
        <v>21.02</v>
      </c>
      <c r="E1361" s="1" t="s">
        <v>14</v>
      </c>
      <c r="F1361" s="1" t="s">
        <v>56</v>
      </c>
      <c r="G1361" s="1" t="s">
        <v>23</v>
      </c>
      <c r="H1361" s="1" t="s">
        <v>37</v>
      </c>
      <c r="I1361" s="1" t="s">
        <v>2872</v>
      </c>
      <c r="J1361" s="1" t="n">
        <v>8</v>
      </c>
      <c r="K1361" s="1" t="s">
        <v>263</v>
      </c>
    </row>
    <row r="1362" customFormat="false" ht="15" hidden="false" customHeight="true" outlineLevel="0" collapsed="false">
      <c r="A1362" s="1" t="s">
        <v>2877</v>
      </c>
      <c r="B1362" s="1" t="s">
        <v>496</v>
      </c>
      <c r="C1362" s="1" t="s">
        <v>2878</v>
      </c>
      <c r="D1362" s="1" t="n">
        <v>7.53</v>
      </c>
      <c r="E1362" s="1" t="s">
        <v>14</v>
      </c>
      <c r="F1362" s="1" t="s">
        <v>28</v>
      </c>
      <c r="G1362" s="1" t="s">
        <v>29</v>
      </c>
      <c r="H1362" s="1" t="s">
        <v>17</v>
      </c>
      <c r="I1362" s="1" t="s">
        <v>2872</v>
      </c>
      <c r="J1362" s="1" t="n">
        <v>9</v>
      </c>
      <c r="K1362" s="1" t="s">
        <v>263</v>
      </c>
    </row>
    <row r="1363" customFormat="false" ht="15" hidden="false" customHeight="true" outlineLevel="0" collapsed="false">
      <c r="A1363" s="1" t="s">
        <v>2879</v>
      </c>
      <c r="B1363" s="1" t="s">
        <v>286</v>
      </c>
      <c r="C1363" s="1" t="s">
        <v>2880</v>
      </c>
      <c r="D1363" s="1" t="n">
        <v>23.67</v>
      </c>
      <c r="E1363" s="1" t="s">
        <v>14</v>
      </c>
      <c r="F1363" s="1" t="s">
        <v>15</v>
      </c>
      <c r="G1363" s="1" t="s">
        <v>86</v>
      </c>
      <c r="H1363" s="1" t="s">
        <v>24</v>
      </c>
      <c r="I1363" s="1" t="s">
        <v>2872</v>
      </c>
      <c r="J1363" s="1" t="n">
        <v>9</v>
      </c>
      <c r="K1363" s="1" t="s">
        <v>263</v>
      </c>
    </row>
    <row r="1364" customFormat="false" ht="15" hidden="false" customHeight="true" outlineLevel="0" collapsed="false">
      <c r="A1364" s="1" t="s">
        <v>2881</v>
      </c>
      <c r="B1364" s="1" t="s">
        <v>80</v>
      </c>
      <c r="C1364" s="1" t="s">
        <v>2882</v>
      </c>
      <c r="D1364" s="1" t="n">
        <v>18.79</v>
      </c>
      <c r="E1364" s="1" t="s">
        <v>14</v>
      </c>
      <c r="F1364" s="1" t="s">
        <v>56</v>
      </c>
      <c r="G1364" s="1" t="s">
        <v>70</v>
      </c>
      <c r="H1364" s="1" t="s">
        <v>37</v>
      </c>
      <c r="I1364" s="1" t="s">
        <v>2872</v>
      </c>
      <c r="J1364" s="1" t="n">
        <v>10</v>
      </c>
      <c r="K1364" s="1" t="s">
        <v>263</v>
      </c>
    </row>
    <row r="1365" customFormat="false" ht="15" hidden="false" customHeight="true" outlineLevel="0" collapsed="false">
      <c r="A1365" s="1" t="s">
        <v>2883</v>
      </c>
      <c r="B1365" s="1" t="s">
        <v>659</v>
      </c>
      <c r="C1365" s="1" t="s">
        <v>2884</v>
      </c>
      <c r="D1365" s="1" t="n">
        <v>153.27</v>
      </c>
      <c r="E1365" s="1" t="s">
        <v>14</v>
      </c>
      <c r="F1365" s="1" t="s">
        <v>15</v>
      </c>
      <c r="G1365" s="1" t="s">
        <v>82</v>
      </c>
      <c r="H1365" s="1" t="s">
        <v>24</v>
      </c>
      <c r="I1365" s="1" t="s">
        <v>2872</v>
      </c>
      <c r="J1365" s="1" t="n">
        <v>10</v>
      </c>
      <c r="K1365" s="1" t="s">
        <v>263</v>
      </c>
    </row>
    <row r="1366" customFormat="false" ht="15" hidden="false" customHeight="true" outlineLevel="0" collapsed="false">
      <c r="A1366" s="1" t="s">
        <v>2885</v>
      </c>
      <c r="B1366" s="1" t="s">
        <v>496</v>
      </c>
      <c r="C1366" s="1" t="s">
        <v>2886</v>
      </c>
      <c r="D1366" s="1" t="n">
        <v>132.21</v>
      </c>
      <c r="E1366" s="1" t="s">
        <v>14</v>
      </c>
      <c r="F1366" s="1" t="s">
        <v>28</v>
      </c>
      <c r="G1366" s="1" t="s">
        <v>16</v>
      </c>
      <c r="H1366" s="1" t="s">
        <v>17</v>
      </c>
      <c r="I1366" s="1" t="s">
        <v>2872</v>
      </c>
      <c r="J1366" s="1" t="n">
        <v>10</v>
      </c>
      <c r="K1366" s="1" t="s">
        <v>263</v>
      </c>
    </row>
    <row r="1367" customFormat="false" ht="15" hidden="false" customHeight="true" outlineLevel="0" collapsed="false">
      <c r="A1367" s="1" t="s">
        <v>2887</v>
      </c>
      <c r="B1367" s="1" t="s">
        <v>58</v>
      </c>
      <c r="C1367" s="1" t="s">
        <v>2888</v>
      </c>
      <c r="D1367" s="1" t="n">
        <v>133.05</v>
      </c>
      <c r="E1367" s="1" t="s">
        <v>14</v>
      </c>
      <c r="F1367" s="1" t="s">
        <v>15</v>
      </c>
      <c r="G1367" s="1" t="s">
        <v>86</v>
      </c>
      <c r="H1367" s="1" t="s">
        <v>24</v>
      </c>
      <c r="I1367" s="1" t="s">
        <v>2872</v>
      </c>
      <c r="J1367" s="1" t="n">
        <v>11</v>
      </c>
      <c r="K1367" s="1" t="s">
        <v>263</v>
      </c>
    </row>
    <row r="1368" customFormat="false" ht="15" hidden="false" customHeight="true" outlineLevel="0" collapsed="false">
      <c r="A1368" s="1" t="s">
        <v>2889</v>
      </c>
      <c r="B1368" s="1" t="s">
        <v>26</v>
      </c>
      <c r="C1368" s="1" t="s">
        <v>2890</v>
      </c>
      <c r="D1368" s="1" t="n">
        <v>31.33</v>
      </c>
      <c r="E1368" s="1" t="s">
        <v>14</v>
      </c>
      <c r="F1368" s="1" t="s">
        <v>28</v>
      </c>
      <c r="G1368" s="1" t="s">
        <v>29</v>
      </c>
      <c r="H1368" s="1" t="s">
        <v>17</v>
      </c>
      <c r="I1368" s="1" t="s">
        <v>2872</v>
      </c>
      <c r="J1368" s="1" t="n">
        <v>12</v>
      </c>
      <c r="K1368" s="1" t="s">
        <v>263</v>
      </c>
    </row>
    <row r="1369" customFormat="false" ht="15" hidden="false" customHeight="true" outlineLevel="0" collapsed="false">
      <c r="A1369" s="1" t="s">
        <v>2891</v>
      </c>
      <c r="B1369" s="1" t="s">
        <v>155</v>
      </c>
      <c r="C1369" s="1" t="s">
        <v>2892</v>
      </c>
      <c r="D1369" s="1" t="n">
        <v>67.96</v>
      </c>
      <c r="E1369" s="1" t="s">
        <v>14</v>
      </c>
      <c r="F1369" s="1" t="s">
        <v>41</v>
      </c>
      <c r="G1369" s="1" t="s">
        <v>36</v>
      </c>
      <c r="H1369" s="1" t="s">
        <v>17</v>
      </c>
      <c r="I1369" s="1" t="s">
        <v>2872</v>
      </c>
      <c r="J1369" s="1" t="n">
        <v>15</v>
      </c>
      <c r="K1369" s="1" t="s">
        <v>263</v>
      </c>
    </row>
    <row r="1370" customFormat="false" ht="15" hidden="false" customHeight="true" outlineLevel="0" collapsed="false">
      <c r="A1370" s="1" t="s">
        <v>2893</v>
      </c>
      <c r="B1370" s="1" t="s">
        <v>34</v>
      </c>
      <c r="C1370" s="1" t="s">
        <v>2894</v>
      </c>
      <c r="D1370" s="1" t="n">
        <v>11.04</v>
      </c>
      <c r="E1370" s="1" t="s">
        <v>14</v>
      </c>
      <c r="F1370" s="1" t="s">
        <v>15</v>
      </c>
      <c r="G1370" s="1" t="s">
        <v>29</v>
      </c>
      <c r="H1370" s="1" t="s">
        <v>37</v>
      </c>
      <c r="I1370" s="1" t="s">
        <v>2872</v>
      </c>
      <c r="J1370" s="1" t="n">
        <v>15</v>
      </c>
      <c r="K1370" s="1" t="s">
        <v>263</v>
      </c>
    </row>
    <row r="1371" customFormat="false" ht="15" hidden="false" customHeight="true" outlineLevel="0" collapsed="false">
      <c r="A1371" s="1" t="s">
        <v>2895</v>
      </c>
      <c r="B1371" s="1" t="s">
        <v>148</v>
      </c>
      <c r="C1371" s="1" t="s">
        <v>2896</v>
      </c>
      <c r="D1371" s="1" t="n">
        <v>17.86</v>
      </c>
      <c r="E1371" s="1" t="s">
        <v>14</v>
      </c>
      <c r="F1371" s="1" t="s">
        <v>41</v>
      </c>
      <c r="G1371" s="1" t="s">
        <v>16</v>
      </c>
      <c r="H1371" s="1" t="s">
        <v>37</v>
      </c>
      <c r="I1371" s="1" t="s">
        <v>2872</v>
      </c>
      <c r="J1371" s="1" t="n">
        <v>15</v>
      </c>
      <c r="K1371" s="1" t="s">
        <v>263</v>
      </c>
    </row>
    <row r="1372" customFormat="false" ht="15" hidden="false" customHeight="true" outlineLevel="0" collapsed="false">
      <c r="A1372" s="1" t="s">
        <v>2897</v>
      </c>
      <c r="B1372" s="1" t="s">
        <v>145</v>
      </c>
      <c r="C1372" s="1" t="s">
        <v>2898</v>
      </c>
      <c r="D1372" s="1" t="n">
        <v>55</v>
      </c>
      <c r="E1372" s="1" t="s">
        <v>14</v>
      </c>
      <c r="F1372" s="1" t="s">
        <v>15</v>
      </c>
      <c r="G1372" s="1" t="s">
        <v>29</v>
      </c>
      <c r="H1372" s="1" t="s">
        <v>17</v>
      </c>
      <c r="I1372" s="1" t="s">
        <v>2872</v>
      </c>
      <c r="J1372" s="1" t="n">
        <v>16</v>
      </c>
      <c r="K1372" s="1" t="s">
        <v>263</v>
      </c>
    </row>
    <row r="1373" customFormat="false" ht="15" hidden="false" customHeight="true" outlineLevel="0" collapsed="false">
      <c r="A1373" s="1" t="s">
        <v>2899</v>
      </c>
      <c r="B1373" s="1" t="s">
        <v>221</v>
      </c>
      <c r="C1373" s="1" t="s">
        <v>2900</v>
      </c>
      <c r="D1373" s="1" t="n">
        <v>228.55</v>
      </c>
      <c r="E1373" s="1" t="s">
        <v>14</v>
      </c>
      <c r="F1373" s="1" t="s">
        <v>15</v>
      </c>
      <c r="G1373" s="1" t="s">
        <v>70</v>
      </c>
      <c r="H1373" s="1" t="s">
        <v>17</v>
      </c>
      <c r="I1373" s="1" t="s">
        <v>2872</v>
      </c>
      <c r="J1373" s="1" t="n">
        <v>16</v>
      </c>
      <c r="K1373" s="1" t="s">
        <v>263</v>
      </c>
    </row>
    <row r="1374" customFormat="false" ht="15" hidden="false" customHeight="true" outlineLevel="0" collapsed="false">
      <c r="A1374" s="1" t="s">
        <v>2901</v>
      </c>
      <c r="B1374" s="1" t="s">
        <v>106</v>
      </c>
      <c r="C1374" s="1" t="s">
        <v>2902</v>
      </c>
      <c r="D1374" s="1" t="n">
        <v>40.79</v>
      </c>
      <c r="E1374" s="1" t="s">
        <v>14</v>
      </c>
      <c r="F1374" s="1" t="s">
        <v>15</v>
      </c>
      <c r="G1374" s="1" t="s">
        <v>29</v>
      </c>
      <c r="H1374" s="1" t="s">
        <v>37</v>
      </c>
      <c r="I1374" s="1" t="s">
        <v>2872</v>
      </c>
      <c r="J1374" s="1" t="n">
        <v>17</v>
      </c>
      <c r="K1374" s="1" t="s">
        <v>263</v>
      </c>
    </row>
    <row r="1375" customFormat="false" ht="15" hidden="false" customHeight="true" outlineLevel="0" collapsed="false">
      <c r="A1375" s="1" t="s">
        <v>2903</v>
      </c>
      <c r="B1375" s="1" t="s">
        <v>190</v>
      </c>
      <c r="C1375" s="1" t="s">
        <v>2904</v>
      </c>
      <c r="D1375" s="1" t="n">
        <v>167.39</v>
      </c>
      <c r="E1375" s="1" t="s">
        <v>14</v>
      </c>
      <c r="F1375" s="1" t="s">
        <v>49</v>
      </c>
      <c r="G1375" s="1" t="s">
        <v>42</v>
      </c>
      <c r="H1375" s="1" t="s">
        <v>17</v>
      </c>
      <c r="I1375" s="1" t="s">
        <v>2872</v>
      </c>
      <c r="J1375" s="1" t="n">
        <v>17</v>
      </c>
      <c r="K1375" s="1" t="s">
        <v>263</v>
      </c>
    </row>
    <row r="1376" customFormat="false" ht="15" hidden="false" customHeight="true" outlineLevel="0" collapsed="false">
      <c r="A1376" s="1" t="s">
        <v>2905</v>
      </c>
      <c r="B1376" s="1" t="s">
        <v>475</v>
      </c>
      <c r="C1376" s="1" t="s">
        <v>2906</v>
      </c>
      <c r="D1376" s="1" t="n">
        <v>17.04</v>
      </c>
      <c r="E1376" s="1" t="s">
        <v>14</v>
      </c>
      <c r="F1376" s="1" t="s">
        <v>56</v>
      </c>
      <c r="G1376" s="1" t="s">
        <v>16</v>
      </c>
      <c r="H1376" s="1" t="s">
        <v>24</v>
      </c>
      <c r="I1376" s="1" t="s">
        <v>2872</v>
      </c>
      <c r="J1376" s="1" t="n">
        <v>18</v>
      </c>
      <c r="K1376" s="1" t="s">
        <v>263</v>
      </c>
    </row>
    <row r="1377" customFormat="false" ht="15" hidden="false" customHeight="true" outlineLevel="0" collapsed="false">
      <c r="A1377" s="1" t="s">
        <v>2907</v>
      </c>
      <c r="B1377" s="1" t="s">
        <v>394</v>
      </c>
      <c r="C1377" s="1" t="s">
        <v>2908</v>
      </c>
      <c r="D1377" s="1" t="n">
        <v>48.73</v>
      </c>
      <c r="E1377" s="1" t="s">
        <v>14</v>
      </c>
      <c r="F1377" s="1" t="s">
        <v>56</v>
      </c>
      <c r="G1377" s="1" t="s">
        <v>29</v>
      </c>
      <c r="H1377" s="1" t="s">
        <v>24</v>
      </c>
      <c r="I1377" s="1" t="s">
        <v>2872</v>
      </c>
      <c r="J1377" s="1" t="n">
        <v>20</v>
      </c>
      <c r="K1377" s="1" t="s">
        <v>263</v>
      </c>
    </row>
    <row r="1378" customFormat="false" ht="15" hidden="false" customHeight="true" outlineLevel="0" collapsed="false">
      <c r="A1378" s="1" t="s">
        <v>2909</v>
      </c>
      <c r="B1378" s="1" t="s">
        <v>98</v>
      </c>
      <c r="C1378" s="1" t="s">
        <v>2910</v>
      </c>
      <c r="D1378" s="1" t="n">
        <v>22.82</v>
      </c>
      <c r="E1378" s="1" t="s">
        <v>14</v>
      </c>
      <c r="F1378" s="1" t="s">
        <v>15</v>
      </c>
      <c r="G1378" s="1" t="s">
        <v>36</v>
      </c>
      <c r="H1378" s="1" t="s">
        <v>17</v>
      </c>
      <c r="I1378" s="1" t="s">
        <v>2911</v>
      </c>
      <c r="J1378" s="1" t="n">
        <v>3</v>
      </c>
      <c r="K1378" s="1" t="s">
        <v>19</v>
      </c>
    </row>
    <row r="1379" customFormat="false" ht="15" hidden="false" customHeight="true" outlineLevel="0" collapsed="false">
      <c r="A1379" s="1" t="s">
        <v>2912</v>
      </c>
      <c r="B1379" s="1" t="s">
        <v>245</v>
      </c>
      <c r="C1379" s="1" t="s">
        <v>2913</v>
      </c>
      <c r="D1379" s="1" t="n">
        <v>77.46</v>
      </c>
      <c r="E1379" s="1" t="s">
        <v>14</v>
      </c>
      <c r="F1379" s="1" t="s">
        <v>15</v>
      </c>
      <c r="G1379" s="1" t="s">
        <v>29</v>
      </c>
      <c r="H1379" s="1" t="s">
        <v>17</v>
      </c>
      <c r="I1379" s="1" t="s">
        <v>2911</v>
      </c>
      <c r="J1379" s="1" t="n">
        <v>4</v>
      </c>
      <c r="K1379" s="1" t="s">
        <v>19</v>
      </c>
    </row>
    <row r="1380" customFormat="false" ht="15" hidden="false" customHeight="true" outlineLevel="0" collapsed="false">
      <c r="A1380" s="1" t="s">
        <v>2914</v>
      </c>
      <c r="B1380" s="1" t="s">
        <v>64</v>
      </c>
      <c r="C1380" s="1" t="s">
        <v>2915</v>
      </c>
      <c r="D1380" s="1" t="n">
        <v>65.2</v>
      </c>
      <c r="E1380" s="1" t="s">
        <v>14</v>
      </c>
      <c r="F1380" s="1" t="s">
        <v>41</v>
      </c>
      <c r="G1380" s="1" t="s">
        <v>29</v>
      </c>
      <c r="H1380" s="1" t="s">
        <v>37</v>
      </c>
      <c r="I1380" s="1" t="s">
        <v>2911</v>
      </c>
      <c r="J1380" s="1" t="n">
        <v>6</v>
      </c>
      <c r="K1380" s="1" t="s">
        <v>19</v>
      </c>
    </row>
    <row r="1381" customFormat="false" ht="15" hidden="false" customHeight="true" outlineLevel="0" collapsed="false">
      <c r="A1381" s="1" t="s">
        <v>2916</v>
      </c>
      <c r="B1381" s="1" t="s">
        <v>31</v>
      </c>
      <c r="C1381" s="1" t="s">
        <v>2917</v>
      </c>
      <c r="D1381" s="1" t="n">
        <v>170.67</v>
      </c>
      <c r="E1381" s="1" t="s">
        <v>14</v>
      </c>
      <c r="F1381" s="1" t="s">
        <v>15</v>
      </c>
      <c r="G1381" s="1" t="s">
        <v>82</v>
      </c>
      <c r="H1381" s="1" t="s">
        <v>17</v>
      </c>
      <c r="I1381" s="1" t="s">
        <v>2911</v>
      </c>
      <c r="J1381" s="1" t="n">
        <v>7</v>
      </c>
      <c r="K1381" s="1" t="s">
        <v>19</v>
      </c>
    </row>
    <row r="1382" customFormat="false" ht="15" hidden="false" customHeight="true" outlineLevel="0" collapsed="false">
      <c r="A1382" s="1" t="s">
        <v>2918</v>
      </c>
      <c r="B1382" s="1" t="s">
        <v>84</v>
      </c>
      <c r="C1382" s="1" t="s">
        <v>2919</v>
      </c>
      <c r="D1382" s="1" t="n">
        <v>105.06</v>
      </c>
      <c r="E1382" s="1" t="s">
        <v>14</v>
      </c>
      <c r="F1382" s="1" t="s">
        <v>56</v>
      </c>
      <c r="G1382" s="1" t="s">
        <v>42</v>
      </c>
      <c r="H1382" s="1" t="s">
        <v>24</v>
      </c>
      <c r="I1382" s="1" t="s">
        <v>2911</v>
      </c>
      <c r="J1382" s="1" t="n">
        <v>7</v>
      </c>
      <c r="K1382" s="1" t="s">
        <v>19</v>
      </c>
    </row>
    <row r="1383" customFormat="false" ht="15" hidden="false" customHeight="true" outlineLevel="0" collapsed="false">
      <c r="A1383" s="1" t="s">
        <v>2920</v>
      </c>
      <c r="B1383" s="1" t="s">
        <v>93</v>
      </c>
      <c r="C1383" s="1" t="s">
        <v>2921</v>
      </c>
      <c r="D1383" s="1" t="n">
        <v>109.4</v>
      </c>
      <c r="E1383" s="1" t="s">
        <v>14</v>
      </c>
      <c r="F1383" s="1" t="s">
        <v>28</v>
      </c>
      <c r="G1383" s="1" t="s">
        <v>82</v>
      </c>
      <c r="H1383" s="1" t="s">
        <v>24</v>
      </c>
      <c r="I1383" s="1" t="s">
        <v>2911</v>
      </c>
      <c r="J1383" s="1" t="n">
        <v>8</v>
      </c>
      <c r="K1383" s="1" t="s">
        <v>19</v>
      </c>
    </row>
    <row r="1384" customFormat="false" ht="15" hidden="false" customHeight="true" outlineLevel="0" collapsed="false">
      <c r="A1384" s="1" t="s">
        <v>2922</v>
      </c>
      <c r="B1384" s="1" t="s">
        <v>31</v>
      </c>
      <c r="C1384" s="1" t="s">
        <v>2923</v>
      </c>
      <c r="D1384" s="1" t="n">
        <v>42.93</v>
      </c>
      <c r="E1384" s="1" t="s">
        <v>14</v>
      </c>
      <c r="F1384" s="1" t="s">
        <v>15</v>
      </c>
      <c r="G1384" s="1" t="s">
        <v>16</v>
      </c>
      <c r="H1384" s="1" t="s">
        <v>24</v>
      </c>
      <c r="I1384" s="1" t="s">
        <v>2911</v>
      </c>
      <c r="J1384" s="1" t="n">
        <v>9</v>
      </c>
      <c r="K1384" s="1" t="s">
        <v>19</v>
      </c>
    </row>
    <row r="1385" customFormat="false" ht="15" hidden="false" customHeight="true" outlineLevel="0" collapsed="false">
      <c r="A1385" s="1" t="s">
        <v>2924</v>
      </c>
      <c r="B1385" s="1" t="s">
        <v>125</v>
      </c>
      <c r="C1385" s="1" t="s">
        <v>2925</v>
      </c>
      <c r="D1385" s="1" t="n">
        <v>96.3</v>
      </c>
      <c r="E1385" s="1" t="s">
        <v>14</v>
      </c>
      <c r="F1385" s="1" t="s">
        <v>28</v>
      </c>
      <c r="G1385" s="1" t="s">
        <v>82</v>
      </c>
      <c r="H1385" s="1" t="s">
        <v>37</v>
      </c>
      <c r="I1385" s="1" t="s">
        <v>2911</v>
      </c>
      <c r="J1385" s="1" t="n">
        <v>10</v>
      </c>
      <c r="K1385" s="1" t="s">
        <v>19</v>
      </c>
    </row>
    <row r="1386" customFormat="false" ht="15" hidden="false" customHeight="true" outlineLevel="0" collapsed="false">
      <c r="A1386" s="1" t="s">
        <v>2926</v>
      </c>
      <c r="B1386" s="1" t="s">
        <v>302</v>
      </c>
      <c r="C1386" s="1" t="s">
        <v>2927</v>
      </c>
      <c r="D1386" s="1" t="n">
        <v>103.32</v>
      </c>
      <c r="E1386" s="1" t="s">
        <v>14</v>
      </c>
      <c r="F1386" s="1" t="s">
        <v>28</v>
      </c>
      <c r="G1386" s="1" t="s">
        <v>16</v>
      </c>
      <c r="H1386" s="1" t="s">
        <v>24</v>
      </c>
      <c r="I1386" s="1" t="s">
        <v>2911</v>
      </c>
      <c r="J1386" s="1" t="n">
        <v>10</v>
      </c>
      <c r="K1386" s="1" t="s">
        <v>19</v>
      </c>
    </row>
    <row r="1387" customFormat="false" ht="15" hidden="false" customHeight="true" outlineLevel="0" collapsed="false">
      <c r="A1387" s="1" t="s">
        <v>2928</v>
      </c>
      <c r="B1387" s="1" t="s">
        <v>286</v>
      </c>
      <c r="C1387" s="1" t="s">
        <v>2929</v>
      </c>
      <c r="D1387" s="1" t="n">
        <v>25.74</v>
      </c>
      <c r="E1387" s="1" t="s">
        <v>14</v>
      </c>
      <c r="F1387" s="1" t="s">
        <v>15</v>
      </c>
      <c r="G1387" s="1" t="s">
        <v>23</v>
      </c>
      <c r="H1387" s="1" t="s">
        <v>37</v>
      </c>
      <c r="I1387" s="1" t="s">
        <v>2911</v>
      </c>
      <c r="J1387" s="1" t="n">
        <v>10</v>
      </c>
      <c r="K1387" s="1" t="s">
        <v>19</v>
      </c>
    </row>
    <row r="1388" customFormat="false" ht="15" hidden="false" customHeight="true" outlineLevel="0" collapsed="false">
      <c r="A1388" s="1" t="s">
        <v>2930</v>
      </c>
      <c r="B1388" s="1" t="s">
        <v>21</v>
      </c>
      <c r="C1388" s="1" t="s">
        <v>2931</v>
      </c>
      <c r="D1388" s="1" t="n">
        <v>47.14</v>
      </c>
      <c r="E1388" s="1" t="s">
        <v>14</v>
      </c>
      <c r="F1388" s="1" t="s">
        <v>15</v>
      </c>
      <c r="G1388" s="1" t="s">
        <v>86</v>
      </c>
      <c r="H1388" s="1" t="s">
        <v>37</v>
      </c>
      <c r="I1388" s="1" t="s">
        <v>2911</v>
      </c>
      <c r="J1388" s="1" t="n">
        <v>10</v>
      </c>
      <c r="K1388" s="1" t="s">
        <v>19</v>
      </c>
    </row>
    <row r="1389" customFormat="false" ht="15" hidden="false" customHeight="true" outlineLevel="0" collapsed="false">
      <c r="A1389" s="1" t="s">
        <v>2932</v>
      </c>
      <c r="B1389" s="1" t="s">
        <v>332</v>
      </c>
      <c r="C1389" s="1" t="s">
        <v>2933</v>
      </c>
      <c r="D1389" s="1" t="n">
        <v>304.43</v>
      </c>
      <c r="E1389" s="1" t="s">
        <v>14</v>
      </c>
      <c r="F1389" s="1" t="s">
        <v>49</v>
      </c>
      <c r="G1389" s="1" t="s">
        <v>42</v>
      </c>
      <c r="H1389" s="1" t="s">
        <v>24</v>
      </c>
      <c r="I1389" s="1" t="s">
        <v>2911</v>
      </c>
      <c r="J1389" s="1" t="n">
        <v>10</v>
      </c>
      <c r="K1389" s="1" t="s">
        <v>19</v>
      </c>
    </row>
    <row r="1390" customFormat="false" ht="15" hidden="false" customHeight="true" outlineLevel="0" collapsed="false">
      <c r="A1390" s="1" t="s">
        <v>2934</v>
      </c>
      <c r="B1390" s="1" t="s">
        <v>286</v>
      </c>
      <c r="C1390" s="1" t="s">
        <v>2935</v>
      </c>
      <c r="D1390" s="1" t="n">
        <v>18.5</v>
      </c>
      <c r="E1390" s="1" t="s">
        <v>14</v>
      </c>
      <c r="F1390" s="1" t="s">
        <v>15</v>
      </c>
      <c r="G1390" s="1" t="s">
        <v>36</v>
      </c>
      <c r="H1390" s="1" t="s">
        <v>37</v>
      </c>
      <c r="I1390" s="1" t="s">
        <v>2911</v>
      </c>
      <c r="J1390" s="1" t="n">
        <v>11</v>
      </c>
      <c r="K1390" s="1" t="s">
        <v>19</v>
      </c>
    </row>
    <row r="1391" customFormat="false" ht="15" hidden="false" customHeight="true" outlineLevel="0" collapsed="false">
      <c r="A1391" s="1" t="s">
        <v>2936</v>
      </c>
      <c r="B1391" s="1" t="s">
        <v>98</v>
      </c>
      <c r="C1391" s="1" t="s">
        <v>2937</v>
      </c>
      <c r="D1391" s="1" t="n">
        <v>3000</v>
      </c>
      <c r="E1391" s="1" t="s">
        <v>14</v>
      </c>
      <c r="F1391" s="1" t="s">
        <v>15</v>
      </c>
      <c r="G1391" s="1" t="s">
        <v>23</v>
      </c>
      <c r="H1391" s="1" t="s">
        <v>276</v>
      </c>
      <c r="I1391" s="1" t="s">
        <v>2911</v>
      </c>
      <c r="J1391" s="1" t="n">
        <v>12</v>
      </c>
      <c r="K1391" s="1" t="s">
        <v>19</v>
      </c>
    </row>
    <row r="1392" customFormat="false" ht="15" hidden="false" customHeight="true" outlineLevel="0" collapsed="false">
      <c r="A1392" s="1" t="s">
        <v>2938</v>
      </c>
      <c r="B1392" s="1" t="s">
        <v>98</v>
      </c>
      <c r="C1392" s="1" t="s">
        <v>2939</v>
      </c>
      <c r="D1392" s="1" t="n">
        <v>216.25</v>
      </c>
      <c r="E1392" s="1" t="s">
        <v>14</v>
      </c>
      <c r="F1392" s="1" t="s">
        <v>15</v>
      </c>
      <c r="G1392" s="1" t="s">
        <v>82</v>
      </c>
      <c r="H1392" s="1" t="s">
        <v>37</v>
      </c>
      <c r="I1392" s="1" t="s">
        <v>2911</v>
      </c>
      <c r="J1392" s="1" t="n">
        <v>13</v>
      </c>
      <c r="K1392" s="1" t="s">
        <v>19</v>
      </c>
    </row>
    <row r="1393" customFormat="false" ht="15" hidden="false" customHeight="true" outlineLevel="0" collapsed="false">
      <c r="A1393" s="1" t="s">
        <v>2940</v>
      </c>
      <c r="B1393" s="1" t="s">
        <v>31</v>
      </c>
      <c r="C1393" s="1" t="s">
        <v>2941</v>
      </c>
      <c r="D1393" s="1" t="n">
        <v>139.55</v>
      </c>
      <c r="E1393" s="1" t="s">
        <v>14</v>
      </c>
      <c r="F1393" s="1" t="s">
        <v>15</v>
      </c>
      <c r="G1393" s="1" t="s">
        <v>36</v>
      </c>
      <c r="H1393" s="1" t="s">
        <v>37</v>
      </c>
      <c r="I1393" s="1" t="s">
        <v>2911</v>
      </c>
      <c r="J1393" s="1" t="n">
        <v>13</v>
      </c>
      <c r="K1393" s="1" t="s">
        <v>19</v>
      </c>
    </row>
    <row r="1394" customFormat="false" ht="15" hidden="false" customHeight="true" outlineLevel="0" collapsed="false">
      <c r="A1394" s="1" t="s">
        <v>2942</v>
      </c>
      <c r="B1394" s="1" t="s">
        <v>120</v>
      </c>
      <c r="C1394" s="1" t="s">
        <v>2943</v>
      </c>
      <c r="D1394" s="1" t="n">
        <v>346.65</v>
      </c>
      <c r="E1394" s="1" t="s">
        <v>14</v>
      </c>
      <c r="F1394" s="1" t="s">
        <v>49</v>
      </c>
      <c r="G1394" s="1" t="s">
        <v>82</v>
      </c>
      <c r="H1394" s="1" t="s">
        <v>17</v>
      </c>
      <c r="I1394" s="1" t="s">
        <v>2911</v>
      </c>
      <c r="J1394" s="1" t="n">
        <v>13</v>
      </c>
      <c r="K1394" s="1" t="s">
        <v>19</v>
      </c>
    </row>
    <row r="1395" customFormat="false" ht="15" hidden="false" customHeight="true" outlineLevel="0" collapsed="false">
      <c r="A1395" s="1" t="s">
        <v>2944</v>
      </c>
      <c r="B1395" s="1" t="s">
        <v>64</v>
      </c>
      <c r="C1395" s="1" t="s">
        <v>2945</v>
      </c>
      <c r="D1395" s="1" t="n">
        <v>108.08</v>
      </c>
      <c r="E1395" s="1" t="s">
        <v>14</v>
      </c>
      <c r="F1395" s="1" t="s">
        <v>41</v>
      </c>
      <c r="G1395" s="1" t="s">
        <v>86</v>
      </c>
      <c r="H1395" s="1" t="s">
        <v>24</v>
      </c>
      <c r="I1395" s="1" t="s">
        <v>2911</v>
      </c>
      <c r="J1395" s="1" t="n">
        <v>14</v>
      </c>
      <c r="K1395" s="1" t="s">
        <v>19</v>
      </c>
    </row>
    <row r="1396" customFormat="false" ht="15" hidden="false" customHeight="true" outlineLevel="0" collapsed="false">
      <c r="A1396" s="1" t="s">
        <v>2946</v>
      </c>
      <c r="B1396" s="1" t="s">
        <v>51</v>
      </c>
      <c r="C1396" s="1" t="s">
        <v>2947</v>
      </c>
      <c r="D1396" s="1" t="n">
        <v>88.22</v>
      </c>
      <c r="E1396" s="1" t="s">
        <v>14</v>
      </c>
      <c r="F1396" s="1" t="s">
        <v>41</v>
      </c>
      <c r="G1396" s="1" t="s">
        <v>82</v>
      </c>
      <c r="H1396" s="1" t="s">
        <v>24</v>
      </c>
      <c r="I1396" s="1" t="s">
        <v>2911</v>
      </c>
      <c r="J1396" s="1" t="n">
        <v>14</v>
      </c>
      <c r="K1396" s="1" t="s">
        <v>19</v>
      </c>
    </row>
    <row r="1397" customFormat="false" ht="15" hidden="false" customHeight="true" outlineLevel="0" collapsed="false">
      <c r="A1397" s="1" t="s">
        <v>2948</v>
      </c>
      <c r="B1397" s="1" t="s">
        <v>475</v>
      </c>
      <c r="C1397" s="1" t="s">
        <v>2949</v>
      </c>
      <c r="D1397" s="1" t="n">
        <v>407.15</v>
      </c>
      <c r="E1397" s="1" t="s">
        <v>14</v>
      </c>
      <c r="F1397" s="1" t="s">
        <v>56</v>
      </c>
      <c r="G1397" s="1" t="s">
        <v>82</v>
      </c>
      <c r="H1397" s="1" t="s">
        <v>17</v>
      </c>
      <c r="I1397" s="1" t="s">
        <v>2911</v>
      </c>
      <c r="J1397" s="1" t="n">
        <v>15</v>
      </c>
      <c r="K1397" s="1" t="s">
        <v>19</v>
      </c>
    </row>
    <row r="1398" customFormat="false" ht="15" hidden="false" customHeight="true" outlineLevel="0" collapsed="false">
      <c r="A1398" s="1" t="s">
        <v>2950</v>
      </c>
      <c r="B1398" s="1" t="s">
        <v>183</v>
      </c>
      <c r="C1398" s="1" t="s">
        <v>2951</v>
      </c>
      <c r="D1398" s="1" t="n">
        <v>94.33</v>
      </c>
      <c r="E1398" s="1" t="s">
        <v>14</v>
      </c>
      <c r="F1398" s="1" t="s">
        <v>15</v>
      </c>
      <c r="G1398" s="1" t="s">
        <v>36</v>
      </c>
      <c r="H1398" s="1" t="s">
        <v>37</v>
      </c>
      <c r="I1398" s="1" t="s">
        <v>2911</v>
      </c>
      <c r="J1398" s="1" t="n">
        <v>16</v>
      </c>
      <c r="K1398" s="1" t="s">
        <v>19</v>
      </c>
    </row>
    <row r="1399" customFormat="false" ht="15" hidden="false" customHeight="true" outlineLevel="0" collapsed="false">
      <c r="A1399" s="1" t="s">
        <v>2952</v>
      </c>
      <c r="B1399" s="1" t="s">
        <v>659</v>
      </c>
      <c r="C1399" s="1" t="s">
        <v>2953</v>
      </c>
      <c r="D1399" s="1" t="n">
        <v>10.62</v>
      </c>
      <c r="E1399" s="1" t="s">
        <v>14</v>
      </c>
      <c r="F1399" s="1" t="s">
        <v>15</v>
      </c>
      <c r="G1399" s="1" t="s">
        <v>70</v>
      </c>
      <c r="H1399" s="1" t="s">
        <v>37</v>
      </c>
      <c r="I1399" s="1" t="s">
        <v>2911</v>
      </c>
      <c r="J1399" s="1" t="n">
        <v>17</v>
      </c>
      <c r="K1399" s="1" t="s">
        <v>19</v>
      </c>
    </row>
    <row r="1400" customFormat="false" ht="15" hidden="false" customHeight="true" outlineLevel="0" collapsed="false">
      <c r="A1400" s="1" t="s">
        <v>2954</v>
      </c>
      <c r="B1400" s="1" t="s">
        <v>39</v>
      </c>
      <c r="C1400" s="1" t="s">
        <v>2955</v>
      </c>
      <c r="D1400" s="1" t="n">
        <v>679.76</v>
      </c>
      <c r="E1400" s="1" t="s">
        <v>14</v>
      </c>
      <c r="F1400" s="1" t="s">
        <v>41</v>
      </c>
      <c r="G1400" s="1" t="s">
        <v>36</v>
      </c>
      <c r="H1400" s="1" t="s">
        <v>24</v>
      </c>
      <c r="I1400" s="1" t="s">
        <v>2911</v>
      </c>
      <c r="J1400" s="1" t="n">
        <v>17</v>
      </c>
      <c r="K1400" s="1" t="s">
        <v>19</v>
      </c>
    </row>
    <row r="1401" customFormat="false" ht="15" hidden="false" customHeight="true" outlineLevel="0" collapsed="false">
      <c r="A1401" s="1" t="s">
        <v>2956</v>
      </c>
      <c r="B1401" s="1" t="s">
        <v>307</v>
      </c>
      <c r="C1401" s="1" t="s">
        <v>2957</v>
      </c>
      <c r="D1401" s="1" t="n">
        <v>18.32</v>
      </c>
      <c r="E1401" s="1" t="s">
        <v>14</v>
      </c>
      <c r="F1401" s="1" t="s">
        <v>15</v>
      </c>
      <c r="G1401" s="1" t="s">
        <v>42</v>
      </c>
      <c r="H1401" s="1" t="s">
        <v>24</v>
      </c>
      <c r="I1401" s="1" t="s">
        <v>2911</v>
      </c>
      <c r="J1401" s="1" t="n">
        <v>17</v>
      </c>
      <c r="K1401" s="1" t="s">
        <v>19</v>
      </c>
    </row>
    <row r="1402" customFormat="false" ht="15" hidden="false" customHeight="true" outlineLevel="0" collapsed="false">
      <c r="A1402" s="1" t="s">
        <v>2958</v>
      </c>
      <c r="B1402" s="1" t="s">
        <v>155</v>
      </c>
      <c r="C1402" s="1" t="s">
        <v>2959</v>
      </c>
      <c r="D1402" s="1" t="n">
        <v>138.68</v>
      </c>
      <c r="E1402" s="1" t="s">
        <v>14</v>
      </c>
      <c r="F1402" s="1" t="s">
        <v>41</v>
      </c>
      <c r="G1402" s="1" t="s">
        <v>36</v>
      </c>
      <c r="H1402" s="1" t="s">
        <v>37</v>
      </c>
      <c r="I1402" s="1" t="s">
        <v>2911</v>
      </c>
      <c r="J1402" s="1" t="n">
        <v>22</v>
      </c>
      <c r="K1402" s="1" t="s">
        <v>19</v>
      </c>
    </row>
    <row r="1403" customFormat="false" ht="15" hidden="false" customHeight="true" outlineLevel="0" collapsed="false">
      <c r="A1403" s="1" t="s">
        <v>2960</v>
      </c>
      <c r="B1403" s="1" t="s">
        <v>101</v>
      </c>
      <c r="C1403" s="1" t="s">
        <v>2961</v>
      </c>
      <c r="D1403" s="1" t="n">
        <v>111.48</v>
      </c>
      <c r="E1403" s="1" t="s">
        <v>14</v>
      </c>
      <c r="F1403" s="1" t="s">
        <v>49</v>
      </c>
      <c r="G1403" s="1" t="s">
        <v>86</v>
      </c>
      <c r="H1403" s="1" t="s">
        <v>37</v>
      </c>
      <c r="I1403" s="1" t="s">
        <v>2962</v>
      </c>
      <c r="J1403" s="1" t="n">
        <v>0</v>
      </c>
      <c r="K1403" s="1" t="s">
        <v>67</v>
      </c>
    </row>
    <row r="1404" customFormat="false" ht="15" hidden="false" customHeight="true" outlineLevel="0" collapsed="false">
      <c r="A1404" s="1" t="s">
        <v>2963</v>
      </c>
      <c r="B1404" s="1" t="s">
        <v>291</v>
      </c>
      <c r="C1404" s="1" t="s">
        <v>2964</v>
      </c>
      <c r="D1404" s="1" t="n">
        <v>69.53</v>
      </c>
      <c r="E1404" s="1" t="s">
        <v>14</v>
      </c>
      <c r="F1404" s="1" t="s">
        <v>28</v>
      </c>
      <c r="G1404" s="1" t="s">
        <v>36</v>
      </c>
      <c r="H1404" s="1" t="s">
        <v>37</v>
      </c>
      <c r="I1404" s="1" t="s">
        <v>2962</v>
      </c>
      <c r="J1404" s="1" t="n">
        <v>2</v>
      </c>
      <c r="K1404" s="1" t="s">
        <v>67</v>
      </c>
    </row>
    <row r="1405" customFormat="false" ht="15" hidden="false" customHeight="true" outlineLevel="0" collapsed="false">
      <c r="A1405" s="1" t="s">
        <v>2965</v>
      </c>
      <c r="B1405" s="1" t="s">
        <v>291</v>
      </c>
      <c r="C1405" s="1" t="s">
        <v>2966</v>
      </c>
      <c r="D1405" s="1" t="n">
        <v>50.55</v>
      </c>
      <c r="E1405" s="1" t="s">
        <v>14</v>
      </c>
      <c r="F1405" s="1" t="s">
        <v>28</v>
      </c>
      <c r="G1405" s="1" t="s">
        <v>23</v>
      </c>
      <c r="H1405" s="1" t="s">
        <v>37</v>
      </c>
      <c r="I1405" s="1" t="s">
        <v>2962</v>
      </c>
      <c r="J1405" s="1" t="n">
        <v>2</v>
      </c>
      <c r="K1405" s="1" t="s">
        <v>67</v>
      </c>
    </row>
    <row r="1406" customFormat="false" ht="15" hidden="false" customHeight="true" outlineLevel="0" collapsed="false">
      <c r="A1406" s="1" t="s">
        <v>2967</v>
      </c>
      <c r="B1406" s="1" t="s">
        <v>196</v>
      </c>
      <c r="C1406" s="1" t="s">
        <v>2968</v>
      </c>
      <c r="D1406" s="1" t="n">
        <v>126.13</v>
      </c>
      <c r="E1406" s="1" t="s">
        <v>14</v>
      </c>
      <c r="F1406" s="1" t="s">
        <v>15</v>
      </c>
      <c r="G1406" s="1" t="s">
        <v>36</v>
      </c>
      <c r="H1406" s="1" t="s">
        <v>37</v>
      </c>
      <c r="I1406" s="1" t="s">
        <v>2962</v>
      </c>
      <c r="J1406" s="1" t="n">
        <v>5</v>
      </c>
      <c r="K1406" s="1" t="s">
        <v>67</v>
      </c>
    </row>
    <row r="1407" customFormat="false" ht="15" hidden="false" customHeight="true" outlineLevel="0" collapsed="false">
      <c r="A1407" s="1" t="s">
        <v>2969</v>
      </c>
      <c r="B1407" s="1" t="s">
        <v>496</v>
      </c>
      <c r="C1407" s="1" t="s">
        <v>2970</v>
      </c>
      <c r="D1407" s="1" t="n">
        <v>12.18</v>
      </c>
      <c r="E1407" s="1" t="s">
        <v>14</v>
      </c>
      <c r="F1407" s="1" t="s">
        <v>28</v>
      </c>
      <c r="G1407" s="1" t="s">
        <v>82</v>
      </c>
      <c r="H1407" s="1" t="s">
        <v>37</v>
      </c>
      <c r="I1407" s="1" t="s">
        <v>2962</v>
      </c>
      <c r="J1407" s="1" t="n">
        <v>7</v>
      </c>
      <c r="K1407" s="1" t="s">
        <v>67</v>
      </c>
    </row>
    <row r="1408" customFormat="false" ht="15" hidden="false" customHeight="true" outlineLevel="0" collapsed="false">
      <c r="A1408" s="1" t="s">
        <v>2971</v>
      </c>
      <c r="B1408" s="1" t="s">
        <v>21</v>
      </c>
      <c r="C1408" s="1" t="s">
        <v>2972</v>
      </c>
      <c r="D1408" s="1" t="n">
        <v>277.94</v>
      </c>
      <c r="E1408" s="1" t="s">
        <v>14</v>
      </c>
      <c r="F1408" s="1" t="s">
        <v>15</v>
      </c>
      <c r="G1408" s="1" t="s">
        <v>23</v>
      </c>
      <c r="H1408" s="1" t="s">
        <v>17</v>
      </c>
      <c r="I1408" s="1" t="s">
        <v>2962</v>
      </c>
      <c r="J1408" s="1" t="n">
        <v>8</v>
      </c>
      <c r="K1408" s="1" t="s">
        <v>67</v>
      </c>
    </row>
    <row r="1409" customFormat="false" ht="15" hidden="false" customHeight="true" outlineLevel="0" collapsed="false">
      <c r="A1409" s="1" t="s">
        <v>2973</v>
      </c>
      <c r="B1409" s="1" t="s">
        <v>199</v>
      </c>
      <c r="C1409" s="1" t="s">
        <v>2974</v>
      </c>
      <c r="D1409" s="1" t="n">
        <v>187.61</v>
      </c>
      <c r="E1409" s="1" t="s">
        <v>14</v>
      </c>
      <c r="F1409" s="1" t="s">
        <v>41</v>
      </c>
      <c r="G1409" s="1" t="s">
        <v>23</v>
      </c>
      <c r="H1409" s="1" t="s">
        <v>17</v>
      </c>
      <c r="I1409" s="1" t="s">
        <v>2962</v>
      </c>
      <c r="J1409" s="1" t="n">
        <v>9</v>
      </c>
      <c r="K1409" s="1" t="s">
        <v>67</v>
      </c>
    </row>
    <row r="1410" customFormat="false" ht="15" hidden="false" customHeight="true" outlineLevel="0" collapsed="false">
      <c r="A1410" s="1" t="s">
        <v>2975</v>
      </c>
      <c r="B1410" s="1" t="s">
        <v>155</v>
      </c>
      <c r="C1410" s="1" t="s">
        <v>2976</v>
      </c>
      <c r="D1410" s="1" t="n">
        <v>89.28</v>
      </c>
      <c r="E1410" s="1" t="s">
        <v>14</v>
      </c>
      <c r="F1410" s="1" t="s">
        <v>41</v>
      </c>
      <c r="G1410" s="1" t="s">
        <v>42</v>
      </c>
      <c r="H1410" s="1" t="s">
        <v>37</v>
      </c>
      <c r="I1410" s="1" t="s">
        <v>2962</v>
      </c>
      <c r="J1410" s="1" t="n">
        <v>10</v>
      </c>
      <c r="K1410" s="1" t="s">
        <v>67</v>
      </c>
    </row>
    <row r="1411" customFormat="false" ht="15" hidden="false" customHeight="true" outlineLevel="0" collapsed="false">
      <c r="A1411" s="1" t="s">
        <v>2977</v>
      </c>
      <c r="B1411" s="1" t="s">
        <v>125</v>
      </c>
      <c r="C1411" s="1" t="s">
        <v>2978</v>
      </c>
      <c r="D1411" s="1" t="n">
        <v>102.04</v>
      </c>
      <c r="E1411" s="1" t="s">
        <v>14</v>
      </c>
      <c r="F1411" s="1" t="s">
        <v>28</v>
      </c>
      <c r="G1411" s="1" t="s">
        <v>23</v>
      </c>
      <c r="H1411" s="1" t="s">
        <v>37</v>
      </c>
      <c r="I1411" s="1" t="s">
        <v>2962</v>
      </c>
      <c r="J1411" s="1" t="n">
        <v>13</v>
      </c>
      <c r="K1411" s="1" t="s">
        <v>67</v>
      </c>
    </row>
    <row r="1412" customFormat="false" ht="15" hidden="false" customHeight="true" outlineLevel="0" collapsed="false">
      <c r="A1412" s="1" t="s">
        <v>2979</v>
      </c>
      <c r="B1412" s="1" t="s">
        <v>487</v>
      </c>
      <c r="C1412" s="1" t="s">
        <v>2980</v>
      </c>
      <c r="D1412" s="1" t="n">
        <v>81.59</v>
      </c>
      <c r="E1412" s="1" t="s">
        <v>14</v>
      </c>
      <c r="F1412" s="1" t="s">
        <v>49</v>
      </c>
      <c r="G1412" s="1" t="s">
        <v>36</v>
      </c>
      <c r="H1412" s="1" t="s">
        <v>24</v>
      </c>
      <c r="I1412" s="1" t="s">
        <v>2962</v>
      </c>
      <c r="J1412" s="1" t="n">
        <v>14</v>
      </c>
      <c r="K1412" s="1" t="s">
        <v>67</v>
      </c>
    </row>
    <row r="1413" customFormat="false" ht="15" hidden="false" customHeight="true" outlineLevel="0" collapsed="false">
      <c r="A1413" s="1" t="s">
        <v>2981</v>
      </c>
      <c r="B1413" s="1" t="s">
        <v>286</v>
      </c>
      <c r="C1413" s="1" t="s">
        <v>2982</v>
      </c>
      <c r="D1413" s="1" t="n">
        <v>89.27</v>
      </c>
      <c r="E1413" s="1" t="s">
        <v>14</v>
      </c>
      <c r="F1413" s="1" t="s">
        <v>15</v>
      </c>
      <c r="G1413" s="1" t="s">
        <v>29</v>
      </c>
      <c r="H1413" s="1" t="s">
        <v>37</v>
      </c>
      <c r="I1413" s="1" t="s">
        <v>2962</v>
      </c>
      <c r="J1413" s="1" t="n">
        <v>15</v>
      </c>
      <c r="K1413" s="1" t="s">
        <v>67</v>
      </c>
    </row>
    <row r="1414" customFormat="false" ht="15" hidden="false" customHeight="true" outlineLevel="0" collapsed="false">
      <c r="A1414" s="1" t="s">
        <v>2983</v>
      </c>
      <c r="B1414" s="1" t="s">
        <v>155</v>
      </c>
      <c r="C1414" s="1" t="s">
        <v>2984</v>
      </c>
      <c r="D1414" s="1" t="n">
        <v>50.44</v>
      </c>
      <c r="E1414" s="1" t="s">
        <v>14</v>
      </c>
      <c r="F1414" s="1" t="s">
        <v>41</v>
      </c>
      <c r="G1414" s="1" t="s">
        <v>16</v>
      </c>
      <c r="H1414" s="1" t="s">
        <v>17</v>
      </c>
      <c r="I1414" s="1" t="s">
        <v>2962</v>
      </c>
      <c r="J1414" s="1" t="n">
        <v>15</v>
      </c>
      <c r="K1414" s="1" t="s">
        <v>67</v>
      </c>
    </row>
    <row r="1415" customFormat="false" ht="15" hidden="false" customHeight="true" outlineLevel="0" collapsed="false">
      <c r="A1415" s="1" t="s">
        <v>2985</v>
      </c>
      <c r="B1415" s="1" t="s">
        <v>196</v>
      </c>
      <c r="C1415" s="1" t="s">
        <v>2986</v>
      </c>
      <c r="D1415" s="1" t="n">
        <v>628.73</v>
      </c>
      <c r="E1415" s="1" t="s">
        <v>14</v>
      </c>
      <c r="F1415" s="1" t="s">
        <v>15</v>
      </c>
      <c r="G1415" s="1" t="s">
        <v>86</v>
      </c>
      <c r="H1415" s="1" t="s">
        <v>17</v>
      </c>
      <c r="I1415" s="1" t="s">
        <v>2962</v>
      </c>
      <c r="J1415" s="1" t="n">
        <v>16</v>
      </c>
      <c r="K1415" s="1" t="s">
        <v>67</v>
      </c>
    </row>
    <row r="1416" customFormat="false" ht="15" hidden="false" customHeight="true" outlineLevel="0" collapsed="false">
      <c r="A1416" s="1" t="s">
        <v>2987</v>
      </c>
      <c r="B1416" s="1" t="s">
        <v>193</v>
      </c>
      <c r="C1416" s="1" t="s">
        <v>2988</v>
      </c>
      <c r="D1416" s="1" t="n">
        <v>45.41</v>
      </c>
      <c r="E1416" s="1" t="s">
        <v>14</v>
      </c>
      <c r="F1416" s="1" t="s">
        <v>15</v>
      </c>
      <c r="G1416" s="1" t="s">
        <v>42</v>
      </c>
      <c r="H1416" s="1" t="s">
        <v>37</v>
      </c>
      <c r="I1416" s="1" t="s">
        <v>2962</v>
      </c>
      <c r="J1416" s="1" t="n">
        <v>19</v>
      </c>
      <c r="K1416" s="1" t="s">
        <v>67</v>
      </c>
    </row>
    <row r="1417" customFormat="false" ht="15" hidden="false" customHeight="true" outlineLevel="0" collapsed="false">
      <c r="A1417" s="1" t="s">
        <v>2989</v>
      </c>
      <c r="B1417" s="1" t="s">
        <v>39</v>
      </c>
      <c r="C1417" s="1" t="s">
        <v>2990</v>
      </c>
      <c r="D1417" s="1" t="n">
        <v>37.18</v>
      </c>
      <c r="E1417" s="1" t="s">
        <v>14</v>
      </c>
      <c r="F1417" s="1" t="s">
        <v>41</v>
      </c>
      <c r="G1417" s="1" t="s">
        <v>36</v>
      </c>
      <c r="H1417" s="1" t="s">
        <v>37</v>
      </c>
      <c r="I1417" s="1" t="s">
        <v>2991</v>
      </c>
      <c r="J1417" s="1" t="n">
        <v>8</v>
      </c>
      <c r="K1417" s="1" t="s">
        <v>123</v>
      </c>
    </row>
    <row r="1418" customFormat="false" ht="15" hidden="false" customHeight="true" outlineLevel="0" collapsed="false">
      <c r="A1418" s="1" t="s">
        <v>2992</v>
      </c>
      <c r="B1418" s="1" t="s">
        <v>12</v>
      </c>
      <c r="C1418" s="1" t="s">
        <v>2993</v>
      </c>
      <c r="D1418" s="1" t="n">
        <v>18.68</v>
      </c>
      <c r="E1418" s="1" t="s">
        <v>14</v>
      </c>
      <c r="F1418" s="1" t="s">
        <v>15</v>
      </c>
      <c r="G1418" s="1" t="s">
        <v>42</v>
      </c>
      <c r="H1418" s="1" t="s">
        <v>24</v>
      </c>
      <c r="I1418" s="1" t="s">
        <v>2991</v>
      </c>
      <c r="J1418" s="1" t="n">
        <v>9</v>
      </c>
      <c r="K1418" s="1" t="s">
        <v>123</v>
      </c>
    </row>
    <row r="1419" customFormat="false" ht="15" hidden="false" customHeight="true" outlineLevel="0" collapsed="false">
      <c r="A1419" s="1" t="s">
        <v>2994</v>
      </c>
      <c r="B1419" s="1" t="s">
        <v>193</v>
      </c>
      <c r="C1419" s="1" t="s">
        <v>2995</v>
      </c>
      <c r="D1419" s="1" t="n">
        <v>32.74</v>
      </c>
      <c r="E1419" s="1" t="s">
        <v>14</v>
      </c>
      <c r="F1419" s="1" t="s">
        <v>15</v>
      </c>
      <c r="G1419" s="1" t="s">
        <v>29</v>
      </c>
      <c r="H1419" s="1" t="s">
        <v>17</v>
      </c>
      <c r="I1419" s="1" t="s">
        <v>2991</v>
      </c>
      <c r="J1419" s="1" t="n">
        <v>10</v>
      </c>
      <c r="K1419" s="1" t="s">
        <v>123</v>
      </c>
    </row>
    <row r="1420" customFormat="false" ht="15" hidden="false" customHeight="true" outlineLevel="0" collapsed="false">
      <c r="A1420" s="1" t="s">
        <v>2996</v>
      </c>
      <c r="B1420" s="1" t="s">
        <v>240</v>
      </c>
      <c r="C1420" s="1" t="s">
        <v>2997</v>
      </c>
      <c r="D1420" s="1" t="n">
        <v>26.22</v>
      </c>
      <c r="E1420" s="1" t="s">
        <v>14</v>
      </c>
      <c r="F1420" s="1" t="s">
        <v>56</v>
      </c>
      <c r="G1420" s="1" t="s">
        <v>42</v>
      </c>
      <c r="H1420" s="1" t="s">
        <v>37</v>
      </c>
      <c r="I1420" s="1" t="s">
        <v>2991</v>
      </c>
      <c r="J1420" s="1" t="n">
        <v>10</v>
      </c>
      <c r="K1420" s="1" t="s">
        <v>123</v>
      </c>
    </row>
    <row r="1421" customFormat="false" ht="15" hidden="false" customHeight="true" outlineLevel="0" collapsed="false">
      <c r="A1421" s="1" t="s">
        <v>2998</v>
      </c>
      <c r="B1421" s="1" t="s">
        <v>659</v>
      </c>
      <c r="C1421" s="1" t="s">
        <v>2999</v>
      </c>
      <c r="D1421" s="1" t="n">
        <v>258.03</v>
      </c>
      <c r="E1421" s="1" t="s">
        <v>14</v>
      </c>
      <c r="F1421" s="1" t="s">
        <v>15</v>
      </c>
      <c r="G1421" s="1" t="s">
        <v>36</v>
      </c>
      <c r="H1421" s="1" t="s">
        <v>17</v>
      </c>
      <c r="I1421" s="1" t="s">
        <v>2991</v>
      </c>
      <c r="J1421" s="1" t="n">
        <v>11</v>
      </c>
      <c r="K1421" s="1" t="s">
        <v>123</v>
      </c>
    </row>
    <row r="1422" customFormat="false" ht="15" hidden="false" customHeight="true" outlineLevel="0" collapsed="false">
      <c r="A1422" s="1" t="s">
        <v>3000</v>
      </c>
      <c r="B1422" s="1" t="s">
        <v>162</v>
      </c>
      <c r="C1422" s="1" t="s">
        <v>3001</v>
      </c>
      <c r="D1422" s="1" t="n">
        <v>67.8</v>
      </c>
      <c r="E1422" s="1" t="s">
        <v>14</v>
      </c>
      <c r="F1422" s="1" t="s">
        <v>49</v>
      </c>
      <c r="G1422" s="1" t="s">
        <v>29</v>
      </c>
      <c r="H1422" s="1" t="s">
        <v>24</v>
      </c>
      <c r="I1422" s="1" t="s">
        <v>2991</v>
      </c>
      <c r="J1422" s="1" t="n">
        <v>11</v>
      </c>
      <c r="K1422" s="1" t="s">
        <v>123</v>
      </c>
    </row>
    <row r="1423" customFormat="false" ht="15" hidden="false" customHeight="true" outlineLevel="0" collapsed="false">
      <c r="A1423" s="1" t="s">
        <v>3002</v>
      </c>
      <c r="B1423" s="1" t="s">
        <v>101</v>
      </c>
      <c r="C1423" s="1" t="s">
        <v>3003</v>
      </c>
      <c r="D1423" s="1" t="n">
        <v>185.31</v>
      </c>
      <c r="E1423" s="1" t="s">
        <v>14</v>
      </c>
      <c r="F1423" s="1" t="s">
        <v>49</v>
      </c>
      <c r="G1423" s="1" t="s">
        <v>86</v>
      </c>
      <c r="H1423" s="1" t="s">
        <v>37</v>
      </c>
      <c r="I1423" s="1" t="s">
        <v>2991</v>
      </c>
      <c r="J1423" s="1" t="n">
        <v>12</v>
      </c>
      <c r="K1423" s="1" t="s">
        <v>123</v>
      </c>
    </row>
    <row r="1424" customFormat="false" ht="15" hidden="false" customHeight="true" outlineLevel="0" collapsed="false">
      <c r="A1424" s="1" t="s">
        <v>3004</v>
      </c>
      <c r="B1424" s="1" t="s">
        <v>475</v>
      </c>
      <c r="C1424" s="1" t="s">
        <v>3005</v>
      </c>
      <c r="D1424" s="1" t="n">
        <v>90.11</v>
      </c>
      <c r="E1424" s="1" t="s">
        <v>14</v>
      </c>
      <c r="F1424" s="1" t="s">
        <v>56</v>
      </c>
      <c r="G1424" s="1" t="s">
        <v>70</v>
      </c>
      <c r="H1424" s="1" t="s">
        <v>17</v>
      </c>
      <c r="I1424" s="1" t="s">
        <v>2991</v>
      </c>
      <c r="J1424" s="1" t="n">
        <v>12</v>
      </c>
      <c r="K1424" s="1" t="s">
        <v>123</v>
      </c>
    </row>
    <row r="1425" customFormat="false" ht="15" hidden="false" customHeight="true" outlineLevel="0" collapsed="false">
      <c r="A1425" s="1" t="s">
        <v>3006</v>
      </c>
      <c r="B1425" s="1" t="s">
        <v>31</v>
      </c>
      <c r="C1425" s="1" t="s">
        <v>3007</v>
      </c>
      <c r="D1425" s="1" t="n">
        <v>180.88</v>
      </c>
      <c r="E1425" s="1" t="s">
        <v>14</v>
      </c>
      <c r="F1425" s="1" t="s">
        <v>15</v>
      </c>
      <c r="G1425" s="1" t="s">
        <v>86</v>
      </c>
      <c r="H1425" s="1" t="s">
        <v>37</v>
      </c>
      <c r="I1425" s="1" t="s">
        <v>2991</v>
      </c>
      <c r="J1425" s="1" t="n">
        <v>13</v>
      </c>
      <c r="K1425" s="1" t="s">
        <v>123</v>
      </c>
    </row>
    <row r="1426" customFormat="false" ht="15" hidden="false" customHeight="true" outlineLevel="0" collapsed="false">
      <c r="A1426" s="1" t="s">
        <v>3008</v>
      </c>
      <c r="B1426" s="1" t="s">
        <v>321</v>
      </c>
      <c r="C1426" s="1" t="s">
        <v>3009</v>
      </c>
      <c r="D1426" s="1" t="n">
        <v>179.27</v>
      </c>
      <c r="E1426" s="1" t="s">
        <v>14</v>
      </c>
      <c r="F1426" s="1" t="s">
        <v>15</v>
      </c>
      <c r="G1426" s="1" t="s">
        <v>82</v>
      </c>
      <c r="H1426" s="1" t="s">
        <v>24</v>
      </c>
      <c r="I1426" s="1" t="s">
        <v>2991</v>
      </c>
      <c r="J1426" s="1" t="n">
        <v>13</v>
      </c>
      <c r="K1426" s="1" t="s">
        <v>123</v>
      </c>
    </row>
    <row r="1427" customFormat="false" ht="15" hidden="false" customHeight="true" outlineLevel="0" collapsed="false">
      <c r="A1427" s="1" t="s">
        <v>3010</v>
      </c>
      <c r="B1427" s="1" t="s">
        <v>34</v>
      </c>
      <c r="C1427" s="1" t="s">
        <v>3011</v>
      </c>
      <c r="D1427" s="1" t="n">
        <v>2000</v>
      </c>
      <c r="E1427" s="1" t="s">
        <v>14</v>
      </c>
      <c r="F1427" s="1" t="s">
        <v>15</v>
      </c>
      <c r="G1427" s="1" t="s">
        <v>23</v>
      </c>
      <c r="H1427" s="1" t="s">
        <v>276</v>
      </c>
      <c r="I1427" s="1" t="s">
        <v>2991</v>
      </c>
      <c r="J1427" s="1" t="n">
        <v>14</v>
      </c>
      <c r="K1427" s="1" t="s">
        <v>123</v>
      </c>
    </row>
    <row r="1428" customFormat="false" ht="15" hidden="false" customHeight="true" outlineLevel="0" collapsed="false">
      <c r="A1428" s="1" t="s">
        <v>3012</v>
      </c>
      <c r="B1428" s="1" t="s">
        <v>475</v>
      </c>
      <c r="C1428" s="1" t="s">
        <v>3013</v>
      </c>
      <c r="D1428" s="1" t="n">
        <v>56.87</v>
      </c>
      <c r="E1428" s="1" t="s">
        <v>14</v>
      </c>
      <c r="F1428" s="1" t="s">
        <v>56</v>
      </c>
      <c r="G1428" s="1" t="s">
        <v>42</v>
      </c>
      <c r="H1428" s="1" t="s">
        <v>24</v>
      </c>
      <c r="I1428" s="1" t="s">
        <v>2991</v>
      </c>
      <c r="J1428" s="1" t="n">
        <v>14</v>
      </c>
      <c r="K1428" s="1" t="s">
        <v>123</v>
      </c>
    </row>
    <row r="1429" customFormat="false" ht="15" hidden="false" customHeight="true" outlineLevel="0" collapsed="false">
      <c r="A1429" s="1" t="s">
        <v>3014</v>
      </c>
      <c r="B1429" s="1" t="s">
        <v>240</v>
      </c>
      <c r="C1429" s="1" t="s">
        <v>3015</v>
      </c>
      <c r="D1429" s="1" t="n">
        <v>66.21</v>
      </c>
      <c r="E1429" s="1" t="s">
        <v>14</v>
      </c>
      <c r="F1429" s="1" t="s">
        <v>56</v>
      </c>
      <c r="G1429" s="1" t="s">
        <v>70</v>
      </c>
      <c r="H1429" s="1" t="s">
        <v>17</v>
      </c>
      <c r="I1429" s="1" t="s">
        <v>2991</v>
      </c>
      <c r="J1429" s="1" t="n">
        <v>15</v>
      </c>
      <c r="K1429" s="1" t="s">
        <v>123</v>
      </c>
    </row>
    <row r="1430" customFormat="false" ht="15" hidden="false" customHeight="true" outlineLevel="0" collapsed="false">
      <c r="A1430" s="1" t="s">
        <v>3016</v>
      </c>
      <c r="B1430" s="1" t="s">
        <v>80</v>
      </c>
      <c r="C1430" s="1" t="s">
        <v>3017</v>
      </c>
      <c r="D1430" s="1" t="n">
        <v>10.32</v>
      </c>
      <c r="E1430" s="1" t="s">
        <v>14</v>
      </c>
      <c r="F1430" s="1" t="s">
        <v>56</v>
      </c>
      <c r="G1430" s="1" t="s">
        <v>42</v>
      </c>
      <c r="H1430" s="1" t="s">
        <v>24</v>
      </c>
      <c r="I1430" s="1" t="s">
        <v>2991</v>
      </c>
      <c r="J1430" s="1" t="n">
        <v>15</v>
      </c>
      <c r="K1430" s="1" t="s">
        <v>123</v>
      </c>
    </row>
    <row r="1431" customFormat="false" ht="15" hidden="false" customHeight="true" outlineLevel="0" collapsed="false">
      <c r="A1431" s="1" t="s">
        <v>3018</v>
      </c>
      <c r="B1431" s="1" t="s">
        <v>84</v>
      </c>
      <c r="C1431" s="1" t="s">
        <v>3019</v>
      </c>
      <c r="D1431" s="1" t="n">
        <v>122.93</v>
      </c>
      <c r="E1431" s="1" t="s">
        <v>14</v>
      </c>
      <c r="F1431" s="1" t="s">
        <v>56</v>
      </c>
      <c r="G1431" s="1" t="s">
        <v>23</v>
      </c>
      <c r="H1431" s="1" t="s">
        <v>17</v>
      </c>
      <c r="I1431" s="1" t="s">
        <v>2991</v>
      </c>
      <c r="J1431" s="1" t="n">
        <v>15</v>
      </c>
      <c r="K1431" s="1" t="s">
        <v>123</v>
      </c>
    </row>
    <row r="1432" customFormat="false" ht="15" hidden="false" customHeight="true" outlineLevel="0" collapsed="false">
      <c r="A1432" s="1" t="s">
        <v>3020</v>
      </c>
      <c r="B1432" s="1" t="s">
        <v>106</v>
      </c>
      <c r="C1432" s="1" t="s">
        <v>3021</v>
      </c>
      <c r="D1432" s="1" t="n">
        <v>17.62</v>
      </c>
      <c r="E1432" s="1" t="s">
        <v>14</v>
      </c>
      <c r="F1432" s="1" t="s">
        <v>15</v>
      </c>
      <c r="G1432" s="1" t="s">
        <v>70</v>
      </c>
      <c r="H1432" s="1" t="s">
        <v>17</v>
      </c>
      <c r="I1432" s="1" t="s">
        <v>2991</v>
      </c>
      <c r="J1432" s="1" t="n">
        <v>15</v>
      </c>
      <c r="K1432" s="1" t="s">
        <v>123</v>
      </c>
    </row>
    <row r="1433" customFormat="false" ht="15" hidden="false" customHeight="true" outlineLevel="0" collapsed="false">
      <c r="A1433" s="1" t="s">
        <v>3022</v>
      </c>
      <c r="B1433" s="1" t="s">
        <v>496</v>
      </c>
      <c r="C1433" s="1" t="s">
        <v>3023</v>
      </c>
      <c r="D1433" s="1" t="n">
        <v>220.57</v>
      </c>
      <c r="E1433" s="1" t="s">
        <v>14</v>
      </c>
      <c r="F1433" s="1" t="s">
        <v>28</v>
      </c>
      <c r="G1433" s="1" t="s">
        <v>86</v>
      </c>
      <c r="H1433" s="1" t="s">
        <v>37</v>
      </c>
      <c r="I1433" s="1" t="s">
        <v>2991</v>
      </c>
      <c r="J1433" s="1" t="n">
        <v>15</v>
      </c>
      <c r="K1433" s="1" t="s">
        <v>123</v>
      </c>
    </row>
    <row r="1434" customFormat="false" ht="15" hidden="false" customHeight="true" outlineLevel="0" collapsed="false">
      <c r="A1434" s="1" t="s">
        <v>3024</v>
      </c>
      <c r="B1434" s="1" t="s">
        <v>90</v>
      </c>
      <c r="C1434" s="1" t="s">
        <v>3025</v>
      </c>
      <c r="D1434" s="1" t="n">
        <v>40.52</v>
      </c>
      <c r="E1434" s="1" t="s">
        <v>14</v>
      </c>
      <c r="F1434" s="1" t="s">
        <v>41</v>
      </c>
      <c r="G1434" s="1" t="s">
        <v>23</v>
      </c>
      <c r="H1434" s="1" t="s">
        <v>37</v>
      </c>
      <c r="I1434" s="1" t="s">
        <v>2991</v>
      </c>
      <c r="J1434" s="1" t="n">
        <v>16</v>
      </c>
      <c r="K1434" s="1" t="s">
        <v>123</v>
      </c>
    </row>
    <row r="1435" customFormat="false" ht="15" hidden="false" customHeight="true" outlineLevel="0" collapsed="false">
      <c r="A1435" s="1" t="s">
        <v>3026</v>
      </c>
      <c r="B1435" s="1" t="s">
        <v>180</v>
      </c>
      <c r="C1435" s="1" t="s">
        <v>3027</v>
      </c>
      <c r="D1435" s="1" t="n">
        <v>33.84</v>
      </c>
      <c r="E1435" s="1" t="s">
        <v>14</v>
      </c>
      <c r="F1435" s="1" t="s">
        <v>49</v>
      </c>
      <c r="G1435" s="1" t="s">
        <v>42</v>
      </c>
      <c r="H1435" s="1" t="s">
        <v>17</v>
      </c>
      <c r="I1435" s="1" t="s">
        <v>2991</v>
      </c>
      <c r="J1435" s="1" t="n">
        <v>17</v>
      </c>
      <c r="K1435" s="1" t="s">
        <v>123</v>
      </c>
    </row>
    <row r="1436" customFormat="false" ht="15" hidden="false" customHeight="true" outlineLevel="0" collapsed="false">
      <c r="A1436" s="1" t="s">
        <v>3028</v>
      </c>
      <c r="B1436" s="1" t="s">
        <v>235</v>
      </c>
      <c r="C1436" s="1" t="s">
        <v>3029</v>
      </c>
      <c r="D1436" s="1" t="n">
        <v>113.09</v>
      </c>
      <c r="E1436" s="1" t="s">
        <v>14</v>
      </c>
      <c r="F1436" s="1" t="s">
        <v>41</v>
      </c>
      <c r="G1436" s="1" t="s">
        <v>23</v>
      </c>
      <c r="H1436" s="1" t="s">
        <v>17</v>
      </c>
      <c r="I1436" s="1" t="s">
        <v>2991</v>
      </c>
      <c r="J1436" s="1" t="n">
        <v>19</v>
      </c>
      <c r="K1436" s="1" t="s">
        <v>123</v>
      </c>
    </row>
    <row r="1437" customFormat="false" ht="15" hidden="false" customHeight="true" outlineLevel="0" collapsed="false">
      <c r="A1437" s="1" t="s">
        <v>3030</v>
      </c>
      <c r="B1437" s="1" t="s">
        <v>101</v>
      </c>
      <c r="C1437" s="1" t="s">
        <v>3031</v>
      </c>
      <c r="D1437" s="1" t="n">
        <v>25.28</v>
      </c>
      <c r="E1437" s="1" t="s">
        <v>14</v>
      </c>
      <c r="F1437" s="1" t="s">
        <v>49</v>
      </c>
      <c r="G1437" s="1" t="s">
        <v>82</v>
      </c>
      <c r="H1437" s="1" t="s">
        <v>24</v>
      </c>
      <c r="I1437" s="1" t="s">
        <v>2991</v>
      </c>
      <c r="J1437" s="1" t="n">
        <v>23</v>
      </c>
      <c r="K1437" s="1" t="s">
        <v>123</v>
      </c>
    </row>
    <row r="1438" customFormat="false" ht="15" hidden="false" customHeight="true" outlineLevel="0" collapsed="false">
      <c r="A1438" s="1" t="s">
        <v>3032</v>
      </c>
      <c r="B1438" s="1" t="s">
        <v>344</v>
      </c>
      <c r="C1438" s="1" t="s">
        <v>3033</v>
      </c>
      <c r="D1438" s="1" t="n">
        <v>35.74</v>
      </c>
      <c r="E1438" s="1" t="s">
        <v>14</v>
      </c>
      <c r="F1438" s="1" t="s">
        <v>49</v>
      </c>
      <c r="G1438" s="1" t="s">
        <v>86</v>
      </c>
      <c r="H1438" s="1" t="s">
        <v>24</v>
      </c>
      <c r="I1438" s="1" t="s">
        <v>3034</v>
      </c>
      <c r="J1438" s="1" t="n">
        <v>1</v>
      </c>
      <c r="K1438" s="1" t="s">
        <v>151</v>
      </c>
    </row>
    <row r="1439" customFormat="false" ht="15" hidden="false" customHeight="true" outlineLevel="0" collapsed="false">
      <c r="A1439" s="1" t="s">
        <v>3035</v>
      </c>
      <c r="B1439" s="1" t="s">
        <v>137</v>
      </c>
      <c r="C1439" s="1" t="s">
        <v>3036</v>
      </c>
      <c r="D1439" s="1" t="n">
        <v>123.65</v>
      </c>
      <c r="E1439" s="1" t="s">
        <v>14</v>
      </c>
      <c r="F1439" s="1" t="s">
        <v>49</v>
      </c>
      <c r="G1439" s="1" t="s">
        <v>16</v>
      </c>
      <c r="H1439" s="1" t="s">
        <v>24</v>
      </c>
      <c r="I1439" s="1" t="s">
        <v>3034</v>
      </c>
      <c r="J1439" s="1" t="n">
        <v>7</v>
      </c>
      <c r="K1439" s="1" t="s">
        <v>151</v>
      </c>
    </row>
    <row r="1440" customFormat="false" ht="15" hidden="false" customHeight="true" outlineLevel="0" collapsed="false">
      <c r="A1440" s="1" t="s">
        <v>3037</v>
      </c>
      <c r="B1440" s="1" t="s">
        <v>332</v>
      </c>
      <c r="C1440" s="1" t="s">
        <v>3038</v>
      </c>
      <c r="D1440" s="1" t="n">
        <v>228.19</v>
      </c>
      <c r="E1440" s="1" t="s">
        <v>14</v>
      </c>
      <c r="F1440" s="1" t="s">
        <v>49</v>
      </c>
      <c r="G1440" s="1" t="s">
        <v>86</v>
      </c>
      <c r="H1440" s="1" t="s">
        <v>24</v>
      </c>
      <c r="I1440" s="1" t="s">
        <v>3034</v>
      </c>
      <c r="J1440" s="1" t="n">
        <v>7</v>
      </c>
      <c r="K1440" s="1" t="s">
        <v>151</v>
      </c>
    </row>
    <row r="1441" customFormat="false" ht="15" hidden="false" customHeight="true" outlineLevel="0" collapsed="false">
      <c r="A1441" s="1" t="s">
        <v>3039</v>
      </c>
      <c r="B1441" s="1" t="s">
        <v>216</v>
      </c>
      <c r="C1441" s="1" t="s">
        <v>3040</v>
      </c>
      <c r="D1441" s="1" t="n">
        <v>60.99</v>
      </c>
      <c r="E1441" s="1" t="s">
        <v>14</v>
      </c>
      <c r="F1441" s="1" t="s">
        <v>49</v>
      </c>
      <c r="G1441" s="1" t="s">
        <v>29</v>
      </c>
      <c r="H1441" s="1" t="s">
        <v>37</v>
      </c>
      <c r="I1441" s="1" t="s">
        <v>3034</v>
      </c>
      <c r="J1441" s="1" t="n">
        <v>8</v>
      </c>
      <c r="K1441" s="1" t="s">
        <v>151</v>
      </c>
    </row>
    <row r="1442" customFormat="false" ht="15" hidden="false" customHeight="true" outlineLevel="0" collapsed="false">
      <c r="A1442" s="1" t="s">
        <v>3041</v>
      </c>
      <c r="B1442" s="1" t="s">
        <v>291</v>
      </c>
      <c r="C1442" s="1" t="s">
        <v>3042</v>
      </c>
      <c r="D1442" s="1" t="n">
        <v>19.61</v>
      </c>
      <c r="E1442" s="1" t="s">
        <v>14</v>
      </c>
      <c r="F1442" s="1" t="s">
        <v>28</v>
      </c>
      <c r="G1442" s="1" t="s">
        <v>42</v>
      </c>
      <c r="H1442" s="1" t="s">
        <v>17</v>
      </c>
      <c r="I1442" s="1" t="s">
        <v>3034</v>
      </c>
      <c r="J1442" s="1" t="n">
        <v>8</v>
      </c>
      <c r="K1442" s="1" t="s">
        <v>151</v>
      </c>
    </row>
    <row r="1443" customFormat="false" ht="15" hidden="false" customHeight="true" outlineLevel="0" collapsed="false">
      <c r="A1443" s="1" t="s">
        <v>3043</v>
      </c>
      <c r="B1443" s="1" t="s">
        <v>659</v>
      </c>
      <c r="C1443" s="1" t="s">
        <v>3044</v>
      </c>
      <c r="D1443" s="1" t="n">
        <v>51.78</v>
      </c>
      <c r="E1443" s="1" t="s">
        <v>14</v>
      </c>
      <c r="F1443" s="1" t="s">
        <v>15</v>
      </c>
      <c r="G1443" s="1" t="s">
        <v>16</v>
      </c>
      <c r="H1443" s="1" t="s">
        <v>24</v>
      </c>
      <c r="I1443" s="1" t="s">
        <v>3034</v>
      </c>
      <c r="J1443" s="1" t="n">
        <v>9</v>
      </c>
      <c r="K1443" s="1" t="s">
        <v>151</v>
      </c>
    </row>
    <row r="1444" customFormat="false" ht="15" hidden="false" customHeight="true" outlineLevel="0" collapsed="false">
      <c r="A1444" s="1" t="s">
        <v>3045</v>
      </c>
      <c r="B1444" s="1" t="s">
        <v>291</v>
      </c>
      <c r="C1444" s="1" t="s">
        <v>3046</v>
      </c>
      <c r="D1444" s="1" t="n">
        <v>81.23</v>
      </c>
      <c r="E1444" s="1" t="s">
        <v>14</v>
      </c>
      <c r="F1444" s="1" t="s">
        <v>28</v>
      </c>
      <c r="G1444" s="1" t="s">
        <v>42</v>
      </c>
      <c r="H1444" s="1" t="s">
        <v>24</v>
      </c>
      <c r="I1444" s="1" t="s">
        <v>3034</v>
      </c>
      <c r="J1444" s="1" t="n">
        <v>9</v>
      </c>
      <c r="K1444" s="1" t="s">
        <v>151</v>
      </c>
    </row>
    <row r="1445" customFormat="false" ht="15" hidden="false" customHeight="true" outlineLevel="0" collapsed="false">
      <c r="A1445" s="1" t="s">
        <v>3047</v>
      </c>
      <c r="B1445" s="1" t="s">
        <v>93</v>
      </c>
      <c r="C1445" s="1" t="s">
        <v>3048</v>
      </c>
      <c r="D1445" s="1" t="n">
        <v>24.7</v>
      </c>
      <c r="E1445" s="1" t="s">
        <v>14</v>
      </c>
      <c r="F1445" s="1" t="s">
        <v>28</v>
      </c>
      <c r="G1445" s="1" t="s">
        <v>16</v>
      </c>
      <c r="H1445" s="1" t="s">
        <v>24</v>
      </c>
      <c r="I1445" s="1" t="s">
        <v>3034</v>
      </c>
      <c r="J1445" s="1" t="n">
        <v>9</v>
      </c>
      <c r="K1445" s="1" t="s">
        <v>151</v>
      </c>
    </row>
    <row r="1446" customFormat="false" ht="15" hidden="false" customHeight="true" outlineLevel="0" collapsed="false">
      <c r="A1446" s="1" t="s">
        <v>3049</v>
      </c>
      <c r="B1446" s="1" t="s">
        <v>120</v>
      </c>
      <c r="C1446" s="1" t="s">
        <v>3050</v>
      </c>
      <c r="D1446" s="1" t="n">
        <v>60.15</v>
      </c>
      <c r="E1446" s="1" t="s">
        <v>14</v>
      </c>
      <c r="F1446" s="1" t="s">
        <v>49</v>
      </c>
      <c r="G1446" s="1" t="s">
        <v>16</v>
      </c>
      <c r="H1446" s="1" t="s">
        <v>17</v>
      </c>
      <c r="I1446" s="1" t="s">
        <v>3034</v>
      </c>
      <c r="J1446" s="1" t="n">
        <v>10</v>
      </c>
      <c r="K1446" s="1" t="s">
        <v>151</v>
      </c>
    </row>
    <row r="1447" customFormat="false" ht="15" hidden="false" customHeight="true" outlineLevel="0" collapsed="false">
      <c r="A1447" s="1" t="s">
        <v>3051</v>
      </c>
      <c r="B1447" s="1" t="s">
        <v>54</v>
      </c>
      <c r="C1447" s="1" t="s">
        <v>3052</v>
      </c>
      <c r="D1447" s="1" t="n">
        <v>112.1</v>
      </c>
      <c r="E1447" s="1" t="s">
        <v>14</v>
      </c>
      <c r="F1447" s="1" t="s">
        <v>56</v>
      </c>
      <c r="G1447" s="1" t="s">
        <v>16</v>
      </c>
      <c r="H1447" s="1" t="s">
        <v>17</v>
      </c>
      <c r="I1447" s="1" t="s">
        <v>3034</v>
      </c>
      <c r="J1447" s="1" t="n">
        <v>13</v>
      </c>
      <c r="K1447" s="1" t="s">
        <v>151</v>
      </c>
    </row>
    <row r="1448" customFormat="false" ht="15" hidden="false" customHeight="true" outlineLevel="0" collapsed="false">
      <c r="A1448" s="1" t="s">
        <v>3053</v>
      </c>
      <c r="B1448" s="1" t="s">
        <v>58</v>
      </c>
      <c r="C1448" s="1" t="s">
        <v>3054</v>
      </c>
      <c r="D1448" s="1" t="n">
        <v>119.45</v>
      </c>
      <c r="E1448" s="1" t="s">
        <v>14</v>
      </c>
      <c r="F1448" s="1" t="s">
        <v>15</v>
      </c>
      <c r="G1448" s="1" t="s">
        <v>36</v>
      </c>
      <c r="H1448" s="1" t="s">
        <v>17</v>
      </c>
      <c r="I1448" s="1" t="s">
        <v>3034</v>
      </c>
      <c r="J1448" s="1" t="n">
        <v>14</v>
      </c>
      <c r="K1448" s="1" t="s">
        <v>151</v>
      </c>
    </row>
    <row r="1449" customFormat="false" ht="15" hidden="false" customHeight="true" outlineLevel="0" collapsed="false">
      <c r="A1449" s="1" t="s">
        <v>3055</v>
      </c>
      <c r="B1449" s="1" t="s">
        <v>193</v>
      </c>
      <c r="C1449" s="1" t="s">
        <v>3056</v>
      </c>
      <c r="D1449" s="1" t="n">
        <v>70.12</v>
      </c>
      <c r="E1449" s="1" t="s">
        <v>14</v>
      </c>
      <c r="F1449" s="1" t="s">
        <v>15</v>
      </c>
      <c r="G1449" s="1" t="s">
        <v>16</v>
      </c>
      <c r="H1449" s="1" t="s">
        <v>17</v>
      </c>
      <c r="I1449" s="1" t="s">
        <v>3034</v>
      </c>
      <c r="J1449" s="1" t="n">
        <v>16</v>
      </c>
      <c r="K1449" s="1" t="s">
        <v>151</v>
      </c>
    </row>
    <row r="1450" customFormat="false" ht="15" hidden="false" customHeight="true" outlineLevel="0" collapsed="false">
      <c r="A1450" s="1" t="s">
        <v>3057</v>
      </c>
      <c r="B1450" s="1" t="s">
        <v>183</v>
      </c>
      <c r="C1450" s="1" t="s">
        <v>3058</v>
      </c>
      <c r="D1450" s="1" t="n">
        <v>105.89</v>
      </c>
      <c r="E1450" s="1" t="s">
        <v>14</v>
      </c>
      <c r="F1450" s="1" t="s">
        <v>15</v>
      </c>
      <c r="G1450" s="1" t="s">
        <v>36</v>
      </c>
      <c r="H1450" s="1" t="s">
        <v>24</v>
      </c>
      <c r="I1450" s="1" t="s">
        <v>3034</v>
      </c>
      <c r="J1450" s="1" t="n">
        <v>16</v>
      </c>
      <c r="K1450" s="1" t="s">
        <v>151</v>
      </c>
    </row>
    <row r="1451" customFormat="false" ht="15" hidden="false" customHeight="true" outlineLevel="0" collapsed="false">
      <c r="A1451" s="1" t="s">
        <v>3059</v>
      </c>
      <c r="B1451" s="1" t="s">
        <v>332</v>
      </c>
      <c r="C1451" s="1" t="s">
        <v>3060</v>
      </c>
      <c r="D1451" s="1" t="n">
        <v>39.72</v>
      </c>
      <c r="E1451" s="1" t="s">
        <v>14</v>
      </c>
      <c r="F1451" s="1" t="s">
        <v>49</v>
      </c>
      <c r="G1451" s="1" t="s">
        <v>16</v>
      </c>
      <c r="H1451" s="1" t="s">
        <v>17</v>
      </c>
      <c r="I1451" s="1" t="s">
        <v>3034</v>
      </c>
      <c r="J1451" s="1" t="n">
        <v>16</v>
      </c>
      <c r="K1451" s="1" t="s">
        <v>151</v>
      </c>
    </row>
    <row r="1452" customFormat="false" ht="15" hidden="false" customHeight="true" outlineLevel="0" collapsed="false">
      <c r="A1452" s="1" t="s">
        <v>3061</v>
      </c>
      <c r="B1452" s="1" t="s">
        <v>47</v>
      </c>
      <c r="C1452" s="1" t="s">
        <v>3062</v>
      </c>
      <c r="D1452" s="1" t="n">
        <v>176.06</v>
      </c>
      <c r="E1452" s="1" t="s">
        <v>14</v>
      </c>
      <c r="F1452" s="1" t="s">
        <v>49</v>
      </c>
      <c r="G1452" s="1" t="s">
        <v>86</v>
      </c>
      <c r="H1452" s="1" t="s">
        <v>17</v>
      </c>
      <c r="I1452" s="1" t="s">
        <v>3034</v>
      </c>
      <c r="J1452" s="1" t="n">
        <v>20</v>
      </c>
      <c r="K1452" s="1" t="s">
        <v>151</v>
      </c>
    </row>
    <row r="1453" customFormat="false" ht="15" hidden="false" customHeight="true" outlineLevel="0" collapsed="false">
      <c r="A1453" s="1" t="s">
        <v>3063</v>
      </c>
      <c r="B1453" s="1" t="s">
        <v>34</v>
      </c>
      <c r="C1453" s="1" t="s">
        <v>3064</v>
      </c>
      <c r="D1453" s="1" t="n">
        <v>81.1</v>
      </c>
      <c r="E1453" s="1" t="s">
        <v>14</v>
      </c>
      <c r="F1453" s="1" t="s">
        <v>15</v>
      </c>
      <c r="G1453" s="1" t="s">
        <v>82</v>
      </c>
      <c r="H1453" s="1" t="s">
        <v>24</v>
      </c>
      <c r="I1453" s="1" t="s">
        <v>3034</v>
      </c>
      <c r="J1453" s="1" t="n">
        <v>22</v>
      </c>
      <c r="K1453" s="1" t="s">
        <v>151</v>
      </c>
    </row>
    <row r="1454" customFormat="false" ht="15" hidden="false" customHeight="true" outlineLevel="0" collapsed="false">
      <c r="A1454" s="1" t="s">
        <v>3065</v>
      </c>
      <c r="B1454" s="1" t="s">
        <v>167</v>
      </c>
      <c r="C1454" s="1" t="s">
        <v>3066</v>
      </c>
      <c r="D1454" s="1" t="n">
        <v>64.35</v>
      </c>
      <c r="E1454" s="1" t="s">
        <v>14</v>
      </c>
      <c r="F1454" s="1" t="s">
        <v>28</v>
      </c>
      <c r="G1454" s="1" t="s">
        <v>23</v>
      </c>
      <c r="H1454" s="1" t="s">
        <v>24</v>
      </c>
      <c r="I1454" s="1" t="s">
        <v>3067</v>
      </c>
      <c r="J1454" s="1" t="n">
        <v>4</v>
      </c>
      <c r="K1454" s="1" t="s">
        <v>186</v>
      </c>
    </row>
    <row r="1455" customFormat="false" ht="15" hidden="false" customHeight="true" outlineLevel="0" collapsed="false">
      <c r="A1455" s="1" t="s">
        <v>3068</v>
      </c>
      <c r="B1455" s="1" t="s">
        <v>113</v>
      </c>
      <c r="C1455" s="1" t="s">
        <v>3069</v>
      </c>
      <c r="D1455" s="1" t="n">
        <v>20.89</v>
      </c>
      <c r="E1455" s="1" t="s">
        <v>14</v>
      </c>
      <c r="F1455" s="1" t="s">
        <v>41</v>
      </c>
      <c r="G1455" s="1" t="s">
        <v>70</v>
      </c>
      <c r="H1455" s="1" t="s">
        <v>37</v>
      </c>
      <c r="I1455" s="1" t="s">
        <v>3067</v>
      </c>
      <c r="J1455" s="1" t="n">
        <v>6</v>
      </c>
      <c r="K1455" s="1" t="s">
        <v>186</v>
      </c>
    </row>
    <row r="1456" customFormat="false" ht="15" hidden="false" customHeight="true" outlineLevel="0" collapsed="false">
      <c r="A1456" s="1" t="s">
        <v>3070</v>
      </c>
      <c r="B1456" s="1" t="s">
        <v>286</v>
      </c>
      <c r="C1456" s="1" t="s">
        <v>3071</v>
      </c>
      <c r="D1456" s="1" t="n">
        <v>73.69</v>
      </c>
      <c r="E1456" s="1" t="s">
        <v>14</v>
      </c>
      <c r="F1456" s="1" t="s">
        <v>15</v>
      </c>
      <c r="G1456" s="1" t="s">
        <v>23</v>
      </c>
      <c r="H1456" s="1" t="s">
        <v>17</v>
      </c>
      <c r="I1456" s="1" t="s">
        <v>3067</v>
      </c>
      <c r="J1456" s="1" t="n">
        <v>7</v>
      </c>
      <c r="K1456" s="1" t="s">
        <v>186</v>
      </c>
    </row>
    <row r="1457" customFormat="false" ht="15" hidden="false" customHeight="true" outlineLevel="0" collapsed="false">
      <c r="A1457" s="1" t="s">
        <v>3072</v>
      </c>
      <c r="B1457" s="1" t="s">
        <v>137</v>
      </c>
      <c r="C1457" s="1" t="s">
        <v>3073</v>
      </c>
      <c r="D1457" s="1" t="n">
        <v>13.7</v>
      </c>
      <c r="E1457" s="1" t="s">
        <v>14</v>
      </c>
      <c r="F1457" s="1" t="s">
        <v>49</v>
      </c>
      <c r="G1457" s="1" t="s">
        <v>86</v>
      </c>
      <c r="H1457" s="1" t="s">
        <v>17</v>
      </c>
      <c r="I1457" s="1" t="s">
        <v>3067</v>
      </c>
      <c r="J1457" s="1" t="n">
        <v>7</v>
      </c>
      <c r="K1457" s="1" t="s">
        <v>186</v>
      </c>
    </row>
    <row r="1458" customFormat="false" ht="15" hidden="false" customHeight="true" outlineLevel="0" collapsed="false">
      <c r="A1458" s="1" t="s">
        <v>3074</v>
      </c>
      <c r="B1458" s="1" t="s">
        <v>332</v>
      </c>
      <c r="C1458" s="1" t="s">
        <v>3075</v>
      </c>
      <c r="D1458" s="1" t="n">
        <v>80.85</v>
      </c>
      <c r="E1458" s="1" t="s">
        <v>14</v>
      </c>
      <c r="F1458" s="1" t="s">
        <v>49</v>
      </c>
      <c r="G1458" s="1" t="s">
        <v>16</v>
      </c>
      <c r="H1458" s="1" t="s">
        <v>37</v>
      </c>
      <c r="I1458" s="1" t="s">
        <v>3067</v>
      </c>
      <c r="J1458" s="1" t="n">
        <v>7</v>
      </c>
      <c r="K1458" s="1" t="s">
        <v>186</v>
      </c>
    </row>
    <row r="1459" customFormat="false" ht="15" hidden="false" customHeight="true" outlineLevel="0" collapsed="false">
      <c r="A1459" s="1" t="s">
        <v>3076</v>
      </c>
      <c r="B1459" s="1" t="s">
        <v>125</v>
      </c>
      <c r="C1459" s="1" t="s">
        <v>3077</v>
      </c>
      <c r="D1459" s="1" t="n">
        <v>83.97</v>
      </c>
      <c r="E1459" s="1" t="s">
        <v>14</v>
      </c>
      <c r="F1459" s="1" t="s">
        <v>28</v>
      </c>
      <c r="G1459" s="1" t="s">
        <v>42</v>
      </c>
      <c r="H1459" s="1" t="s">
        <v>17</v>
      </c>
      <c r="I1459" s="1" t="s">
        <v>3067</v>
      </c>
      <c r="J1459" s="1" t="n">
        <v>8</v>
      </c>
      <c r="K1459" s="1" t="s">
        <v>186</v>
      </c>
    </row>
    <row r="1460" customFormat="false" ht="15" hidden="false" customHeight="true" outlineLevel="0" collapsed="false">
      <c r="A1460" s="1" t="s">
        <v>3078</v>
      </c>
      <c r="B1460" s="1" t="s">
        <v>180</v>
      </c>
      <c r="C1460" s="1" t="s">
        <v>3079</v>
      </c>
      <c r="D1460" s="1" t="n">
        <v>139.75</v>
      </c>
      <c r="E1460" s="1" t="s">
        <v>14</v>
      </c>
      <c r="F1460" s="1" t="s">
        <v>49</v>
      </c>
      <c r="G1460" s="1" t="s">
        <v>29</v>
      </c>
      <c r="H1460" s="1" t="s">
        <v>17</v>
      </c>
      <c r="I1460" s="1" t="s">
        <v>3067</v>
      </c>
      <c r="J1460" s="1" t="n">
        <v>8</v>
      </c>
      <c r="K1460" s="1" t="s">
        <v>186</v>
      </c>
    </row>
    <row r="1461" customFormat="false" ht="15" hidden="false" customHeight="true" outlineLevel="0" collapsed="false">
      <c r="A1461" s="1" t="s">
        <v>3080</v>
      </c>
      <c r="B1461" s="1" t="s">
        <v>183</v>
      </c>
      <c r="C1461" s="1" t="s">
        <v>3081</v>
      </c>
      <c r="D1461" s="1" t="n">
        <v>92.02</v>
      </c>
      <c r="E1461" s="1" t="s">
        <v>14</v>
      </c>
      <c r="F1461" s="1" t="s">
        <v>15</v>
      </c>
      <c r="G1461" s="1" t="s">
        <v>82</v>
      </c>
      <c r="H1461" s="1" t="s">
        <v>17</v>
      </c>
      <c r="I1461" s="1" t="s">
        <v>3067</v>
      </c>
      <c r="J1461" s="1" t="n">
        <v>10</v>
      </c>
      <c r="K1461" s="1" t="s">
        <v>186</v>
      </c>
    </row>
    <row r="1462" customFormat="false" ht="15" hidden="false" customHeight="true" outlineLevel="0" collapsed="false">
      <c r="A1462" s="1" t="s">
        <v>3082</v>
      </c>
      <c r="B1462" s="1" t="s">
        <v>58</v>
      </c>
      <c r="C1462" s="1" t="s">
        <v>3083</v>
      </c>
      <c r="D1462" s="1" t="n">
        <v>54.02</v>
      </c>
      <c r="E1462" s="1" t="s">
        <v>14</v>
      </c>
      <c r="F1462" s="1" t="s">
        <v>15</v>
      </c>
      <c r="G1462" s="1" t="s">
        <v>82</v>
      </c>
      <c r="H1462" s="1" t="s">
        <v>24</v>
      </c>
      <c r="I1462" s="1" t="s">
        <v>3067</v>
      </c>
      <c r="J1462" s="1" t="n">
        <v>12</v>
      </c>
      <c r="K1462" s="1" t="s">
        <v>186</v>
      </c>
    </row>
    <row r="1463" customFormat="false" ht="15" hidden="false" customHeight="true" outlineLevel="0" collapsed="false">
      <c r="A1463" s="1" t="s">
        <v>3084</v>
      </c>
      <c r="B1463" s="1" t="s">
        <v>12</v>
      </c>
      <c r="C1463" s="1" t="s">
        <v>3085</v>
      </c>
      <c r="D1463" s="1" t="n">
        <v>89.82</v>
      </c>
      <c r="E1463" s="1" t="s">
        <v>14</v>
      </c>
      <c r="F1463" s="1" t="s">
        <v>15</v>
      </c>
      <c r="G1463" s="1" t="s">
        <v>29</v>
      </c>
      <c r="H1463" s="1" t="s">
        <v>37</v>
      </c>
      <c r="I1463" s="1" t="s">
        <v>3067</v>
      </c>
      <c r="J1463" s="1" t="n">
        <v>13</v>
      </c>
      <c r="K1463" s="1" t="s">
        <v>186</v>
      </c>
    </row>
    <row r="1464" customFormat="false" ht="15" hidden="false" customHeight="true" outlineLevel="0" collapsed="false">
      <c r="A1464" s="1" t="s">
        <v>3086</v>
      </c>
      <c r="B1464" s="1" t="s">
        <v>245</v>
      </c>
      <c r="C1464" s="1" t="s">
        <v>3087</v>
      </c>
      <c r="D1464" s="1" t="n">
        <v>94.08</v>
      </c>
      <c r="E1464" s="1" t="s">
        <v>14</v>
      </c>
      <c r="F1464" s="1" t="s">
        <v>15</v>
      </c>
      <c r="G1464" s="1" t="s">
        <v>29</v>
      </c>
      <c r="H1464" s="1" t="s">
        <v>37</v>
      </c>
      <c r="I1464" s="1" t="s">
        <v>3067</v>
      </c>
      <c r="J1464" s="1" t="n">
        <v>14</v>
      </c>
      <c r="K1464" s="1" t="s">
        <v>186</v>
      </c>
    </row>
    <row r="1465" customFormat="false" ht="15" hidden="false" customHeight="true" outlineLevel="0" collapsed="false">
      <c r="A1465" s="1" t="s">
        <v>3088</v>
      </c>
      <c r="B1465" s="1" t="s">
        <v>162</v>
      </c>
      <c r="C1465" s="1" t="s">
        <v>3089</v>
      </c>
      <c r="D1465" s="1" t="n">
        <v>46.19</v>
      </c>
      <c r="E1465" s="1" t="s">
        <v>14</v>
      </c>
      <c r="F1465" s="1" t="s">
        <v>49</v>
      </c>
      <c r="G1465" s="1" t="s">
        <v>70</v>
      </c>
      <c r="H1465" s="1" t="s">
        <v>37</v>
      </c>
      <c r="I1465" s="1" t="s">
        <v>3067</v>
      </c>
      <c r="J1465" s="1" t="n">
        <v>14</v>
      </c>
      <c r="K1465" s="1" t="s">
        <v>186</v>
      </c>
    </row>
    <row r="1466" customFormat="false" ht="15" hidden="false" customHeight="true" outlineLevel="0" collapsed="false">
      <c r="A1466" s="1" t="s">
        <v>3090</v>
      </c>
      <c r="B1466" s="1" t="s">
        <v>221</v>
      </c>
      <c r="C1466" s="1" t="s">
        <v>3091</v>
      </c>
      <c r="D1466" s="1" t="n">
        <v>119.2</v>
      </c>
      <c r="E1466" s="1" t="s">
        <v>14</v>
      </c>
      <c r="F1466" s="1" t="s">
        <v>15</v>
      </c>
      <c r="G1466" s="1" t="s">
        <v>86</v>
      </c>
      <c r="H1466" s="1" t="s">
        <v>37</v>
      </c>
      <c r="I1466" s="1" t="s">
        <v>3067</v>
      </c>
      <c r="J1466" s="1" t="n">
        <v>14</v>
      </c>
      <c r="K1466" s="1" t="s">
        <v>186</v>
      </c>
    </row>
    <row r="1467" customFormat="false" ht="15" hidden="false" customHeight="true" outlineLevel="0" collapsed="false">
      <c r="A1467" s="1" t="s">
        <v>3092</v>
      </c>
      <c r="B1467" s="1" t="s">
        <v>145</v>
      </c>
      <c r="C1467" s="1" t="s">
        <v>3093</v>
      </c>
      <c r="D1467" s="1" t="n">
        <v>29.17</v>
      </c>
      <c r="E1467" s="1" t="s">
        <v>14</v>
      </c>
      <c r="F1467" s="1" t="s">
        <v>15</v>
      </c>
      <c r="G1467" s="1" t="s">
        <v>36</v>
      </c>
      <c r="H1467" s="1" t="s">
        <v>24</v>
      </c>
      <c r="I1467" s="1" t="s">
        <v>3067</v>
      </c>
      <c r="J1467" s="1" t="n">
        <v>18</v>
      </c>
      <c r="K1467" s="1" t="s">
        <v>186</v>
      </c>
    </row>
    <row r="1468" customFormat="false" ht="15" hidden="false" customHeight="true" outlineLevel="0" collapsed="false">
      <c r="A1468" s="1" t="s">
        <v>3094</v>
      </c>
      <c r="B1468" s="1" t="s">
        <v>80</v>
      </c>
      <c r="C1468" s="1" t="s">
        <v>3095</v>
      </c>
      <c r="D1468" s="1" t="n">
        <v>22.2</v>
      </c>
      <c r="E1468" s="1" t="s">
        <v>14</v>
      </c>
      <c r="F1468" s="1" t="s">
        <v>56</v>
      </c>
      <c r="G1468" s="1" t="s">
        <v>42</v>
      </c>
      <c r="H1468" s="1" t="s">
        <v>17</v>
      </c>
      <c r="I1468" s="1" t="s">
        <v>3067</v>
      </c>
      <c r="J1468" s="1" t="n">
        <v>18</v>
      </c>
      <c r="K1468" s="1" t="s">
        <v>186</v>
      </c>
    </row>
    <row r="1469" customFormat="false" ht="15" hidden="false" customHeight="true" outlineLevel="0" collapsed="false">
      <c r="A1469" s="1" t="s">
        <v>3096</v>
      </c>
      <c r="B1469" s="1" t="s">
        <v>106</v>
      </c>
      <c r="C1469" s="1" t="s">
        <v>3097</v>
      </c>
      <c r="D1469" s="1" t="n">
        <v>44.75</v>
      </c>
      <c r="E1469" s="1" t="s">
        <v>14</v>
      </c>
      <c r="F1469" s="1" t="s">
        <v>15</v>
      </c>
      <c r="G1469" s="1" t="s">
        <v>82</v>
      </c>
      <c r="H1469" s="1" t="s">
        <v>37</v>
      </c>
      <c r="I1469" s="1" t="s">
        <v>3067</v>
      </c>
      <c r="J1469" s="1" t="n">
        <v>19</v>
      </c>
      <c r="K1469" s="1" t="s">
        <v>186</v>
      </c>
    </row>
    <row r="1470" customFormat="false" ht="15" hidden="false" customHeight="true" outlineLevel="0" collapsed="false">
      <c r="A1470" s="1" t="s">
        <v>3098</v>
      </c>
      <c r="B1470" s="1" t="s">
        <v>307</v>
      </c>
      <c r="C1470" s="1" t="s">
        <v>3099</v>
      </c>
      <c r="D1470" s="1" t="n">
        <v>99.43</v>
      </c>
      <c r="E1470" s="1" t="s">
        <v>14</v>
      </c>
      <c r="F1470" s="1" t="s">
        <v>15</v>
      </c>
      <c r="G1470" s="1" t="s">
        <v>70</v>
      </c>
      <c r="H1470" s="1" t="s">
        <v>37</v>
      </c>
      <c r="I1470" s="1" t="s">
        <v>3100</v>
      </c>
      <c r="J1470" s="1" t="n">
        <v>5</v>
      </c>
      <c r="K1470" s="1" t="s">
        <v>219</v>
      </c>
    </row>
    <row r="1471" customFormat="false" ht="15" hidden="false" customHeight="true" outlineLevel="0" collapsed="false">
      <c r="A1471" s="1" t="s">
        <v>3101</v>
      </c>
      <c r="B1471" s="1" t="s">
        <v>106</v>
      </c>
      <c r="C1471" s="1" t="s">
        <v>3102</v>
      </c>
      <c r="D1471" s="1" t="n">
        <v>65.07</v>
      </c>
      <c r="E1471" s="1" t="s">
        <v>14</v>
      </c>
      <c r="F1471" s="1" t="s">
        <v>15</v>
      </c>
      <c r="G1471" s="1" t="s">
        <v>86</v>
      </c>
      <c r="H1471" s="1" t="s">
        <v>17</v>
      </c>
      <c r="I1471" s="1" t="s">
        <v>3100</v>
      </c>
      <c r="J1471" s="1" t="n">
        <v>6</v>
      </c>
      <c r="K1471" s="1" t="s">
        <v>219</v>
      </c>
    </row>
    <row r="1472" customFormat="false" ht="15" hidden="false" customHeight="true" outlineLevel="0" collapsed="false">
      <c r="A1472" s="1" t="s">
        <v>3103</v>
      </c>
      <c r="B1472" s="1" t="s">
        <v>183</v>
      </c>
      <c r="C1472" s="1" t="s">
        <v>3104</v>
      </c>
      <c r="D1472" s="1" t="n">
        <v>21.73</v>
      </c>
      <c r="E1472" s="1" t="s">
        <v>14</v>
      </c>
      <c r="F1472" s="1" t="s">
        <v>15</v>
      </c>
      <c r="G1472" s="1" t="s">
        <v>70</v>
      </c>
      <c r="H1472" s="1" t="s">
        <v>37</v>
      </c>
      <c r="I1472" s="1" t="s">
        <v>3100</v>
      </c>
      <c r="J1472" s="1" t="n">
        <v>7</v>
      </c>
      <c r="K1472" s="1" t="s">
        <v>219</v>
      </c>
    </row>
    <row r="1473" customFormat="false" ht="15" hidden="false" customHeight="true" outlineLevel="0" collapsed="false">
      <c r="A1473" s="1" t="s">
        <v>3105</v>
      </c>
      <c r="B1473" s="1" t="s">
        <v>235</v>
      </c>
      <c r="C1473" s="1" t="s">
        <v>3106</v>
      </c>
      <c r="D1473" s="1" t="n">
        <v>29.42</v>
      </c>
      <c r="E1473" s="1" t="s">
        <v>14</v>
      </c>
      <c r="F1473" s="1" t="s">
        <v>41</v>
      </c>
      <c r="G1473" s="1" t="s">
        <v>36</v>
      </c>
      <c r="H1473" s="1" t="s">
        <v>17</v>
      </c>
      <c r="I1473" s="1" t="s">
        <v>3100</v>
      </c>
      <c r="J1473" s="1" t="n">
        <v>8</v>
      </c>
      <c r="K1473" s="1" t="s">
        <v>219</v>
      </c>
    </row>
    <row r="1474" customFormat="false" ht="15" hidden="false" customHeight="true" outlineLevel="0" collapsed="false">
      <c r="A1474" s="1" t="s">
        <v>3107</v>
      </c>
      <c r="B1474" s="1" t="s">
        <v>125</v>
      </c>
      <c r="C1474" s="1" t="s">
        <v>3108</v>
      </c>
      <c r="D1474" s="1" t="n">
        <v>77.77</v>
      </c>
      <c r="E1474" s="1" t="s">
        <v>14</v>
      </c>
      <c r="F1474" s="1" t="s">
        <v>28</v>
      </c>
      <c r="G1474" s="1" t="s">
        <v>36</v>
      </c>
      <c r="H1474" s="1" t="s">
        <v>17</v>
      </c>
      <c r="I1474" s="1" t="s">
        <v>3100</v>
      </c>
      <c r="J1474" s="1" t="n">
        <v>9</v>
      </c>
      <c r="K1474" s="1" t="s">
        <v>219</v>
      </c>
    </row>
    <row r="1475" customFormat="false" ht="15" hidden="false" customHeight="true" outlineLevel="0" collapsed="false">
      <c r="A1475" s="1" t="s">
        <v>3109</v>
      </c>
      <c r="B1475" s="1" t="s">
        <v>125</v>
      </c>
      <c r="C1475" s="1" t="s">
        <v>3110</v>
      </c>
      <c r="D1475" s="1" t="n">
        <v>130.18</v>
      </c>
      <c r="E1475" s="1" t="s">
        <v>14</v>
      </c>
      <c r="F1475" s="1" t="s">
        <v>28</v>
      </c>
      <c r="G1475" s="1" t="s">
        <v>42</v>
      </c>
      <c r="H1475" s="1" t="s">
        <v>17</v>
      </c>
      <c r="I1475" s="1" t="s">
        <v>3100</v>
      </c>
      <c r="J1475" s="1" t="n">
        <v>9</v>
      </c>
      <c r="K1475" s="1" t="s">
        <v>219</v>
      </c>
    </row>
    <row r="1476" customFormat="false" ht="15" hidden="false" customHeight="true" outlineLevel="0" collapsed="false">
      <c r="A1476" s="1" t="s">
        <v>3111</v>
      </c>
      <c r="B1476" s="1" t="s">
        <v>148</v>
      </c>
      <c r="C1476" s="1" t="s">
        <v>3112</v>
      </c>
      <c r="D1476" s="1" t="n">
        <v>46.86</v>
      </c>
      <c r="E1476" s="1" t="s">
        <v>14</v>
      </c>
      <c r="F1476" s="1" t="s">
        <v>41</v>
      </c>
      <c r="G1476" s="1" t="s">
        <v>70</v>
      </c>
      <c r="H1476" s="1" t="s">
        <v>24</v>
      </c>
      <c r="I1476" s="1" t="s">
        <v>3100</v>
      </c>
      <c r="J1476" s="1" t="n">
        <v>10</v>
      </c>
      <c r="K1476" s="1" t="s">
        <v>219</v>
      </c>
    </row>
    <row r="1477" customFormat="false" ht="15" hidden="false" customHeight="true" outlineLevel="0" collapsed="false">
      <c r="A1477" s="1" t="s">
        <v>3113</v>
      </c>
      <c r="B1477" s="1" t="s">
        <v>113</v>
      </c>
      <c r="C1477" s="1" t="s">
        <v>3114</v>
      </c>
      <c r="D1477" s="1" t="n">
        <v>79.7</v>
      </c>
      <c r="E1477" s="1" t="s">
        <v>14</v>
      </c>
      <c r="F1477" s="1" t="s">
        <v>41</v>
      </c>
      <c r="G1477" s="1" t="s">
        <v>36</v>
      </c>
      <c r="H1477" s="1" t="s">
        <v>37</v>
      </c>
      <c r="I1477" s="1" t="s">
        <v>3100</v>
      </c>
      <c r="J1477" s="1" t="n">
        <v>10</v>
      </c>
      <c r="K1477" s="1" t="s">
        <v>219</v>
      </c>
    </row>
    <row r="1478" customFormat="false" ht="15" hidden="false" customHeight="true" outlineLevel="0" collapsed="false">
      <c r="A1478" s="1" t="s">
        <v>3115</v>
      </c>
      <c r="B1478" s="1" t="s">
        <v>113</v>
      </c>
      <c r="C1478" s="1" t="s">
        <v>3116</v>
      </c>
      <c r="D1478" s="1" t="n">
        <v>40.77</v>
      </c>
      <c r="E1478" s="1" t="s">
        <v>14</v>
      </c>
      <c r="F1478" s="1" t="s">
        <v>41</v>
      </c>
      <c r="G1478" s="1" t="s">
        <v>70</v>
      </c>
      <c r="H1478" s="1" t="s">
        <v>24</v>
      </c>
      <c r="I1478" s="1" t="s">
        <v>3100</v>
      </c>
      <c r="J1478" s="1" t="n">
        <v>10</v>
      </c>
      <c r="K1478" s="1" t="s">
        <v>219</v>
      </c>
    </row>
    <row r="1479" customFormat="false" ht="15" hidden="false" customHeight="true" outlineLevel="0" collapsed="false">
      <c r="A1479" s="1" t="s">
        <v>3117</v>
      </c>
      <c r="B1479" s="1" t="s">
        <v>162</v>
      </c>
      <c r="C1479" s="1" t="s">
        <v>3118</v>
      </c>
      <c r="D1479" s="1" t="n">
        <v>78.55</v>
      </c>
      <c r="E1479" s="1" t="s">
        <v>14</v>
      </c>
      <c r="F1479" s="1" t="s">
        <v>49</v>
      </c>
      <c r="G1479" s="1" t="s">
        <v>29</v>
      </c>
      <c r="H1479" s="1" t="s">
        <v>24</v>
      </c>
      <c r="I1479" s="1" t="s">
        <v>3100</v>
      </c>
      <c r="J1479" s="1" t="n">
        <v>11</v>
      </c>
      <c r="K1479" s="1" t="s">
        <v>219</v>
      </c>
    </row>
    <row r="1480" customFormat="false" ht="15" hidden="false" customHeight="true" outlineLevel="0" collapsed="false">
      <c r="A1480" s="1" t="s">
        <v>3119</v>
      </c>
      <c r="B1480" s="1" t="s">
        <v>659</v>
      </c>
      <c r="C1480" s="1" t="s">
        <v>3120</v>
      </c>
      <c r="D1480" s="1" t="n">
        <v>70.36</v>
      </c>
      <c r="E1480" s="1" t="s">
        <v>14</v>
      </c>
      <c r="F1480" s="1" t="s">
        <v>15</v>
      </c>
      <c r="G1480" s="1" t="s">
        <v>86</v>
      </c>
      <c r="H1480" s="1" t="s">
        <v>37</v>
      </c>
      <c r="I1480" s="1" t="s">
        <v>3100</v>
      </c>
      <c r="J1480" s="1" t="n">
        <v>12</v>
      </c>
      <c r="K1480" s="1" t="s">
        <v>219</v>
      </c>
    </row>
    <row r="1481" customFormat="false" ht="15" hidden="false" customHeight="true" outlineLevel="0" collapsed="false">
      <c r="A1481" s="1" t="s">
        <v>3121</v>
      </c>
      <c r="B1481" s="1" t="s">
        <v>332</v>
      </c>
      <c r="C1481" s="1" t="s">
        <v>3122</v>
      </c>
      <c r="D1481" s="1" t="n">
        <v>41.37</v>
      </c>
      <c r="E1481" s="1" t="s">
        <v>14</v>
      </c>
      <c r="F1481" s="1" t="s">
        <v>49</v>
      </c>
      <c r="G1481" s="1" t="s">
        <v>70</v>
      </c>
      <c r="H1481" s="1" t="s">
        <v>24</v>
      </c>
      <c r="I1481" s="1" t="s">
        <v>3100</v>
      </c>
      <c r="J1481" s="1" t="n">
        <v>12</v>
      </c>
      <c r="K1481" s="1" t="s">
        <v>219</v>
      </c>
    </row>
    <row r="1482" customFormat="false" ht="15" hidden="false" customHeight="true" outlineLevel="0" collapsed="false">
      <c r="A1482" s="1" t="s">
        <v>3123</v>
      </c>
      <c r="B1482" s="1" t="s">
        <v>394</v>
      </c>
      <c r="C1482" s="1" t="s">
        <v>3124</v>
      </c>
      <c r="D1482" s="1" t="n">
        <v>98.2</v>
      </c>
      <c r="E1482" s="1" t="s">
        <v>14</v>
      </c>
      <c r="F1482" s="1" t="s">
        <v>56</v>
      </c>
      <c r="G1482" s="1" t="s">
        <v>86</v>
      </c>
      <c r="H1482" s="1" t="s">
        <v>17</v>
      </c>
      <c r="I1482" s="1" t="s">
        <v>3100</v>
      </c>
      <c r="J1482" s="1" t="n">
        <v>12</v>
      </c>
      <c r="K1482" s="1" t="s">
        <v>219</v>
      </c>
    </row>
    <row r="1483" customFormat="false" ht="15" hidden="false" customHeight="true" outlineLevel="0" collapsed="false">
      <c r="A1483" s="1" t="s">
        <v>3125</v>
      </c>
      <c r="B1483" s="1" t="s">
        <v>34</v>
      </c>
      <c r="C1483" s="1" t="s">
        <v>3126</v>
      </c>
      <c r="D1483" s="1" t="n">
        <v>163.73</v>
      </c>
      <c r="E1483" s="1" t="s">
        <v>14</v>
      </c>
      <c r="F1483" s="1" t="s">
        <v>15</v>
      </c>
      <c r="G1483" s="1" t="s">
        <v>82</v>
      </c>
      <c r="H1483" s="1" t="s">
        <v>24</v>
      </c>
      <c r="I1483" s="1" t="s">
        <v>3100</v>
      </c>
      <c r="J1483" s="1" t="n">
        <v>13</v>
      </c>
      <c r="K1483" s="1" t="s">
        <v>219</v>
      </c>
    </row>
    <row r="1484" customFormat="false" ht="15" hidden="false" customHeight="true" outlineLevel="0" collapsed="false">
      <c r="A1484" s="1" t="s">
        <v>3127</v>
      </c>
      <c r="B1484" s="1" t="s">
        <v>199</v>
      </c>
      <c r="C1484" s="1" t="s">
        <v>3128</v>
      </c>
      <c r="D1484" s="1" t="n">
        <v>116.7</v>
      </c>
      <c r="E1484" s="1" t="s">
        <v>14</v>
      </c>
      <c r="F1484" s="1" t="s">
        <v>41</v>
      </c>
      <c r="G1484" s="1" t="s">
        <v>23</v>
      </c>
      <c r="H1484" s="1" t="s">
        <v>24</v>
      </c>
      <c r="I1484" s="1" t="s">
        <v>3100</v>
      </c>
      <c r="J1484" s="1" t="n">
        <v>13</v>
      </c>
      <c r="K1484" s="1" t="s">
        <v>219</v>
      </c>
    </row>
    <row r="1485" customFormat="false" ht="15" hidden="false" customHeight="true" outlineLevel="0" collapsed="false">
      <c r="A1485" s="1" t="s">
        <v>3129</v>
      </c>
      <c r="B1485" s="1" t="s">
        <v>487</v>
      </c>
      <c r="C1485" s="1" t="s">
        <v>3130</v>
      </c>
      <c r="D1485" s="1" t="n">
        <v>32.22</v>
      </c>
      <c r="E1485" s="1" t="s">
        <v>14</v>
      </c>
      <c r="F1485" s="1" t="s">
        <v>49</v>
      </c>
      <c r="G1485" s="1" t="s">
        <v>82</v>
      </c>
      <c r="H1485" s="1" t="s">
        <v>17</v>
      </c>
      <c r="I1485" s="1" t="s">
        <v>3100</v>
      </c>
      <c r="J1485" s="1" t="n">
        <v>14</v>
      </c>
      <c r="K1485" s="1" t="s">
        <v>219</v>
      </c>
    </row>
    <row r="1486" customFormat="false" ht="15" hidden="false" customHeight="true" outlineLevel="0" collapsed="false">
      <c r="A1486" s="1" t="s">
        <v>3131</v>
      </c>
      <c r="B1486" s="1" t="s">
        <v>475</v>
      </c>
      <c r="C1486" s="1" t="s">
        <v>3132</v>
      </c>
      <c r="D1486" s="1" t="n">
        <v>268.47</v>
      </c>
      <c r="E1486" s="1" t="s">
        <v>14</v>
      </c>
      <c r="F1486" s="1" t="s">
        <v>56</v>
      </c>
      <c r="G1486" s="1" t="s">
        <v>36</v>
      </c>
      <c r="H1486" s="1" t="s">
        <v>24</v>
      </c>
      <c r="I1486" s="1" t="s">
        <v>3100</v>
      </c>
      <c r="J1486" s="1" t="n">
        <v>15</v>
      </c>
      <c r="K1486" s="1" t="s">
        <v>219</v>
      </c>
    </row>
    <row r="1487" customFormat="false" ht="15" hidden="false" customHeight="true" outlineLevel="0" collapsed="false">
      <c r="A1487" s="1" t="s">
        <v>3133</v>
      </c>
      <c r="B1487" s="1" t="s">
        <v>235</v>
      </c>
      <c r="C1487" s="1" t="s">
        <v>3134</v>
      </c>
      <c r="D1487" s="1" t="n">
        <v>27.34</v>
      </c>
      <c r="E1487" s="1" t="s">
        <v>14</v>
      </c>
      <c r="F1487" s="1" t="s">
        <v>41</v>
      </c>
      <c r="G1487" s="1" t="s">
        <v>16</v>
      </c>
      <c r="H1487" s="1" t="s">
        <v>17</v>
      </c>
      <c r="I1487" s="1" t="s">
        <v>3100</v>
      </c>
      <c r="J1487" s="1" t="n">
        <v>16</v>
      </c>
      <c r="K1487" s="1" t="s">
        <v>219</v>
      </c>
    </row>
    <row r="1488" customFormat="false" ht="15" hidden="false" customHeight="true" outlineLevel="0" collapsed="false">
      <c r="A1488" s="1" t="s">
        <v>3135</v>
      </c>
      <c r="B1488" s="1" t="s">
        <v>21</v>
      </c>
      <c r="C1488" s="1" t="s">
        <v>3136</v>
      </c>
      <c r="D1488" s="1" t="n">
        <v>189.97</v>
      </c>
      <c r="E1488" s="1" t="s">
        <v>14</v>
      </c>
      <c r="F1488" s="1" t="s">
        <v>15</v>
      </c>
      <c r="G1488" s="1" t="s">
        <v>82</v>
      </c>
      <c r="H1488" s="1" t="s">
        <v>37</v>
      </c>
      <c r="I1488" s="1" t="s">
        <v>3100</v>
      </c>
      <c r="J1488" s="1" t="n">
        <v>16</v>
      </c>
      <c r="K1488" s="1" t="s">
        <v>219</v>
      </c>
    </row>
    <row r="1489" customFormat="false" ht="15" hidden="false" customHeight="true" outlineLevel="0" collapsed="false">
      <c r="A1489" s="1" t="s">
        <v>3137</v>
      </c>
      <c r="B1489" s="1" t="s">
        <v>180</v>
      </c>
      <c r="C1489" s="1" t="s">
        <v>3138</v>
      </c>
      <c r="D1489" s="1" t="n">
        <v>135.42</v>
      </c>
      <c r="E1489" s="1" t="s">
        <v>14</v>
      </c>
      <c r="F1489" s="1" t="s">
        <v>49</v>
      </c>
      <c r="G1489" s="1" t="s">
        <v>70</v>
      </c>
      <c r="H1489" s="1" t="s">
        <v>37</v>
      </c>
      <c r="I1489" s="1" t="s">
        <v>3100</v>
      </c>
      <c r="J1489" s="1" t="n">
        <v>17</v>
      </c>
      <c r="K1489" s="1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24"/>
  </cols>
  <sheetData>
    <row r="1" customFormat="false" ht="15" hidden="false" customHeight="true" outlineLevel="0" collapsed="false">
      <c r="A1" s="3" t="s">
        <v>3139</v>
      </c>
      <c r="B1" s="3"/>
      <c r="C1" s="3"/>
      <c r="D1" s="3"/>
    </row>
    <row r="3" customFormat="false" ht="15" hidden="false" customHeight="true" outlineLevel="0" collapsed="false">
      <c r="A3" s="2" t="s">
        <v>1</v>
      </c>
      <c r="B3" s="2" t="s">
        <v>3140</v>
      </c>
      <c r="C3" s="2" t="s">
        <v>3141</v>
      </c>
      <c r="D3" s="2" t="s">
        <v>3142</v>
      </c>
    </row>
    <row r="4" customFormat="false" ht="15" hidden="false" customHeight="true" outlineLevel="0" collapsed="false">
      <c r="A4" s="1" t="s">
        <v>58</v>
      </c>
      <c r="B4" s="1" t="s">
        <v>3143</v>
      </c>
      <c r="C4" s="1" t="s">
        <v>3144</v>
      </c>
      <c r="D4" s="1" t="s">
        <v>3144</v>
      </c>
    </row>
    <row r="5" customFormat="false" ht="15" hidden="false" customHeight="true" outlineLevel="0" collapsed="false">
      <c r="A5" s="1" t="s">
        <v>286</v>
      </c>
      <c r="B5" s="1" t="s">
        <v>3144</v>
      </c>
      <c r="C5" s="1" t="s">
        <v>3143</v>
      </c>
      <c r="D5" s="1" t="s">
        <v>3144</v>
      </c>
    </row>
    <row r="6" customFormat="false" ht="15" hidden="false" customHeight="true" outlineLevel="0" collapsed="false">
      <c r="A6" s="1" t="s">
        <v>26</v>
      </c>
      <c r="B6" s="1" t="s">
        <v>3143</v>
      </c>
      <c r="C6" s="1" t="s">
        <v>3144</v>
      </c>
      <c r="D6" s="1" t="s">
        <v>3144</v>
      </c>
    </row>
    <row r="7" customFormat="false" ht="15" hidden="false" customHeight="true" outlineLevel="0" collapsed="false">
      <c r="A7" s="1" t="s">
        <v>148</v>
      </c>
      <c r="B7" s="1" t="s">
        <v>3144</v>
      </c>
      <c r="C7" s="1" t="s">
        <v>3144</v>
      </c>
      <c r="D7" s="1" t="s">
        <v>3143</v>
      </c>
    </row>
    <row r="8" customFormat="false" ht="15" hidden="false" customHeight="true" outlineLevel="0" collapsed="false">
      <c r="A8" s="1" t="s">
        <v>101</v>
      </c>
      <c r="B8" s="1" t="s">
        <v>3144</v>
      </c>
      <c r="C8" s="1" t="s">
        <v>3143</v>
      </c>
      <c r="D8" s="1" t="s">
        <v>3144</v>
      </c>
    </row>
    <row r="9" customFormat="false" ht="15" hidden="false" customHeight="true" outlineLevel="0" collapsed="false">
      <c r="A9" s="1" t="s">
        <v>155</v>
      </c>
      <c r="B9" s="1" t="s">
        <v>3144</v>
      </c>
      <c r="C9" s="1" t="s">
        <v>3144</v>
      </c>
      <c r="D9" s="1" t="s">
        <v>3143</v>
      </c>
    </row>
    <row r="10" customFormat="false" ht="15" hidden="false" customHeight="true" outlineLevel="0" collapsed="false">
      <c r="A10" s="1" t="s">
        <v>51</v>
      </c>
      <c r="B10" s="1" t="s">
        <v>3144</v>
      </c>
      <c r="C10" s="1" t="s">
        <v>3143</v>
      </c>
      <c r="D10" s="1" t="s">
        <v>3144</v>
      </c>
    </row>
    <row r="11" customFormat="false" ht="15" hidden="false" customHeight="true" outlineLevel="0" collapsed="false">
      <c r="A11" s="1" t="s">
        <v>54</v>
      </c>
      <c r="B11" s="1" t="s">
        <v>3143</v>
      </c>
      <c r="C11" s="1" t="s">
        <v>3144</v>
      </c>
      <c r="D11" s="1" t="s">
        <v>3143</v>
      </c>
    </row>
    <row r="12" customFormat="false" ht="15" hidden="false" customHeight="true" outlineLevel="0" collapsed="false">
      <c r="A12" s="1" t="s">
        <v>258</v>
      </c>
      <c r="B12" s="1" t="s">
        <v>3144</v>
      </c>
      <c r="C12" s="1" t="s">
        <v>3144</v>
      </c>
      <c r="D12" s="1" t="s">
        <v>3143</v>
      </c>
    </row>
    <row r="13" customFormat="false" ht="15" hidden="false" customHeight="true" outlineLevel="0" collapsed="false">
      <c r="A13" s="1" t="s">
        <v>475</v>
      </c>
      <c r="B13" s="1" t="s">
        <v>3144</v>
      </c>
      <c r="C13" s="1" t="s">
        <v>3143</v>
      </c>
      <c r="D13" s="1" t="s">
        <v>3144</v>
      </c>
    </row>
    <row r="14" customFormat="false" ht="15" hidden="false" customHeight="true" outlineLevel="0" collapsed="false">
      <c r="A14" s="1" t="s">
        <v>228</v>
      </c>
      <c r="B14" s="1" t="s">
        <v>3143</v>
      </c>
      <c r="C14" s="1" t="s">
        <v>3144</v>
      </c>
      <c r="D14" s="1" t="s">
        <v>3144</v>
      </c>
    </row>
    <row r="15" customFormat="false" ht="15" hidden="false" customHeight="true" outlineLevel="0" collapsed="false">
      <c r="A15" s="1" t="s">
        <v>216</v>
      </c>
      <c r="B15" s="1" t="s">
        <v>3143</v>
      </c>
      <c r="C15" s="1" t="s">
        <v>3144</v>
      </c>
      <c r="D15" s="1" t="s">
        <v>3144</v>
      </c>
    </row>
    <row r="16" customFormat="false" ht="15" hidden="false" customHeight="true" outlineLevel="0" collapsed="false">
      <c r="A16" s="1" t="s">
        <v>496</v>
      </c>
      <c r="B16" s="1" t="s">
        <v>3143</v>
      </c>
      <c r="C16" s="1" t="s">
        <v>3144</v>
      </c>
      <c r="D16" s="1" t="s">
        <v>3144</v>
      </c>
    </row>
    <row r="17" customFormat="false" ht="15" hidden="false" customHeight="true" outlineLevel="0" collapsed="false">
      <c r="A17" s="1" t="s">
        <v>12</v>
      </c>
      <c r="B17" s="1" t="s">
        <v>3144</v>
      </c>
      <c r="C17" s="1" t="s">
        <v>3143</v>
      </c>
      <c r="D17" s="1" t="s">
        <v>3144</v>
      </c>
    </row>
    <row r="18" customFormat="false" ht="15" hidden="false" customHeight="true" outlineLevel="0" collapsed="false">
      <c r="A18" s="1" t="s">
        <v>64</v>
      </c>
      <c r="B18" s="1" t="s">
        <v>3144</v>
      </c>
      <c r="C18" s="1" t="s">
        <v>3144</v>
      </c>
      <c r="D18" s="1" t="s">
        <v>3143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1"/>
    <col collapsed="false" customWidth="true" hidden="false" outlineLevel="0" max="4" min="4" style="1" width="7"/>
    <col collapsed="false" customWidth="true" hidden="false" outlineLevel="0" max="6" min="5" style="1" width="10"/>
    <col collapsed="false" customWidth="true" hidden="false" outlineLevel="0" max="7" min="7" style="1" width="17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11"/>
    <col collapsed="false" customWidth="true" hidden="false" outlineLevel="0" max="11" min="11" style="1" width="8"/>
    <col collapsed="false" customWidth="true" hidden="false" outlineLevel="0" max="13" min="12" style="1" width="10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8</v>
      </c>
      <c r="D1" s="2" t="s">
        <v>9</v>
      </c>
      <c r="E1" s="2" t="s">
        <v>3</v>
      </c>
      <c r="F1" s="2" t="s">
        <v>7</v>
      </c>
      <c r="G1" s="2" t="s">
        <v>6</v>
      </c>
      <c r="H1" s="2" t="s">
        <v>3145</v>
      </c>
      <c r="I1" s="2" t="s">
        <v>3146</v>
      </c>
      <c r="J1" s="2" t="s">
        <v>3147</v>
      </c>
      <c r="K1" s="2" t="s">
        <v>3148</v>
      </c>
      <c r="L1" s="2" t="s">
        <v>3149</v>
      </c>
      <c r="M1" s="2" t="s">
        <v>3150</v>
      </c>
    </row>
    <row r="2" customFormat="false" ht="15" hidden="false" customHeight="true" outlineLevel="0" collapsed="false">
      <c r="A2" s="1" t="str">
        <f aca="false">Transactions!A2</f>
        <v>TXN501255</v>
      </c>
      <c r="B2" s="1" t="str">
        <f aca="false">Transactions!B2</f>
        <v>ACC1055</v>
      </c>
      <c r="C2" s="1" t="str">
        <f aca="false">Transactions!I2</f>
        <v>2026-01-01</v>
      </c>
      <c r="D2" s="1" t="n">
        <f aca="false">Transactions!J2</f>
        <v>5</v>
      </c>
      <c r="E2" s="1" t="n">
        <f aca="false">Transactions!D2</f>
        <v>201.32</v>
      </c>
      <c r="F2" s="1" t="str">
        <f aca="false">Transactions!H2</f>
        <v>ATM</v>
      </c>
      <c r="G2" s="1" t="str">
        <f aca="false">Transactions!G2</f>
        <v>Electronics</v>
      </c>
      <c r="H2" s="1" t="n">
        <f aca="false">IF(COUNTIFS($B$2:$B$1489,B2,$C$2:$C$1489,C2,$D$2:$D$1489,D2)&gt;6,1,0)</f>
        <v>0</v>
      </c>
      <c r="I2" s="1" t="n">
        <f aca="false">IF(AND(F2="Wire",E2&gt;=1000,MOD(E2,1000)=0),1,0)</f>
        <v>0</v>
      </c>
      <c r="J2" s="1" t="n">
        <f aca="false">IF(AND(F2="ATM",E2&gt;2000,D2&lt;=4),1,0)</f>
        <v>0</v>
      </c>
      <c r="K2" s="1" t="n">
        <f aca="false">IF(COUNTIF('SQL Findings'!$A$4:$A$18,B2)&gt;0,1,0)</f>
        <v>1</v>
      </c>
      <c r="L2" s="1" t="n">
        <f aca="false">SUM(H2:K2)</f>
        <v>1</v>
      </c>
      <c r="M2" s="1" t="str">
        <f aca="false">IF(L2&gt;=2,"High",IF(L2=1,"Medium","Low"))</f>
        <v>Medium</v>
      </c>
    </row>
    <row r="3" customFormat="false" ht="15" hidden="false" customHeight="true" outlineLevel="0" collapsed="false">
      <c r="A3" s="1" t="str">
        <f aca="false">Transactions!A3</f>
        <v>TXN500274</v>
      </c>
      <c r="B3" s="1" t="str">
        <f aca="false">Transactions!B3</f>
        <v>ACC1012</v>
      </c>
      <c r="C3" s="1" t="str">
        <f aca="false">Transactions!I3</f>
        <v>2026-01-01</v>
      </c>
      <c r="D3" s="1" t="n">
        <f aca="false">Transactions!J3</f>
        <v>6</v>
      </c>
      <c r="E3" s="1" t="n">
        <f aca="false">Transactions!D3</f>
        <v>67.3</v>
      </c>
      <c r="F3" s="1" t="str">
        <f aca="false">Transactions!H3</f>
        <v>POS</v>
      </c>
      <c r="G3" s="1" t="str">
        <f aca="false">Transactions!G3</f>
        <v>Wire Transfer</v>
      </c>
      <c r="H3" s="1" t="n">
        <f aca="false">IF(COUNTIFS($B$2:$B$1489,B3,$C$2:$C$1489,C3,$D$2:$D$1489,D3)&gt;6,1,0)</f>
        <v>0</v>
      </c>
      <c r="I3" s="1" t="n">
        <f aca="false">IF(AND(F3="Wire",E3&gt;=1000,MOD(E3,1000)=0),1,0)</f>
        <v>0</v>
      </c>
      <c r="J3" s="1" t="n">
        <f aca="false">IF(AND(F3="ATM",E3&gt;2000,D3&lt;=4),1,0)</f>
        <v>0</v>
      </c>
      <c r="K3" s="1" t="n">
        <f aca="false">IF(COUNTIF('SQL Findings'!$A$4:$A$18,B3)&gt;0,1,0)</f>
        <v>0</v>
      </c>
      <c r="L3" s="1" t="n">
        <f aca="false">SUM(H3:K3)</f>
        <v>0</v>
      </c>
      <c r="M3" s="1" t="str">
        <f aca="false">IF(L3&gt;=2,"High",IF(L3=1,"Medium","Low"))</f>
        <v>Low</v>
      </c>
    </row>
    <row r="4" customFormat="false" ht="15" hidden="false" customHeight="true" outlineLevel="0" collapsed="false">
      <c r="A4" s="1" t="str">
        <f aca="false">Transactions!A4</f>
        <v>TXN500063</v>
      </c>
      <c r="B4" s="1" t="str">
        <f aca="false">Transactions!B4</f>
        <v>ACC1002</v>
      </c>
      <c r="C4" s="1" t="str">
        <f aca="false">Transactions!I4</f>
        <v>2026-01-01</v>
      </c>
      <c r="D4" s="1" t="n">
        <f aca="false">Transactions!J4</f>
        <v>9</v>
      </c>
      <c r="E4" s="1" t="n">
        <f aca="false">Transactions!D4</f>
        <v>24.64</v>
      </c>
      <c r="F4" s="1" t="str">
        <f aca="false">Transactions!H4</f>
        <v>POS</v>
      </c>
      <c r="G4" s="1" t="str">
        <f aca="false">Transactions!G4</f>
        <v>Utilities</v>
      </c>
      <c r="H4" s="1" t="n">
        <f aca="false">IF(COUNTIFS($B$2:$B$1489,B4,$C$2:$C$1489,C4,$D$2:$D$1489,D4)&gt;6,1,0)</f>
        <v>0</v>
      </c>
      <c r="I4" s="1" t="n">
        <f aca="false">IF(AND(F4="Wire",E4&gt;=1000,MOD(E4,1000)=0),1,0)</f>
        <v>0</v>
      </c>
      <c r="J4" s="1" t="n">
        <f aca="false">IF(AND(F4="ATM",E4&gt;2000,D4&lt;=4),1,0)</f>
        <v>0</v>
      </c>
      <c r="K4" s="1" t="n">
        <f aca="false">IF(COUNTIF('SQL Findings'!$A$4:$A$18,B4)&gt;0,1,0)</f>
        <v>1</v>
      </c>
      <c r="L4" s="1" t="n">
        <f aca="false">SUM(H4:K4)</f>
        <v>1</v>
      </c>
      <c r="M4" s="1" t="str">
        <f aca="false">IF(L4&gt;=2,"High",IF(L4=1,"Medium","Low"))</f>
        <v>Medium</v>
      </c>
    </row>
    <row r="5" customFormat="false" ht="15" hidden="false" customHeight="true" outlineLevel="0" collapsed="false">
      <c r="A5" s="1" t="str">
        <f aca="false">Transactions!A5</f>
        <v>TXN500892</v>
      </c>
      <c r="B5" s="1" t="str">
        <f aca="false">Transactions!B5</f>
        <v>ACC1038</v>
      </c>
      <c r="C5" s="1" t="str">
        <f aca="false">Transactions!I5</f>
        <v>2026-01-01</v>
      </c>
      <c r="D5" s="1" t="n">
        <f aca="false">Transactions!J5</f>
        <v>12</v>
      </c>
      <c r="E5" s="1" t="n">
        <f aca="false">Transactions!D5</f>
        <v>105.27</v>
      </c>
      <c r="F5" s="1" t="str">
        <f aca="false">Transactions!H5</f>
        <v>ATM</v>
      </c>
      <c r="G5" s="1" t="str">
        <f aca="false">Transactions!G5</f>
        <v>Wire Transfer</v>
      </c>
      <c r="H5" s="1" t="n">
        <f aca="false">IF(COUNTIFS($B$2:$B$1489,B5,$C$2:$C$1489,C5,$D$2:$D$1489,D5)&gt;6,1,0)</f>
        <v>0</v>
      </c>
      <c r="I5" s="1" t="n">
        <f aca="false">IF(AND(F5="Wire",E5&gt;=1000,MOD(E5,1000)=0),1,0)</f>
        <v>0</v>
      </c>
      <c r="J5" s="1" t="n">
        <f aca="false">IF(AND(F5="ATM",E5&gt;2000,D5&lt;=4),1,0)</f>
        <v>0</v>
      </c>
      <c r="K5" s="1" t="n">
        <f aca="false">IF(COUNTIF('SQL Findings'!$A$4:$A$18,B5)&gt;0,1,0)</f>
        <v>0</v>
      </c>
      <c r="L5" s="1" t="n">
        <f aca="false">SUM(H5:K5)</f>
        <v>0</v>
      </c>
      <c r="M5" s="1" t="str">
        <f aca="false">IF(L5&gt;=2,"High",IF(L5=1,"Medium","Low"))</f>
        <v>Low</v>
      </c>
    </row>
    <row r="6" customFormat="false" ht="15" hidden="false" customHeight="true" outlineLevel="0" collapsed="false">
      <c r="A6" s="1" t="str">
        <f aca="false">Transactions!A6</f>
        <v>TXN501090</v>
      </c>
      <c r="B6" s="1" t="str">
        <f aca="false">Transactions!B6</f>
        <v>ACC1048</v>
      </c>
      <c r="C6" s="1" t="str">
        <f aca="false">Transactions!I6</f>
        <v>2026-01-01</v>
      </c>
      <c r="D6" s="1" t="n">
        <f aca="false">Transactions!J6</f>
        <v>12</v>
      </c>
      <c r="E6" s="1" t="n">
        <f aca="false">Transactions!D6</f>
        <v>55.88</v>
      </c>
      <c r="F6" s="1" t="str">
        <f aca="false">Transactions!H6</f>
        <v>Online</v>
      </c>
      <c r="G6" s="1" t="str">
        <f aca="false">Transactions!G6</f>
        <v>Travel</v>
      </c>
      <c r="H6" s="1" t="n">
        <f aca="false">IF(COUNTIFS($B$2:$B$1489,B6,$C$2:$C$1489,C6,$D$2:$D$1489,D6)&gt;6,1,0)</f>
        <v>0</v>
      </c>
      <c r="I6" s="1" t="n">
        <f aca="false">IF(AND(F6="Wire",E6&gt;=1000,MOD(E6,1000)=0),1,0)</f>
        <v>0</v>
      </c>
      <c r="J6" s="1" t="n">
        <f aca="false">IF(AND(F6="ATM",E6&gt;2000,D6&lt;=4),1,0)</f>
        <v>0</v>
      </c>
      <c r="K6" s="1" t="n">
        <f aca="false">IF(COUNTIF('SQL Findings'!$A$4:$A$18,B6)&gt;0,1,0)</f>
        <v>0</v>
      </c>
      <c r="L6" s="1" t="n">
        <f aca="false">SUM(H6:K6)</f>
        <v>0</v>
      </c>
      <c r="M6" s="1" t="str">
        <f aca="false">IF(L6&gt;=2,"High",IF(L6=1,"Medium","Low"))</f>
        <v>Low</v>
      </c>
    </row>
    <row r="7" customFormat="false" ht="15" hidden="false" customHeight="true" outlineLevel="0" collapsed="false">
      <c r="A7" s="1" t="str">
        <f aca="false">Transactions!A7</f>
        <v>TXN501237</v>
      </c>
      <c r="B7" s="1" t="str">
        <f aca="false">Transactions!B7</f>
        <v>ACC1054</v>
      </c>
      <c r="C7" s="1" t="str">
        <f aca="false">Transactions!I7</f>
        <v>2026-01-01</v>
      </c>
      <c r="D7" s="1" t="n">
        <f aca="false">Transactions!J7</f>
        <v>13</v>
      </c>
      <c r="E7" s="1" t="n">
        <f aca="false">Transactions!D7</f>
        <v>301.85</v>
      </c>
      <c r="F7" s="1" t="str">
        <f aca="false">Transactions!H7</f>
        <v>Online</v>
      </c>
      <c r="G7" s="1" t="str">
        <f aca="false">Transactions!G7</f>
        <v>Retail</v>
      </c>
      <c r="H7" s="1" t="n">
        <f aca="false">IF(COUNTIFS($B$2:$B$1489,B7,$C$2:$C$1489,C7,$D$2:$D$1489,D7)&gt;6,1,0)</f>
        <v>0</v>
      </c>
      <c r="I7" s="1" t="n">
        <f aca="false">IF(AND(F7="Wire",E7&gt;=1000,MOD(E7,1000)=0),1,0)</f>
        <v>0</v>
      </c>
      <c r="J7" s="1" t="n">
        <f aca="false">IF(AND(F7="ATM",E7&gt;2000,D7&lt;=4),1,0)</f>
        <v>0</v>
      </c>
      <c r="K7" s="1" t="n">
        <f aca="false">IF(COUNTIF('SQL Findings'!$A$4:$A$18,B7)&gt;0,1,0)</f>
        <v>0</v>
      </c>
      <c r="L7" s="1" t="n">
        <f aca="false">SUM(H7:K7)</f>
        <v>0</v>
      </c>
      <c r="M7" s="1" t="str">
        <f aca="false">IF(L7&gt;=2,"High",IF(L7=1,"Medium","Low"))</f>
        <v>Low</v>
      </c>
    </row>
    <row r="8" customFormat="false" ht="15" hidden="false" customHeight="true" outlineLevel="0" collapsed="false">
      <c r="A8" s="1" t="str">
        <f aca="false">Transactions!A8</f>
        <v>TXN501153</v>
      </c>
      <c r="B8" s="1" t="str">
        <f aca="false">Transactions!B8</f>
        <v>ACC1050</v>
      </c>
      <c r="C8" s="1" t="str">
        <f aca="false">Transactions!I8</f>
        <v>2026-01-01</v>
      </c>
      <c r="D8" s="1" t="n">
        <f aca="false">Transactions!J8</f>
        <v>15</v>
      </c>
      <c r="E8" s="1" t="n">
        <f aca="false">Transactions!D8</f>
        <v>37.52</v>
      </c>
      <c r="F8" s="1" t="str">
        <f aca="false">Transactions!H8</f>
        <v>ATM</v>
      </c>
      <c r="G8" s="1" t="str">
        <f aca="false">Transactions!G8</f>
        <v>Retail</v>
      </c>
      <c r="H8" s="1" t="n">
        <f aca="false">IF(COUNTIFS($B$2:$B$1489,B8,$C$2:$C$1489,C8,$D$2:$D$1489,D8)&gt;6,1,0)</f>
        <v>0</v>
      </c>
      <c r="I8" s="1" t="n">
        <f aca="false">IF(AND(F8="Wire",E8&gt;=1000,MOD(E8,1000)=0),1,0)</f>
        <v>0</v>
      </c>
      <c r="J8" s="1" t="n">
        <f aca="false">IF(AND(F8="ATM",E8&gt;2000,D8&lt;=4),1,0)</f>
        <v>0</v>
      </c>
      <c r="K8" s="1" t="n">
        <f aca="false">IF(COUNTIF('SQL Findings'!$A$4:$A$18,B8)&gt;0,1,0)</f>
        <v>0</v>
      </c>
      <c r="L8" s="1" t="n">
        <f aca="false">SUM(H8:K8)</f>
        <v>0</v>
      </c>
      <c r="M8" s="1" t="str">
        <f aca="false">IF(L8&gt;=2,"High",IF(L8=1,"Medium","Low"))</f>
        <v>Low</v>
      </c>
    </row>
    <row r="9" customFormat="false" ht="15" hidden="false" customHeight="true" outlineLevel="0" collapsed="false">
      <c r="A9" s="1" t="str">
        <f aca="false">Transactions!A9</f>
        <v>TXN501047</v>
      </c>
      <c r="B9" s="1" t="str">
        <f aca="false">Transactions!B9</f>
        <v>ACC1045</v>
      </c>
      <c r="C9" s="1" t="str">
        <f aca="false">Transactions!I9</f>
        <v>2026-01-01</v>
      </c>
      <c r="D9" s="1" t="n">
        <f aca="false">Transactions!J9</f>
        <v>16</v>
      </c>
      <c r="E9" s="1" t="n">
        <f aca="false">Transactions!D9</f>
        <v>119.95</v>
      </c>
      <c r="F9" s="1" t="str">
        <f aca="false">Transactions!H9</f>
        <v>Online</v>
      </c>
      <c r="G9" s="1" t="str">
        <f aca="false">Transactions!G9</f>
        <v>Retail</v>
      </c>
      <c r="H9" s="1" t="n">
        <f aca="false">IF(COUNTIFS($B$2:$B$1489,B9,$C$2:$C$1489,C9,$D$2:$D$1489,D9)&gt;6,1,0)</f>
        <v>0</v>
      </c>
      <c r="I9" s="1" t="n">
        <f aca="false">IF(AND(F9="Wire",E9&gt;=1000,MOD(E9,1000)=0),1,0)</f>
        <v>0</v>
      </c>
      <c r="J9" s="1" t="n">
        <f aca="false">IF(AND(F9="ATM",E9&gt;2000,D9&lt;=4),1,0)</f>
        <v>0</v>
      </c>
      <c r="K9" s="1" t="n">
        <f aca="false">IF(COUNTIF('SQL Findings'!$A$4:$A$18,B9)&gt;0,1,0)</f>
        <v>0</v>
      </c>
      <c r="L9" s="1" t="n">
        <f aca="false">SUM(H9:K9)</f>
        <v>0</v>
      </c>
      <c r="M9" s="1" t="str">
        <f aca="false">IF(L9&gt;=2,"High",IF(L9=1,"Medium","Low"))</f>
        <v>Low</v>
      </c>
    </row>
    <row r="10" customFormat="false" ht="15" hidden="false" customHeight="true" outlineLevel="0" collapsed="false">
      <c r="A10" s="1" t="str">
        <f aca="false">Transactions!A10</f>
        <v>TXN500340</v>
      </c>
      <c r="B10" s="1" t="str">
        <f aca="false">Transactions!B10</f>
        <v>ACC1015</v>
      </c>
      <c r="C10" s="1" t="str">
        <f aca="false">Transactions!I10</f>
        <v>2026-01-01</v>
      </c>
      <c r="D10" s="1" t="n">
        <f aca="false">Transactions!J10</f>
        <v>19</v>
      </c>
      <c r="E10" s="1" t="n">
        <f aca="false">Transactions!D10</f>
        <v>40.15</v>
      </c>
      <c r="F10" s="1" t="str">
        <f aca="false">Transactions!H10</f>
        <v>POS</v>
      </c>
      <c r="G10" s="1" t="str">
        <f aca="false">Transactions!G10</f>
        <v>Utilities</v>
      </c>
      <c r="H10" s="1" t="n">
        <f aca="false">IF(COUNTIFS($B$2:$B$1489,B10,$C$2:$C$1489,C10,$D$2:$D$1489,D10)&gt;6,1,0)</f>
        <v>0</v>
      </c>
      <c r="I10" s="1" t="n">
        <f aca="false">IF(AND(F10="Wire",E10&gt;=1000,MOD(E10,1000)=0),1,0)</f>
        <v>0</v>
      </c>
      <c r="J10" s="1" t="n">
        <f aca="false">IF(AND(F10="ATM",E10&gt;2000,D10&lt;=4),1,0)</f>
        <v>0</v>
      </c>
      <c r="K10" s="1" t="n">
        <f aca="false">IF(COUNTIF('SQL Findings'!$A$4:$A$18,B10)&gt;0,1,0)</f>
        <v>1</v>
      </c>
      <c r="L10" s="1" t="n">
        <f aca="false">SUM(H10:K10)</f>
        <v>1</v>
      </c>
      <c r="M10" s="1" t="str">
        <f aca="false">IF(L10&gt;=2,"High",IF(L10=1,"Medium","Low"))</f>
        <v>Medium</v>
      </c>
    </row>
    <row r="11" customFormat="false" ht="15" hidden="false" customHeight="true" outlineLevel="0" collapsed="false">
      <c r="A11" s="1" t="str">
        <f aca="false">Transactions!A11</f>
        <v>TXN500562</v>
      </c>
      <c r="B11" s="1" t="str">
        <f aca="false">Transactions!B11</f>
        <v>ACC1024</v>
      </c>
      <c r="C11" s="1" t="str">
        <f aca="false">Transactions!I11</f>
        <v>2026-01-01</v>
      </c>
      <c r="D11" s="1" t="n">
        <f aca="false">Transactions!J11</f>
        <v>21</v>
      </c>
      <c r="E11" s="1" t="n">
        <f aca="false">Transactions!D11</f>
        <v>431.76</v>
      </c>
      <c r="F11" s="1" t="str">
        <f aca="false">Transactions!H11</f>
        <v>Online</v>
      </c>
      <c r="G11" s="1" t="str">
        <f aca="false">Transactions!G11</f>
        <v>Wire Transfer</v>
      </c>
      <c r="H11" s="1" t="n">
        <f aca="false">IF(COUNTIFS($B$2:$B$1489,B11,$C$2:$C$1489,C11,$D$2:$D$1489,D11)&gt;6,1,0)</f>
        <v>0</v>
      </c>
      <c r="I11" s="1" t="n">
        <f aca="false">IF(AND(F11="Wire",E11&gt;=1000,MOD(E11,1000)=0),1,0)</f>
        <v>0</v>
      </c>
      <c r="J11" s="1" t="n">
        <f aca="false">IF(AND(F11="ATM",E11&gt;2000,D11&lt;=4),1,0)</f>
        <v>0</v>
      </c>
      <c r="K11" s="1" t="n">
        <f aca="false">IF(COUNTIF('SQL Findings'!$A$4:$A$18,B11)&gt;0,1,0)</f>
        <v>1</v>
      </c>
      <c r="L11" s="1" t="n">
        <f aca="false">SUM(H11:K11)</f>
        <v>1</v>
      </c>
      <c r="M11" s="1" t="str">
        <f aca="false">IF(L11&gt;=2,"High",IF(L11=1,"Medium","Low"))</f>
        <v>Medium</v>
      </c>
    </row>
    <row r="12" customFormat="false" ht="15" hidden="false" customHeight="true" outlineLevel="0" collapsed="false">
      <c r="A12" s="1" t="str">
        <f aca="false">Transactions!A12</f>
        <v>TXN500017</v>
      </c>
      <c r="B12" s="1" t="str">
        <f aca="false">Transactions!B12</f>
        <v>ACC1000</v>
      </c>
      <c r="C12" s="1" t="str">
        <f aca="false">Transactions!I12</f>
        <v>2026-01-01</v>
      </c>
      <c r="D12" s="1" t="n">
        <f aca="false">Transactions!J12</f>
        <v>21</v>
      </c>
      <c r="E12" s="1" t="n">
        <f aca="false">Transactions!D12</f>
        <v>26.8</v>
      </c>
      <c r="F12" s="1" t="str">
        <f aca="false">Transactions!H12</f>
        <v>ATM</v>
      </c>
      <c r="G12" s="1" t="str">
        <f aca="false">Transactions!G12</f>
        <v>Utilities</v>
      </c>
      <c r="H12" s="1" t="n">
        <f aca="false">IF(COUNTIFS($B$2:$B$1489,B12,$C$2:$C$1489,C12,$D$2:$D$1489,D12)&gt;6,1,0)</f>
        <v>0</v>
      </c>
      <c r="I12" s="1" t="n">
        <f aca="false">IF(AND(F12="Wire",E12&gt;=1000,MOD(E12,1000)=0),1,0)</f>
        <v>0</v>
      </c>
      <c r="J12" s="1" t="n">
        <f aca="false">IF(AND(F12="ATM",E12&gt;2000,D12&lt;=4),1,0)</f>
        <v>0</v>
      </c>
      <c r="K12" s="1" t="n">
        <f aca="false">IF(COUNTIF('SQL Findings'!$A$4:$A$18,B12)&gt;0,1,0)</f>
        <v>1</v>
      </c>
      <c r="L12" s="1" t="n">
        <f aca="false">SUM(H12:K12)</f>
        <v>1</v>
      </c>
      <c r="M12" s="1" t="str">
        <f aca="false">IF(L12&gt;=2,"High",IF(L12=1,"Medium","Low"))</f>
        <v>Medium</v>
      </c>
    </row>
    <row r="13" customFormat="false" ht="15" hidden="false" customHeight="true" outlineLevel="0" collapsed="false">
      <c r="A13" s="1" t="str">
        <f aca="false">Transactions!A13</f>
        <v>TXN501027</v>
      </c>
      <c r="B13" s="1" t="str">
        <f aca="false">Transactions!B13</f>
        <v>ACC1044</v>
      </c>
      <c r="C13" s="1" t="str">
        <f aca="false">Transactions!I13</f>
        <v>2026-01-01</v>
      </c>
      <c r="D13" s="1" t="n">
        <f aca="false">Transactions!J13</f>
        <v>22</v>
      </c>
      <c r="E13" s="1" t="n">
        <f aca="false">Transactions!D13</f>
        <v>69.01</v>
      </c>
      <c r="F13" s="1" t="str">
        <f aca="false">Transactions!H13</f>
        <v>Online</v>
      </c>
      <c r="G13" s="1" t="str">
        <f aca="false">Transactions!G13</f>
        <v>Utilities</v>
      </c>
      <c r="H13" s="1" t="n">
        <f aca="false">IF(COUNTIFS($B$2:$B$1489,B13,$C$2:$C$1489,C13,$D$2:$D$1489,D13)&gt;6,1,0)</f>
        <v>0</v>
      </c>
      <c r="I13" s="1" t="n">
        <f aca="false">IF(AND(F13="Wire",E13&gt;=1000,MOD(E13,1000)=0),1,0)</f>
        <v>0</v>
      </c>
      <c r="J13" s="1" t="n">
        <f aca="false">IF(AND(F13="ATM",E13&gt;2000,D13&lt;=4),1,0)</f>
        <v>0</v>
      </c>
      <c r="K13" s="1" t="n">
        <f aca="false">IF(COUNTIF('SQL Findings'!$A$4:$A$18,B13)&gt;0,1,0)</f>
        <v>0</v>
      </c>
      <c r="L13" s="1" t="n">
        <f aca="false">SUM(H13:K13)</f>
        <v>0</v>
      </c>
      <c r="M13" s="1" t="str">
        <f aca="false">IF(L13&gt;=2,"High",IF(L13=1,"Medium","Low"))</f>
        <v>Low</v>
      </c>
    </row>
    <row r="14" customFormat="false" ht="15" hidden="false" customHeight="true" outlineLevel="0" collapsed="false">
      <c r="A14" s="1" t="str">
        <f aca="false">Transactions!A14</f>
        <v>TXN501323</v>
      </c>
      <c r="B14" s="1" t="str">
        <f aca="false">Transactions!B14</f>
        <v>ACC1057</v>
      </c>
      <c r="C14" s="1" t="str">
        <f aca="false">Transactions!I14</f>
        <v>2026-01-02</v>
      </c>
      <c r="D14" s="1" t="n">
        <f aca="false">Transactions!J14</f>
        <v>3</v>
      </c>
      <c r="E14" s="1" t="n">
        <f aca="false">Transactions!D14</f>
        <v>62.59</v>
      </c>
      <c r="F14" s="1" t="str">
        <f aca="false">Transactions!H14</f>
        <v>ATM</v>
      </c>
      <c r="G14" s="1" t="str">
        <f aca="false">Transactions!G14</f>
        <v>Travel</v>
      </c>
      <c r="H14" s="1" t="n">
        <f aca="false">IF(COUNTIFS($B$2:$B$1489,B14,$C$2:$C$1489,C14,$D$2:$D$1489,D14)&gt;6,1,0)</f>
        <v>0</v>
      </c>
      <c r="I14" s="1" t="n">
        <f aca="false">IF(AND(F14="Wire",E14&gt;=1000,MOD(E14,1000)=0),1,0)</f>
        <v>0</v>
      </c>
      <c r="J14" s="1" t="n">
        <f aca="false">IF(AND(F14="ATM",E14&gt;2000,D14&lt;=4),1,0)</f>
        <v>0</v>
      </c>
      <c r="K14" s="1" t="n">
        <f aca="false">IF(COUNTIF('SQL Findings'!$A$4:$A$18,B14)&gt;0,1,0)</f>
        <v>1</v>
      </c>
      <c r="L14" s="1" t="n">
        <f aca="false">SUM(H14:K14)</f>
        <v>1</v>
      </c>
      <c r="M14" s="1" t="str">
        <f aca="false">IF(L14&gt;=2,"High",IF(L14=1,"Medium","Low"))</f>
        <v>Medium</v>
      </c>
    </row>
    <row r="15" customFormat="false" ht="15" hidden="false" customHeight="true" outlineLevel="0" collapsed="false">
      <c r="A15" s="1" t="str">
        <f aca="false">Transactions!A15</f>
        <v>TXN501109</v>
      </c>
      <c r="B15" s="1" t="str">
        <f aca="false">Transactions!B15</f>
        <v>ACC1048</v>
      </c>
      <c r="C15" s="1" t="str">
        <f aca="false">Transactions!I15</f>
        <v>2026-01-02</v>
      </c>
      <c r="D15" s="1" t="n">
        <f aca="false">Transactions!J15</f>
        <v>5</v>
      </c>
      <c r="E15" s="1" t="n">
        <f aca="false">Transactions!D15</f>
        <v>38.04</v>
      </c>
      <c r="F15" s="1" t="str">
        <f aca="false">Transactions!H15</f>
        <v>Online</v>
      </c>
      <c r="G15" s="1" t="str">
        <f aca="false">Transactions!G15</f>
        <v>Dining</v>
      </c>
      <c r="H15" s="1" t="n">
        <f aca="false">IF(COUNTIFS($B$2:$B$1489,B15,$C$2:$C$1489,C15,$D$2:$D$1489,D15)&gt;6,1,0)</f>
        <v>0</v>
      </c>
      <c r="I15" s="1" t="n">
        <f aca="false">IF(AND(F15="Wire",E15&gt;=1000,MOD(E15,1000)=0),1,0)</f>
        <v>0</v>
      </c>
      <c r="J15" s="1" t="n">
        <f aca="false">IF(AND(F15="ATM",E15&gt;2000,D15&lt;=4),1,0)</f>
        <v>0</v>
      </c>
      <c r="K15" s="1" t="n">
        <f aca="false">IF(COUNTIF('SQL Findings'!$A$4:$A$18,B15)&gt;0,1,0)</f>
        <v>0</v>
      </c>
      <c r="L15" s="1" t="n">
        <f aca="false">SUM(H15:K15)</f>
        <v>0</v>
      </c>
      <c r="M15" s="1" t="str">
        <f aca="false">IF(L15&gt;=2,"High",IF(L15=1,"Medium","Low"))</f>
        <v>Low</v>
      </c>
    </row>
    <row r="16" customFormat="false" ht="15" hidden="false" customHeight="true" outlineLevel="0" collapsed="false">
      <c r="A16" s="1" t="str">
        <f aca="false">Transactions!A16</f>
        <v>TXN501116</v>
      </c>
      <c r="B16" s="1" t="str">
        <f aca="false">Transactions!B16</f>
        <v>ACC1049</v>
      </c>
      <c r="C16" s="1" t="str">
        <f aca="false">Transactions!I16</f>
        <v>2026-01-02</v>
      </c>
      <c r="D16" s="1" t="n">
        <f aca="false">Transactions!J16</f>
        <v>6</v>
      </c>
      <c r="E16" s="1" t="n">
        <f aca="false">Transactions!D16</f>
        <v>92.62</v>
      </c>
      <c r="F16" s="1" t="str">
        <f aca="false">Transactions!H16</f>
        <v>Online</v>
      </c>
      <c r="G16" s="1" t="str">
        <f aca="false">Transactions!G16</f>
        <v>Electronics</v>
      </c>
      <c r="H16" s="1" t="n">
        <f aca="false">IF(COUNTIFS($B$2:$B$1489,B16,$C$2:$C$1489,C16,$D$2:$D$1489,D16)&gt;6,1,0)</f>
        <v>0</v>
      </c>
      <c r="I16" s="1" t="n">
        <f aca="false">IF(AND(F16="Wire",E16&gt;=1000,MOD(E16,1000)=0),1,0)</f>
        <v>0</v>
      </c>
      <c r="J16" s="1" t="n">
        <f aca="false">IF(AND(F16="ATM",E16&gt;2000,D16&lt;=4),1,0)</f>
        <v>0</v>
      </c>
      <c r="K16" s="1" t="n">
        <f aca="false">IF(COUNTIF('SQL Findings'!$A$4:$A$18,B16)&gt;0,1,0)</f>
        <v>0</v>
      </c>
      <c r="L16" s="1" t="n">
        <f aca="false">SUM(H16:K16)</f>
        <v>0</v>
      </c>
      <c r="M16" s="1" t="str">
        <f aca="false">IF(L16&gt;=2,"High",IF(L16=1,"Medium","Low"))</f>
        <v>Low</v>
      </c>
    </row>
    <row r="17" customFormat="false" ht="15" hidden="false" customHeight="true" outlineLevel="0" collapsed="false">
      <c r="A17" s="1" t="str">
        <f aca="false">Transactions!A17</f>
        <v>TXN501062</v>
      </c>
      <c r="B17" s="1" t="str">
        <f aca="false">Transactions!B17</f>
        <v>ACC1046</v>
      </c>
      <c r="C17" s="1" t="str">
        <f aca="false">Transactions!I17</f>
        <v>2026-01-02</v>
      </c>
      <c r="D17" s="1" t="n">
        <f aca="false">Transactions!J17</f>
        <v>6</v>
      </c>
      <c r="E17" s="1" t="n">
        <f aca="false">Transactions!D17</f>
        <v>5.14</v>
      </c>
      <c r="F17" s="1" t="str">
        <f aca="false">Transactions!H17</f>
        <v>ATM</v>
      </c>
      <c r="G17" s="1" t="str">
        <f aca="false">Transactions!G17</f>
        <v>Travel</v>
      </c>
      <c r="H17" s="1" t="n">
        <f aca="false">IF(COUNTIFS($B$2:$B$1489,B17,$C$2:$C$1489,C17,$D$2:$D$1489,D17)&gt;6,1,0)</f>
        <v>0</v>
      </c>
      <c r="I17" s="1" t="n">
        <f aca="false">IF(AND(F17="Wire",E17&gt;=1000,MOD(E17,1000)=0),1,0)</f>
        <v>0</v>
      </c>
      <c r="J17" s="1" t="n">
        <f aca="false">IF(AND(F17="ATM",E17&gt;2000,D17&lt;=4),1,0)</f>
        <v>0</v>
      </c>
      <c r="K17" s="1" t="n">
        <f aca="false">IF(COUNTIF('SQL Findings'!$A$4:$A$18,B17)&gt;0,1,0)</f>
        <v>0</v>
      </c>
      <c r="L17" s="1" t="n">
        <f aca="false">SUM(H17:K17)</f>
        <v>0</v>
      </c>
      <c r="M17" s="1" t="str">
        <f aca="false">IF(L17&gt;=2,"High",IF(L17=1,"Medium","Low"))</f>
        <v>Low</v>
      </c>
    </row>
    <row r="18" customFormat="false" ht="15" hidden="false" customHeight="true" outlineLevel="0" collapsed="false">
      <c r="A18" s="1" t="str">
        <f aca="false">Transactions!A18</f>
        <v>TXN501104</v>
      </c>
      <c r="B18" s="1" t="str">
        <f aca="false">Transactions!B18</f>
        <v>ACC1048</v>
      </c>
      <c r="C18" s="1" t="str">
        <f aca="false">Transactions!I18</f>
        <v>2026-01-02</v>
      </c>
      <c r="D18" s="1" t="n">
        <f aca="false">Transactions!J18</f>
        <v>7</v>
      </c>
      <c r="E18" s="1" t="n">
        <f aca="false">Transactions!D18</f>
        <v>58.81</v>
      </c>
      <c r="F18" s="1" t="str">
        <f aca="false">Transactions!H18</f>
        <v>Online</v>
      </c>
      <c r="G18" s="1" t="str">
        <f aca="false">Transactions!G18</f>
        <v>Retail</v>
      </c>
      <c r="H18" s="1" t="n">
        <f aca="false">IF(COUNTIFS($B$2:$B$1489,B18,$C$2:$C$1489,C18,$D$2:$D$1489,D18)&gt;6,1,0)</f>
        <v>0</v>
      </c>
      <c r="I18" s="1" t="n">
        <f aca="false">IF(AND(F18="Wire",E18&gt;=1000,MOD(E18,1000)=0),1,0)</f>
        <v>0</v>
      </c>
      <c r="J18" s="1" t="n">
        <f aca="false">IF(AND(F18="ATM",E18&gt;2000,D18&lt;=4),1,0)</f>
        <v>0</v>
      </c>
      <c r="K18" s="1" t="n">
        <f aca="false">IF(COUNTIF('SQL Findings'!$A$4:$A$18,B18)&gt;0,1,0)</f>
        <v>0</v>
      </c>
      <c r="L18" s="1" t="n">
        <f aca="false">SUM(H18:K18)</f>
        <v>0</v>
      </c>
      <c r="M18" s="1" t="str">
        <f aca="false">IF(L18&gt;=2,"High",IF(L18=1,"Medium","Low"))</f>
        <v>Low</v>
      </c>
    </row>
    <row r="19" customFormat="false" ht="15" hidden="false" customHeight="true" outlineLevel="0" collapsed="false">
      <c r="A19" s="1" t="str">
        <f aca="false">Transactions!A19</f>
        <v>TXN500673</v>
      </c>
      <c r="B19" s="1" t="str">
        <f aca="false">Transactions!B19</f>
        <v>ACC1029</v>
      </c>
      <c r="C19" s="1" t="str">
        <f aca="false">Transactions!I19</f>
        <v>2026-01-02</v>
      </c>
      <c r="D19" s="1" t="n">
        <f aca="false">Transactions!J19</f>
        <v>7</v>
      </c>
      <c r="E19" s="1" t="n">
        <f aca="false">Transactions!D19</f>
        <v>48.99</v>
      </c>
      <c r="F19" s="1" t="str">
        <f aca="false">Transactions!H19</f>
        <v>Online</v>
      </c>
      <c r="G19" s="1" t="str">
        <f aca="false">Transactions!G19</f>
        <v>Cash Withdrawal</v>
      </c>
      <c r="H19" s="1" t="n">
        <f aca="false">IF(COUNTIFS($B$2:$B$1489,B19,$C$2:$C$1489,C19,$D$2:$D$1489,D19)&gt;6,1,0)</f>
        <v>0</v>
      </c>
      <c r="I19" s="1" t="n">
        <f aca="false">IF(AND(F19="Wire",E19&gt;=1000,MOD(E19,1000)=0),1,0)</f>
        <v>0</v>
      </c>
      <c r="J19" s="1" t="n">
        <f aca="false">IF(AND(F19="ATM",E19&gt;2000,D19&lt;=4),1,0)</f>
        <v>0</v>
      </c>
      <c r="K19" s="1" t="n">
        <f aca="false">IF(COUNTIF('SQL Findings'!$A$4:$A$18,B19)&gt;0,1,0)</f>
        <v>0</v>
      </c>
      <c r="L19" s="1" t="n">
        <f aca="false">SUM(H19:K19)</f>
        <v>0</v>
      </c>
      <c r="M19" s="1" t="str">
        <f aca="false">IF(L19&gt;=2,"High",IF(L19=1,"Medium","Low"))</f>
        <v>Low</v>
      </c>
    </row>
    <row r="20" customFormat="false" ht="15" hidden="false" customHeight="true" outlineLevel="0" collapsed="false">
      <c r="A20" s="1" t="str">
        <f aca="false">Transactions!A20</f>
        <v>TXN500229</v>
      </c>
      <c r="B20" s="1" t="str">
        <f aca="false">Transactions!B20</f>
        <v>ACC1010</v>
      </c>
      <c r="C20" s="1" t="str">
        <f aca="false">Transactions!I20</f>
        <v>2026-01-02</v>
      </c>
      <c r="D20" s="1" t="n">
        <f aca="false">Transactions!J20</f>
        <v>8</v>
      </c>
      <c r="E20" s="1" t="n">
        <f aca="false">Transactions!D20</f>
        <v>35.03</v>
      </c>
      <c r="F20" s="1" t="str">
        <f aca="false">Transactions!H20</f>
        <v>Online</v>
      </c>
      <c r="G20" s="1" t="str">
        <f aca="false">Transactions!G20</f>
        <v>Online Marketplace</v>
      </c>
      <c r="H20" s="1" t="n">
        <f aca="false">IF(COUNTIFS($B$2:$B$1489,B20,$C$2:$C$1489,C20,$D$2:$D$1489,D20)&gt;6,1,0)</f>
        <v>0</v>
      </c>
      <c r="I20" s="1" t="n">
        <f aca="false">IF(AND(F20="Wire",E20&gt;=1000,MOD(E20,1000)=0),1,0)</f>
        <v>0</v>
      </c>
      <c r="J20" s="1" t="n">
        <f aca="false">IF(AND(F20="ATM",E20&gt;2000,D20&lt;=4),1,0)</f>
        <v>0</v>
      </c>
      <c r="K20" s="1" t="n">
        <f aca="false">IF(COUNTIF('SQL Findings'!$A$4:$A$18,B20)&gt;0,1,0)</f>
        <v>0</v>
      </c>
      <c r="L20" s="1" t="n">
        <f aca="false">SUM(H20:K20)</f>
        <v>0</v>
      </c>
      <c r="M20" s="1" t="str">
        <f aca="false">IF(L20&gt;=2,"High",IF(L20=1,"Medium","Low"))</f>
        <v>Low</v>
      </c>
    </row>
    <row r="21" customFormat="false" ht="15" hidden="false" customHeight="true" outlineLevel="0" collapsed="false">
      <c r="A21" s="1" t="str">
        <f aca="false">Transactions!A21</f>
        <v>TXN500555</v>
      </c>
      <c r="B21" s="1" t="str">
        <f aca="false">Transactions!B21</f>
        <v>ACC1024</v>
      </c>
      <c r="C21" s="1" t="str">
        <f aca="false">Transactions!I21</f>
        <v>2026-01-02</v>
      </c>
      <c r="D21" s="1" t="n">
        <f aca="false">Transactions!J21</f>
        <v>8</v>
      </c>
      <c r="E21" s="1" t="n">
        <f aca="false">Transactions!D21</f>
        <v>90.36</v>
      </c>
      <c r="F21" s="1" t="str">
        <f aca="false">Transactions!H21</f>
        <v>ATM</v>
      </c>
      <c r="G21" s="1" t="str">
        <f aca="false">Transactions!G21</f>
        <v>Electronics</v>
      </c>
      <c r="H21" s="1" t="n">
        <f aca="false">IF(COUNTIFS($B$2:$B$1489,B21,$C$2:$C$1489,C21,$D$2:$D$1489,D21)&gt;6,1,0)</f>
        <v>0</v>
      </c>
      <c r="I21" s="1" t="n">
        <f aca="false">IF(AND(F21="Wire",E21&gt;=1000,MOD(E21,1000)=0),1,0)</f>
        <v>0</v>
      </c>
      <c r="J21" s="1" t="n">
        <f aca="false">IF(AND(F21="ATM",E21&gt;2000,D21&lt;=4),1,0)</f>
        <v>0</v>
      </c>
      <c r="K21" s="1" t="n">
        <f aca="false">IF(COUNTIF('SQL Findings'!$A$4:$A$18,B21)&gt;0,1,0)</f>
        <v>1</v>
      </c>
      <c r="L21" s="1" t="n">
        <f aca="false">SUM(H21:K21)</f>
        <v>1</v>
      </c>
      <c r="M21" s="1" t="str">
        <f aca="false">IF(L21&gt;=2,"High",IF(L21=1,"Medium","Low"))</f>
        <v>Medium</v>
      </c>
    </row>
    <row r="22" customFormat="false" ht="15" hidden="false" customHeight="true" outlineLevel="0" collapsed="false">
      <c r="A22" s="1" t="str">
        <f aca="false">Transactions!A22</f>
        <v>TXN500454</v>
      </c>
      <c r="B22" s="1" t="str">
        <f aca="false">Transactions!B22</f>
        <v>ACC1020</v>
      </c>
      <c r="C22" s="1" t="str">
        <f aca="false">Transactions!I22</f>
        <v>2026-01-02</v>
      </c>
      <c r="D22" s="1" t="n">
        <f aca="false">Transactions!J22</f>
        <v>8</v>
      </c>
      <c r="E22" s="1" t="n">
        <f aca="false">Transactions!D22</f>
        <v>104.97</v>
      </c>
      <c r="F22" s="1" t="str">
        <f aca="false">Transactions!H22</f>
        <v>Online</v>
      </c>
      <c r="G22" s="1" t="str">
        <f aca="false">Transactions!G22</f>
        <v>Electronics</v>
      </c>
      <c r="H22" s="1" t="n">
        <f aca="false">IF(COUNTIFS($B$2:$B$1489,B22,$C$2:$C$1489,C22,$D$2:$D$1489,D22)&gt;6,1,0)</f>
        <v>0</v>
      </c>
      <c r="I22" s="1" t="n">
        <f aca="false">IF(AND(F22="Wire",E22&gt;=1000,MOD(E22,1000)=0),1,0)</f>
        <v>0</v>
      </c>
      <c r="J22" s="1" t="n">
        <f aca="false">IF(AND(F22="ATM",E22&gt;2000,D22&lt;=4),1,0)</f>
        <v>0</v>
      </c>
      <c r="K22" s="1" t="n">
        <f aca="false">IF(COUNTIF('SQL Findings'!$A$4:$A$18,B22)&gt;0,1,0)</f>
        <v>0</v>
      </c>
      <c r="L22" s="1" t="n">
        <f aca="false">SUM(H22:K22)</f>
        <v>0</v>
      </c>
      <c r="M22" s="1" t="str">
        <f aca="false">IF(L22&gt;=2,"High",IF(L22=1,"Medium","Low"))</f>
        <v>Low</v>
      </c>
    </row>
    <row r="23" customFormat="false" ht="15" hidden="false" customHeight="true" outlineLevel="0" collapsed="false">
      <c r="A23" s="1" t="str">
        <f aca="false">Transactions!A23</f>
        <v>TXN501182</v>
      </c>
      <c r="B23" s="1" t="str">
        <f aca="false">Transactions!B23</f>
        <v>ACC1052</v>
      </c>
      <c r="C23" s="1" t="str">
        <f aca="false">Transactions!I23</f>
        <v>2026-01-02</v>
      </c>
      <c r="D23" s="1" t="n">
        <f aca="false">Transactions!J23</f>
        <v>9</v>
      </c>
      <c r="E23" s="1" t="n">
        <f aca="false">Transactions!D23</f>
        <v>233.41</v>
      </c>
      <c r="F23" s="1" t="str">
        <f aca="false">Transactions!H23</f>
        <v>Online</v>
      </c>
      <c r="G23" s="1" t="str">
        <f aca="false">Transactions!G23</f>
        <v>Electronics</v>
      </c>
      <c r="H23" s="1" t="n">
        <f aca="false">IF(COUNTIFS($B$2:$B$1489,B23,$C$2:$C$1489,C23,$D$2:$D$1489,D23)&gt;6,1,0)</f>
        <v>0</v>
      </c>
      <c r="I23" s="1" t="n">
        <f aca="false">IF(AND(F23="Wire",E23&gt;=1000,MOD(E23,1000)=0),1,0)</f>
        <v>0</v>
      </c>
      <c r="J23" s="1" t="n">
        <f aca="false">IF(AND(F23="ATM",E23&gt;2000,D23&lt;=4),1,0)</f>
        <v>0</v>
      </c>
      <c r="K23" s="1" t="n">
        <f aca="false">IF(COUNTIF('SQL Findings'!$A$4:$A$18,B23)&gt;0,1,0)</f>
        <v>0</v>
      </c>
      <c r="L23" s="1" t="n">
        <f aca="false">SUM(H23:K23)</f>
        <v>0</v>
      </c>
      <c r="M23" s="1" t="str">
        <f aca="false">IF(L23&gt;=2,"High",IF(L23=1,"Medium","Low"))</f>
        <v>Low</v>
      </c>
    </row>
    <row r="24" customFormat="false" ht="15" hidden="false" customHeight="true" outlineLevel="0" collapsed="false">
      <c r="A24" s="1" t="str">
        <f aca="false">Transactions!A24</f>
        <v>TXN500053</v>
      </c>
      <c r="B24" s="1" t="str">
        <f aca="false">Transactions!B24</f>
        <v>ACC1002</v>
      </c>
      <c r="C24" s="1" t="str">
        <f aca="false">Transactions!I24</f>
        <v>2026-01-02</v>
      </c>
      <c r="D24" s="1" t="n">
        <f aca="false">Transactions!J24</f>
        <v>11</v>
      </c>
      <c r="E24" s="1" t="n">
        <f aca="false">Transactions!D24</f>
        <v>36.26</v>
      </c>
      <c r="F24" s="1" t="str">
        <f aca="false">Transactions!H24</f>
        <v>POS</v>
      </c>
      <c r="G24" s="1" t="str">
        <f aca="false">Transactions!G24</f>
        <v>Electronics</v>
      </c>
      <c r="H24" s="1" t="n">
        <f aca="false">IF(COUNTIFS($B$2:$B$1489,B24,$C$2:$C$1489,C24,$D$2:$D$1489,D24)&gt;6,1,0)</f>
        <v>0</v>
      </c>
      <c r="I24" s="1" t="n">
        <f aca="false">IF(AND(F24="Wire",E24&gt;=1000,MOD(E24,1000)=0),1,0)</f>
        <v>0</v>
      </c>
      <c r="J24" s="1" t="n">
        <f aca="false">IF(AND(F24="ATM",E24&gt;2000,D24&lt;=4),1,0)</f>
        <v>0</v>
      </c>
      <c r="K24" s="1" t="n">
        <f aca="false">IF(COUNTIF('SQL Findings'!$A$4:$A$18,B24)&gt;0,1,0)</f>
        <v>1</v>
      </c>
      <c r="L24" s="1" t="n">
        <f aca="false">SUM(H24:K24)</f>
        <v>1</v>
      </c>
      <c r="M24" s="1" t="str">
        <f aca="false">IF(L24&gt;=2,"High",IF(L24=1,"Medium","Low"))</f>
        <v>Medium</v>
      </c>
    </row>
    <row r="25" customFormat="false" ht="15" hidden="false" customHeight="true" outlineLevel="0" collapsed="false">
      <c r="A25" s="1" t="str">
        <f aca="false">Transactions!A25</f>
        <v>TXN500138</v>
      </c>
      <c r="B25" s="1" t="str">
        <f aca="false">Transactions!B25</f>
        <v>ACC1006</v>
      </c>
      <c r="C25" s="1" t="str">
        <f aca="false">Transactions!I25</f>
        <v>2026-01-02</v>
      </c>
      <c r="D25" s="1" t="n">
        <f aca="false">Transactions!J25</f>
        <v>12</v>
      </c>
      <c r="E25" s="1" t="n">
        <f aca="false">Transactions!D25</f>
        <v>49.91</v>
      </c>
      <c r="F25" s="1" t="str">
        <f aca="false">Transactions!H25</f>
        <v>POS</v>
      </c>
      <c r="G25" s="1" t="str">
        <f aca="false">Transactions!G25</f>
        <v>Electronics</v>
      </c>
      <c r="H25" s="1" t="n">
        <f aca="false">IF(COUNTIFS($B$2:$B$1489,B25,$C$2:$C$1489,C25,$D$2:$D$1489,D25)&gt;6,1,0)</f>
        <v>0</v>
      </c>
      <c r="I25" s="1" t="n">
        <f aca="false">IF(AND(F25="Wire",E25&gt;=1000,MOD(E25,1000)=0),1,0)</f>
        <v>0</v>
      </c>
      <c r="J25" s="1" t="n">
        <f aca="false">IF(AND(F25="ATM",E25&gt;2000,D25&lt;=4),1,0)</f>
        <v>0</v>
      </c>
      <c r="K25" s="1" t="n">
        <f aca="false">IF(COUNTIF('SQL Findings'!$A$4:$A$18,B25)&gt;0,1,0)</f>
        <v>0</v>
      </c>
      <c r="L25" s="1" t="n">
        <f aca="false">SUM(H25:K25)</f>
        <v>0</v>
      </c>
      <c r="M25" s="1" t="str">
        <f aca="false">IF(L25&gt;=2,"High",IF(L25=1,"Medium","Low"))</f>
        <v>Low</v>
      </c>
    </row>
    <row r="26" customFormat="false" ht="15" hidden="false" customHeight="true" outlineLevel="0" collapsed="false">
      <c r="A26" s="1" t="str">
        <f aca="false">Transactions!A26</f>
        <v>TXN500217</v>
      </c>
      <c r="B26" s="1" t="str">
        <f aca="false">Transactions!B26</f>
        <v>ACC1009</v>
      </c>
      <c r="C26" s="1" t="str">
        <f aca="false">Transactions!I26</f>
        <v>2026-01-02</v>
      </c>
      <c r="D26" s="1" t="n">
        <f aca="false">Transactions!J26</f>
        <v>13</v>
      </c>
      <c r="E26" s="1" t="n">
        <f aca="false">Transactions!D26</f>
        <v>33.26</v>
      </c>
      <c r="F26" s="1" t="str">
        <f aca="false">Transactions!H26</f>
        <v>ATM</v>
      </c>
      <c r="G26" s="1" t="str">
        <f aca="false">Transactions!G26</f>
        <v>Retail</v>
      </c>
      <c r="H26" s="1" t="n">
        <f aca="false">IF(COUNTIFS($B$2:$B$1489,B26,$C$2:$C$1489,C26,$D$2:$D$1489,D26)&gt;6,1,0)</f>
        <v>0</v>
      </c>
      <c r="I26" s="1" t="n">
        <f aca="false">IF(AND(F26="Wire",E26&gt;=1000,MOD(E26,1000)=0),1,0)</f>
        <v>0</v>
      </c>
      <c r="J26" s="1" t="n">
        <f aca="false">IF(AND(F26="ATM",E26&gt;2000,D26&lt;=4),1,0)</f>
        <v>0</v>
      </c>
      <c r="K26" s="1" t="n">
        <f aca="false">IF(COUNTIF('SQL Findings'!$A$4:$A$18,B26)&gt;0,1,0)</f>
        <v>1</v>
      </c>
      <c r="L26" s="1" t="n">
        <f aca="false">SUM(H26:K26)</f>
        <v>1</v>
      </c>
      <c r="M26" s="1" t="str">
        <f aca="false">IF(L26&gt;=2,"High",IF(L26=1,"Medium","Low"))</f>
        <v>Medium</v>
      </c>
    </row>
    <row r="27" customFormat="false" ht="15" hidden="false" customHeight="true" outlineLevel="0" collapsed="false">
      <c r="A27" s="1" t="str">
        <f aca="false">Transactions!A27</f>
        <v>TXN501054</v>
      </c>
      <c r="B27" s="1" t="str">
        <f aca="false">Transactions!B27</f>
        <v>ACC1046</v>
      </c>
      <c r="C27" s="1" t="str">
        <f aca="false">Transactions!I27</f>
        <v>2026-01-02</v>
      </c>
      <c r="D27" s="1" t="n">
        <f aca="false">Transactions!J27</f>
        <v>14</v>
      </c>
      <c r="E27" s="1" t="n">
        <f aca="false">Transactions!D27</f>
        <v>84.32</v>
      </c>
      <c r="F27" s="1" t="str">
        <f aca="false">Transactions!H27</f>
        <v>Online</v>
      </c>
      <c r="G27" s="1" t="str">
        <f aca="false">Transactions!G27</f>
        <v>Electronics</v>
      </c>
      <c r="H27" s="1" t="n">
        <f aca="false">IF(COUNTIFS($B$2:$B$1489,B27,$C$2:$C$1489,C27,$D$2:$D$1489,D27)&gt;6,1,0)</f>
        <v>0</v>
      </c>
      <c r="I27" s="1" t="n">
        <f aca="false">IF(AND(F27="Wire",E27&gt;=1000,MOD(E27,1000)=0),1,0)</f>
        <v>0</v>
      </c>
      <c r="J27" s="1" t="n">
        <f aca="false">IF(AND(F27="ATM",E27&gt;2000,D27&lt;=4),1,0)</f>
        <v>0</v>
      </c>
      <c r="K27" s="1" t="n">
        <f aca="false">IF(COUNTIF('SQL Findings'!$A$4:$A$18,B27)&gt;0,1,0)</f>
        <v>0</v>
      </c>
      <c r="L27" s="1" t="n">
        <f aca="false">SUM(H27:K27)</f>
        <v>0</v>
      </c>
      <c r="M27" s="1" t="str">
        <f aca="false">IF(L27&gt;=2,"High",IF(L27=1,"Medium","Low"))</f>
        <v>Low</v>
      </c>
    </row>
    <row r="28" customFormat="false" ht="15" hidden="false" customHeight="true" outlineLevel="0" collapsed="false">
      <c r="A28" s="1" t="str">
        <f aca="false">Transactions!A28</f>
        <v>TXN501361</v>
      </c>
      <c r="B28" s="1" t="str">
        <f aca="false">Transactions!B28</f>
        <v>ACC1059</v>
      </c>
      <c r="C28" s="1" t="str">
        <f aca="false">Transactions!I28</f>
        <v>2026-01-02</v>
      </c>
      <c r="D28" s="1" t="n">
        <f aca="false">Transactions!J28</f>
        <v>14</v>
      </c>
      <c r="E28" s="1" t="n">
        <f aca="false">Transactions!D28</f>
        <v>65.77</v>
      </c>
      <c r="F28" s="1" t="str">
        <f aca="false">Transactions!H28</f>
        <v>POS</v>
      </c>
      <c r="G28" s="1" t="str">
        <f aca="false">Transactions!G28</f>
        <v>Electronics</v>
      </c>
      <c r="H28" s="1" t="n">
        <f aca="false">IF(COUNTIFS($B$2:$B$1489,B28,$C$2:$C$1489,C28,$D$2:$D$1489,D28)&gt;6,1,0)</f>
        <v>0</v>
      </c>
      <c r="I28" s="1" t="n">
        <f aca="false">IF(AND(F28="Wire",E28&gt;=1000,MOD(E28,1000)=0),1,0)</f>
        <v>0</v>
      </c>
      <c r="J28" s="1" t="n">
        <f aca="false">IF(AND(F28="ATM",E28&gt;2000,D28&lt;=4),1,0)</f>
        <v>0</v>
      </c>
      <c r="K28" s="1" t="n">
        <f aca="false">IF(COUNTIF('SQL Findings'!$A$4:$A$18,B28)&gt;0,1,0)</f>
        <v>0</v>
      </c>
      <c r="L28" s="1" t="n">
        <f aca="false">SUM(H28:K28)</f>
        <v>0</v>
      </c>
      <c r="M28" s="1" t="str">
        <f aca="false">IF(L28&gt;=2,"High",IF(L28=1,"Medium","Low"))</f>
        <v>Low</v>
      </c>
    </row>
    <row r="29" customFormat="false" ht="15" hidden="false" customHeight="true" outlineLevel="0" collapsed="false">
      <c r="A29" s="1" t="str">
        <f aca="false">Transactions!A29</f>
        <v>TXN501029</v>
      </c>
      <c r="B29" s="1" t="str">
        <f aca="false">Transactions!B29</f>
        <v>ACC1044</v>
      </c>
      <c r="C29" s="1" t="str">
        <f aca="false">Transactions!I29</f>
        <v>2026-01-02</v>
      </c>
      <c r="D29" s="1" t="n">
        <f aca="false">Transactions!J29</f>
        <v>15</v>
      </c>
      <c r="E29" s="1" t="n">
        <f aca="false">Transactions!D29</f>
        <v>115.83</v>
      </c>
      <c r="F29" s="1" t="str">
        <f aca="false">Transactions!H29</f>
        <v>ATM</v>
      </c>
      <c r="G29" s="1" t="str">
        <f aca="false">Transactions!G29</f>
        <v>Electronics</v>
      </c>
      <c r="H29" s="1" t="n">
        <f aca="false">IF(COUNTIFS($B$2:$B$1489,B29,$C$2:$C$1489,C29,$D$2:$D$1489,D29)&gt;6,1,0)</f>
        <v>0</v>
      </c>
      <c r="I29" s="1" t="n">
        <f aca="false">IF(AND(F29="Wire",E29&gt;=1000,MOD(E29,1000)=0),1,0)</f>
        <v>0</v>
      </c>
      <c r="J29" s="1" t="n">
        <f aca="false">IF(AND(F29="ATM",E29&gt;2000,D29&lt;=4),1,0)</f>
        <v>0</v>
      </c>
      <c r="K29" s="1" t="n">
        <f aca="false">IF(COUNTIF('SQL Findings'!$A$4:$A$18,B29)&gt;0,1,0)</f>
        <v>0</v>
      </c>
      <c r="L29" s="1" t="n">
        <f aca="false">SUM(H29:K29)</f>
        <v>0</v>
      </c>
      <c r="M29" s="1" t="str">
        <f aca="false">IF(L29&gt;=2,"High",IF(L29=1,"Medium","Low"))</f>
        <v>Low</v>
      </c>
    </row>
    <row r="30" customFormat="false" ht="15" hidden="false" customHeight="true" outlineLevel="0" collapsed="false">
      <c r="A30" s="1" t="str">
        <f aca="false">Transactions!A30</f>
        <v>TXN500148</v>
      </c>
      <c r="B30" s="1" t="str">
        <f aca="false">Transactions!B30</f>
        <v>ACC1006</v>
      </c>
      <c r="C30" s="1" t="str">
        <f aca="false">Transactions!I30</f>
        <v>2026-01-02</v>
      </c>
      <c r="D30" s="1" t="n">
        <f aca="false">Transactions!J30</f>
        <v>15</v>
      </c>
      <c r="E30" s="1" t="n">
        <f aca="false">Transactions!D30</f>
        <v>20.32</v>
      </c>
      <c r="F30" s="1" t="str">
        <f aca="false">Transactions!H30</f>
        <v>POS</v>
      </c>
      <c r="G30" s="1" t="str">
        <f aca="false">Transactions!G30</f>
        <v>Utilities</v>
      </c>
      <c r="H30" s="1" t="n">
        <f aca="false">IF(COUNTIFS($B$2:$B$1489,B30,$C$2:$C$1489,C30,$D$2:$D$1489,D30)&gt;6,1,0)</f>
        <v>0</v>
      </c>
      <c r="I30" s="1" t="n">
        <f aca="false">IF(AND(F30="Wire",E30&gt;=1000,MOD(E30,1000)=0),1,0)</f>
        <v>0</v>
      </c>
      <c r="J30" s="1" t="n">
        <f aca="false">IF(AND(F30="ATM",E30&gt;2000,D30&lt;=4),1,0)</f>
        <v>0</v>
      </c>
      <c r="K30" s="1" t="n">
        <f aca="false">IF(COUNTIF('SQL Findings'!$A$4:$A$18,B30)&gt;0,1,0)</f>
        <v>0</v>
      </c>
      <c r="L30" s="1" t="n">
        <f aca="false">SUM(H30:K30)</f>
        <v>0</v>
      </c>
      <c r="M30" s="1" t="str">
        <f aca="false">IF(L30&gt;=2,"High",IF(L30=1,"Medium","Low"))</f>
        <v>Low</v>
      </c>
    </row>
    <row r="31" customFormat="false" ht="15" hidden="false" customHeight="true" outlineLevel="0" collapsed="false">
      <c r="A31" s="1" t="str">
        <f aca="false">Transactions!A31</f>
        <v>TXN500665</v>
      </c>
      <c r="B31" s="1" t="str">
        <f aca="false">Transactions!B31</f>
        <v>ACC1028</v>
      </c>
      <c r="C31" s="1" t="str">
        <f aca="false">Transactions!I31</f>
        <v>2026-01-02</v>
      </c>
      <c r="D31" s="1" t="n">
        <f aca="false">Transactions!J31</f>
        <v>15</v>
      </c>
      <c r="E31" s="1" t="n">
        <f aca="false">Transactions!D31</f>
        <v>35.11</v>
      </c>
      <c r="F31" s="1" t="str">
        <f aca="false">Transactions!H31</f>
        <v>POS</v>
      </c>
      <c r="G31" s="1" t="str">
        <f aca="false">Transactions!G31</f>
        <v>Retail</v>
      </c>
      <c r="H31" s="1" t="n">
        <f aca="false">IF(COUNTIFS($B$2:$B$1489,B31,$C$2:$C$1489,C31,$D$2:$D$1489,D31)&gt;6,1,0)</f>
        <v>0</v>
      </c>
      <c r="I31" s="1" t="n">
        <f aca="false">IF(AND(F31="Wire",E31&gt;=1000,MOD(E31,1000)=0),1,0)</f>
        <v>0</v>
      </c>
      <c r="J31" s="1" t="n">
        <f aca="false">IF(AND(F31="ATM",E31&gt;2000,D31&lt;=4),1,0)</f>
        <v>0</v>
      </c>
      <c r="K31" s="1" t="n">
        <f aca="false">IF(COUNTIF('SQL Findings'!$A$4:$A$18,B31)&gt;0,1,0)</f>
        <v>0</v>
      </c>
      <c r="L31" s="1" t="n">
        <f aca="false">SUM(H31:K31)</f>
        <v>0</v>
      </c>
      <c r="M31" s="1" t="str">
        <f aca="false">IF(L31&gt;=2,"High",IF(L31=1,"Medium","Low"))</f>
        <v>Low</v>
      </c>
    </row>
    <row r="32" customFormat="false" ht="15" hidden="false" customHeight="true" outlineLevel="0" collapsed="false">
      <c r="A32" s="1" t="str">
        <f aca="false">Transactions!A32</f>
        <v>TXN500638</v>
      </c>
      <c r="B32" s="1" t="str">
        <f aca="false">Transactions!B32</f>
        <v>ACC1028</v>
      </c>
      <c r="C32" s="1" t="str">
        <f aca="false">Transactions!I32</f>
        <v>2026-01-02</v>
      </c>
      <c r="D32" s="1" t="n">
        <f aca="false">Transactions!J32</f>
        <v>15</v>
      </c>
      <c r="E32" s="1" t="n">
        <f aca="false">Transactions!D32</f>
        <v>71.24</v>
      </c>
      <c r="F32" s="1" t="str">
        <f aca="false">Transactions!H32</f>
        <v>Online</v>
      </c>
      <c r="G32" s="1" t="str">
        <f aca="false">Transactions!G32</f>
        <v>Electronics</v>
      </c>
      <c r="H32" s="1" t="n">
        <f aca="false">IF(COUNTIFS($B$2:$B$1489,B32,$C$2:$C$1489,C32,$D$2:$D$1489,D32)&gt;6,1,0)</f>
        <v>0</v>
      </c>
      <c r="I32" s="1" t="n">
        <f aca="false">IF(AND(F32="Wire",E32&gt;=1000,MOD(E32,1000)=0),1,0)</f>
        <v>0</v>
      </c>
      <c r="J32" s="1" t="n">
        <f aca="false">IF(AND(F32="ATM",E32&gt;2000,D32&lt;=4),1,0)</f>
        <v>0</v>
      </c>
      <c r="K32" s="1" t="n">
        <f aca="false">IF(COUNTIF('SQL Findings'!$A$4:$A$18,B32)&gt;0,1,0)</f>
        <v>0</v>
      </c>
      <c r="L32" s="1" t="n">
        <f aca="false">SUM(H32:K32)</f>
        <v>0</v>
      </c>
      <c r="M32" s="1" t="str">
        <f aca="false">IF(L32&gt;=2,"High",IF(L32=1,"Medium","Low"))</f>
        <v>Low</v>
      </c>
    </row>
    <row r="33" customFormat="false" ht="15" hidden="false" customHeight="true" outlineLevel="0" collapsed="false">
      <c r="A33" s="1" t="str">
        <f aca="false">Transactions!A33</f>
        <v>TXN500653</v>
      </c>
      <c r="B33" s="1" t="str">
        <f aca="false">Transactions!B33</f>
        <v>ACC1028</v>
      </c>
      <c r="C33" s="1" t="str">
        <f aca="false">Transactions!I33</f>
        <v>2026-01-02</v>
      </c>
      <c r="D33" s="1" t="n">
        <f aca="false">Transactions!J33</f>
        <v>23</v>
      </c>
      <c r="E33" s="1" t="n">
        <f aca="false">Transactions!D33</f>
        <v>52.35</v>
      </c>
      <c r="F33" s="1" t="str">
        <f aca="false">Transactions!H33</f>
        <v>POS</v>
      </c>
      <c r="G33" s="1" t="str">
        <f aca="false">Transactions!G33</f>
        <v>Cash Withdrawal</v>
      </c>
      <c r="H33" s="1" t="n">
        <f aca="false">IF(COUNTIFS($B$2:$B$1489,B33,$C$2:$C$1489,C33,$D$2:$D$1489,D33)&gt;6,1,0)</f>
        <v>0</v>
      </c>
      <c r="I33" s="1" t="n">
        <f aca="false">IF(AND(F33="Wire",E33&gt;=1000,MOD(E33,1000)=0),1,0)</f>
        <v>0</v>
      </c>
      <c r="J33" s="1" t="n">
        <f aca="false">IF(AND(F33="ATM",E33&gt;2000,D33&lt;=4),1,0)</f>
        <v>0</v>
      </c>
      <c r="K33" s="1" t="n">
        <f aca="false">IF(COUNTIF('SQL Findings'!$A$4:$A$18,B33)&gt;0,1,0)</f>
        <v>0</v>
      </c>
      <c r="L33" s="1" t="n">
        <f aca="false">SUM(H33:K33)</f>
        <v>0</v>
      </c>
      <c r="M33" s="1" t="str">
        <f aca="false">IF(L33&gt;=2,"High",IF(L33=1,"Medium","Low"))</f>
        <v>Low</v>
      </c>
    </row>
    <row r="34" customFormat="false" ht="15" hidden="false" customHeight="true" outlineLevel="0" collapsed="false">
      <c r="A34" s="1" t="str">
        <f aca="false">Transactions!A34</f>
        <v>TXN500409</v>
      </c>
      <c r="B34" s="1" t="str">
        <f aca="false">Transactions!B34</f>
        <v>ACC1017</v>
      </c>
      <c r="C34" s="1" t="str">
        <f aca="false">Transactions!I34</f>
        <v>2026-01-03</v>
      </c>
      <c r="D34" s="1" t="n">
        <f aca="false">Transactions!J34</f>
        <v>4</v>
      </c>
      <c r="E34" s="1" t="n">
        <f aca="false">Transactions!D34</f>
        <v>74.31</v>
      </c>
      <c r="F34" s="1" t="str">
        <f aca="false">Transactions!H34</f>
        <v>POS</v>
      </c>
      <c r="G34" s="1" t="str">
        <f aca="false">Transactions!G34</f>
        <v>Online Marketplace</v>
      </c>
      <c r="H34" s="1" t="n">
        <f aca="false">IF(COUNTIFS($B$2:$B$1489,B34,$C$2:$C$1489,C34,$D$2:$D$1489,D34)&gt;6,1,0)</f>
        <v>0</v>
      </c>
      <c r="I34" s="1" t="n">
        <f aca="false">IF(AND(F34="Wire",E34&gt;=1000,MOD(E34,1000)=0),1,0)</f>
        <v>0</v>
      </c>
      <c r="J34" s="1" t="n">
        <f aca="false">IF(AND(F34="ATM",E34&gt;2000,D34&lt;=4),1,0)</f>
        <v>0</v>
      </c>
      <c r="K34" s="1" t="n">
        <f aca="false">IF(COUNTIF('SQL Findings'!$A$4:$A$18,B34)&gt;0,1,0)</f>
        <v>0</v>
      </c>
      <c r="L34" s="1" t="n">
        <f aca="false">SUM(H34:K34)</f>
        <v>0</v>
      </c>
      <c r="M34" s="1" t="str">
        <f aca="false">IF(L34&gt;=2,"High",IF(L34=1,"Medium","Low"))</f>
        <v>Low</v>
      </c>
    </row>
    <row r="35" customFormat="false" ht="15" hidden="false" customHeight="true" outlineLevel="0" collapsed="false">
      <c r="A35" s="1" t="str">
        <f aca="false">Transactions!A35</f>
        <v>TXN500731</v>
      </c>
      <c r="B35" s="1" t="str">
        <f aca="false">Transactions!B35</f>
        <v>ACC1031</v>
      </c>
      <c r="C35" s="1" t="str">
        <f aca="false">Transactions!I35</f>
        <v>2026-01-03</v>
      </c>
      <c r="D35" s="1" t="n">
        <f aca="false">Transactions!J35</f>
        <v>6</v>
      </c>
      <c r="E35" s="1" t="n">
        <f aca="false">Transactions!D35</f>
        <v>79.54</v>
      </c>
      <c r="F35" s="1" t="str">
        <f aca="false">Transactions!H35</f>
        <v>POS</v>
      </c>
      <c r="G35" s="1" t="str">
        <f aca="false">Transactions!G35</f>
        <v>Travel</v>
      </c>
      <c r="H35" s="1" t="n">
        <f aca="false">IF(COUNTIFS($B$2:$B$1489,B35,$C$2:$C$1489,C35,$D$2:$D$1489,D35)&gt;6,1,0)</f>
        <v>0</v>
      </c>
      <c r="I35" s="1" t="n">
        <f aca="false">IF(AND(F35="Wire",E35&gt;=1000,MOD(E35,1000)=0),1,0)</f>
        <v>0</v>
      </c>
      <c r="J35" s="1" t="n">
        <f aca="false">IF(AND(F35="ATM",E35&gt;2000,D35&lt;=4),1,0)</f>
        <v>0</v>
      </c>
      <c r="K35" s="1" t="n">
        <f aca="false">IF(COUNTIF('SQL Findings'!$A$4:$A$18,B35)&gt;0,1,0)</f>
        <v>0</v>
      </c>
      <c r="L35" s="1" t="n">
        <f aca="false">SUM(H35:K35)</f>
        <v>0</v>
      </c>
      <c r="M35" s="1" t="str">
        <f aca="false">IF(L35&gt;=2,"High",IF(L35=1,"Medium","Low"))</f>
        <v>Low</v>
      </c>
    </row>
    <row r="36" customFormat="false" ht="15" hidden="false" customHeight="true" outlineLevel="0" collapsed="false">
      <c r="A36" s="1" t="str">
        <f aca="false">Transactions!A36</f>
        <v>TXN501190</v>
      </c>
      <c r="B36" s="1" t="str">
        <f aca="false">Transactions!B36</f>
        <v>ACC1052</v>
      </c>
      <c r="C36" s="1" t="str">
        <f aca="false">Transactions!I36</f>
        <v>2026-01-03</v>
      </c>
      <c r="D36" s="1" t="n">
        <f aca="false">Transactions!J36</f>
        <v>8</v>
      </c>
      <c r="E36" s="1" t="n">
        <f aca="false">Transactions!D36</f>
        <v>27.9</v>
      </c>
      <c r="F36" s="1" t="str">
        <f aca="false">Transactions!H36</f>
        <v>POS</v>
      </c>
      <c r="G36" s="1" t="str">
        <f aca="false">Transactions!G36</f>
        <v>Wire Transfer</v>
      </c>
      <c r="H36" s="1" t="n">
        <f aca="false">IF(COUNTIFS($B$2:$B$1489,B36,$C$2:$C$1489,C36,$D$2:$D$1489,D36)&gt;6,1,0)</f>
        <v>0</v>
      </c>
      <c r="I36" s="1" t="n">
        <f aca="false">IF(AND(F36="Wire",E36&gt;=1000,MOD(E36,1000)=0),1,0)</f>
        <v>0</v>
      </c>
      <c r="J36" s="1" t="n">
        <f aca="false">IF(AND(F36="ATM",E36&gt;2000,D36&lt;=4),1,0)</f>
        <v>0</v>
      </c>
      <c r="K36" s="1" t="n">
        <f aca="false">IF(COUNTIF('SQL Findings'!$A$4:$A$18,B36)&gt;0,1,0)</f>
        <v>0</v>
      </c>
      <c r="L36" s="1" t="n">
        <f aca="false">SUM(H36:K36)</f>
        <v>0</v>
      </c>
      <c r="M36" s="1" t="str">
        <f aca="false">IF(L36&gt;=2,"High",IF(L36=1,"Medium","Low"))</f>
        <v>Low</v>
      </c>
    </row>
    <row r="37" customFormat="false" ht="15" hidden="false" customHeight="true" outlineLevel="0" collapsed="false">
      <c r="A37" s="1" t="str">
        <f aca="false">Transactions!A37</f>
        <v>TXN500350</v>
      </c>
      <c r="B37" s="1" t="str">
        <f aca="false">Transactions!B37</f>
        <v>ACC1015</v>
      </c>
      <c r="C37" s="1" t="str">
        <f aca="false">Transactions!I37</f>
        <v>2026-01-03</v>
      </c>
      <c r="D37" s="1" t="n">
        <f aca="false">Transactions!J37</f>
        <v>9</v>
      </c>
      <c r="E37" s="1" t="n">
        <f aca="false">Transactions!D37</f>
        <v>55.03</v>
      </c>
      <c r="F37" s="1" t="str">
        <f aca="false">Transactions!H37</f>
        <v>POS</v>
      </c>
      <c r="G37" s="1" t="str">
        <f aca="false">Transactions!G37</f>
        <v>Cash Withdrawal</v>
      </c>
      <c r="H37" s="1" t="n">
        <f aca="false">IF(COUNTIFS($B$2:$B$1489,B37,$C$2:$C$1489,C37,$D$2:$D$1489,D37)&gt;6,1,0)</f>
        <v>0</v>
      </c>
      <c r="I37" s="1" t="n">
        <f aca="false">IF(AND(F37="Wire",E37&gt;=1000,MOD(E37,1000)=0),1,0)</f>
        <v>0</v>
      </c>
      <c r="J37" s="1" t="n">
        <f aca="false">IF(AND(F37="ATM",E37&gt;2000,D37&lt;=4),1,0)</f>
        <v>0</v>
      </c>
      <c r="K37" s="1" t="n">
        <f aca="false">IF(COUNTIF('SQL Findings'!$A$4:$A$18,B37)&gt;0,1,0)</f>
        <v>1</v>
      </c>
      <c r="L37" s="1" t="n">
        <f aca="false">SUM(H37:K37)</f>
        <v>1</v>
      </c>
      <c r="M37" s="1" t="str">
        <f aca="false">IF(L37&gt;=2,"High",IF(L37=1,"Medium","Low"))</f>
        <v>Medium</v>
      </c>
    </row>
    <row r="38" customFormat="false" ht="15" hidden="false" customHeight="true" outlineLevel="0" collapsed="false">
      <c r="A38" s="1" t="str">
        <f aca="false">Transactions!A38</f>
        <v>TXN500749</v>
      </c>
      <c r="B38" s="1" t="str">
        <f aca="false">Transactions!B38</f>
        <v>ACC1032</v>
      </c>
      <c r="C38" s="1" t="str">
        <f aca="false">Transactions!I38</f>
        <v>2026-01-03</v>
      </c>
      <c r="D38" s="1" t="n">
        <f aca="false">Transactions!J38</f>
        <v>9</v>
      </c>
      <c r="E38" s="1" t="n">
        <f aca="false">Transactions!D38</f>
        <v>38.46</v>
      </c>
      <c r="F38" s="1" t="str">
        <f aca="false">Transactions!H38</f>
        <v>Online</v>
      </c>
      <c r="G38" s="1" t="str">
        <f aca="false">Transactions!G38</f>
        <v>Electronics</v>
      </c>
      <c r="H38" s="1" t="n">
        <f aca="false">IF(COUNTIFS($B$2:$B$1489,B38,$C$2:$C$1489,C38,$D$2:$D$1489,D38)&gt;6,1,0)</f>
        <v>0</v>
      </c>
      <c r="I38" s="1" t="n">
        <f aca="false">IF(AND(F38="Wire",E38&gt;=1000,MOD(E38,1000)=0),1,0)</f>
        <v>0</v>
      </c>
      <c r="J38" s="1" t="n">
        <f aca="false">IF(AND(F38="ATM",E38&gt;2000,D38&lt;=4),1,0)</f>
        <v>0</v>
      </c>
      <c r="K38" s="1" t="n">
        <f aca="false">IF(COUNTIF('SQL Findings'!$A$4:$A$18,B38)&gt;0,1,0)</f>
        <v>0</v>
      </c>
      <c r="L38" s="1" t="n">
        <f aca="false">SUM(H38:K38)</f>
        <v>0</v>
      </c>
      <c r="M38" s="1" t="str">
        <f aca="false">IF(L38&gt;=2,"High",IF(L38=1,"Medium","Low"))</f>
        <v>Low</v>
      </c>
    </row>
    <row r="39" customFormat="false" ht="15" hidden="false" customHeight="true" outlineLevel="0" collapsed="false">
      <c r="A39" s="1" t="str">
        <f aca="false">Transactions!A39</f>
        <v>TXN501068</v>
      </c>
      <c r="B39" s="1" t="str">
        <f aca="false">Transactions!B39</f>
        <v>ACC1046</v>
      </c>
      <c r="C39" s="1" t="str">
        <f aca="false">Transactions!I39</f>
        <v>2026-01-03</v>
      </c>
      <c r="D39" s="1" t="n">
        <f aca="false">Transactions!J39</f>
        <v>10</v>
      </c>
      <c r="E39" s="1" t="n">
        <f aca="false">Transactions!D39</f>
        <v>189.57</v>
      </c>
      <c r="F39" s="1" t="str">
        <f aca="false">Transactions!H39</f>
        <v>ATM</v>
      </c>
      <c r="G39" s="1" t="str">
        <f aca="false">Transactions!G39</f>
        <v>Dining</v>
      </c>
      <c r="H39" s="1" t="n">
        <f aca="false">IF(COUNTIFS($B$2:$B$1489,B39,$C$2:$C$1489,C39,$D$2:$D$1489,D39)&gt;6,1,0)</f>
        <v>0</v>
      </c>
      <c r="I39" s="1" t="n">
        <f aca="false">IF(AND(F39="Wire",E39&gt;=1000,MOD(E39,1000)=0),1,0)</f>
        <v>0</v>
      </c>
      <c r="J39" s="1" t="n">
        <f aca="false">IF(AND(F39="ATM",E39&gt;2000,D39&lt;=4),1,0)</f>
        <v>0</v>
      </c>
      <c r="K39" s="1" t="n">
        <f aca="false">IF(COUNTIF('SQL Findings'!$A$4:$A$18,B39)&gt;0,1,0)</f>
        <v>0</v>
      </c>
      <c r="L39" s="1" t="n">
        <f aca="false">SUM(H39:K39)</f>
        <v>0</v>
      </c>
      <c r="M39" s="1" t="str">
        <f aca="false">IF(L39&gt;=2,"High",IF(L39=1,"Medium","Low"))</f>
        <v>Low</v>
      </c>
    </row>
    <row r="40" customFormat="false" ht="15" hidden="false" customHeight="true" outlineLevel="0" collapsed="false">
      <c r="A40" s="1" t="str">
        <f aca="false">Transactions!A40</f>
        <v>TXN500429</v>
      </c>
      <c r="B40" s="1" t="str">
        <f aca="false">Transactions!B40</f>
        <v>ACC1019</v>
      </c>
      <c r="C40" s="1" t="str">
        <f aca="false">Transactions!I40</f>
        <v>2026-01-03</v>
      </c>
      <c r="D40" s="1" t="n">
        <f aca="false">Transactions!J40</f>
        <v>11</v>
      </c>
      <c r="E40" s="1" t="n">
        <f aca="false">Transactions!D40</f>
        <v>172.88</v>
      </c>
      <c r="F40" s="1" t="str">
        <f aca="false">Transactions!H40</f>
        <v>Online</v>
      </c>
      <c r="G40" s="1" t="str">
        <f aca="false">Transactions!G40</f>
        <v>Travel</v>
      </c>
      <c r="H40" s="1" t="n">
        <f aca="false">IF(COUNTIFS($B$2:$B$1489,B40,$C$2:$C$1489,C40,$D$2:$D$1489,D40)&gt;6,1,0)</f>
        <v>0</v>
      </c>
      <c r="I40" s="1" t="n">
        <f aca="false">IF(AND(F40="Wire",E40&gt;=1000,MOD(E40,1000)=0),1,0)</f>
        <v>0</v>
      </c>
      <c r="J40" s="1" t="n">
        <f aca="false">IF(AND(F40="ATM",E40&gt;2000,D40&lt;=4),1,0)</f>
        <v>0</v>
      </c>
      <c r="K40" s="1" t="n">
        <f aca="false">IF(COUNTIF('SQL Findings'!$A$4:$A$18,B40)&gt;0,1,0)</f>
        <v>0</v>
      </c>
      <c r="L40" s="1" t="n">
        <f aca="false">SUM(H40:K40)</f>
        <v>0</v>
      </c>
      <c r="M40" s="1" t="str">
        <f aca="false">IF(L40&gt;=2,"High",IF(L40=1,"Medium","Low"))</f>
        <v>Low</v>
      </c>
    </row>
    <row r="41" customFormat="false" ht="15" hidden="false" customHeight="true" outlineLevel="0" collapsed="false">
      <c r="A41" s="1" t="str">
        <f aca="false">Transactions!A41</f>
        <v>TXN500526</v>
      </c>
      <c r="B41" s="1" t="str">
        <f aca="false">Transactions!B41</f>
        <v>ACC1023</v>
      </c>
      <c r="C41" s="1" t="str">
        <f aca="false">Transactions!I41</f>
        <v>2026-01-03</v>
      </c>
      <c r="D41" s="1" t="n">
        <f aca="false">Transactions!J41</f>
        <v>12</v>
      </c>
      <c r="E41" s="1" t="n">
        <f aca="false">Transactions!D41</f>
        <v>13.14</v>
      </c>
      <c r="F41" s="1" t="str">
        <f aca="false">Transactions!H41</f>
        <v>POS</v>
      </c>
      <c r="G41" s="1" t="str">
        <f aca="false">Transactions!G41</f>
        <v>Utilities</v>
      </c>
      <c r="H41" s="1" t="n">
        <f aca="false">IF(COUNTIFS($B$2:$B$1489,B41,$C$2:$C$1489,C41,$D$2:$D$1489,D41)&gt;6,1,0)</f>
        <v>0</v>
      </c>
      <c r="I41" s="1" t="n">
        <f aca="false">IF(AND(F41="Wire",E41&gt;=1000,MOD(E41,1000)=0),1,0)</f>
        <v>0</v>
      </c>
      <c r="J41" s="1" t="n">
        <f aca="false">IF(AND(F41="ATM",E41&gt;2000,D41&lt;=4),1,0)</f>
        <v>0</v>
      </c>
      <c r="K41" s="1" t="n">
        <f aca="false">IF(COUNTIF('SQL Findings'!$A$4:$A$18,B41)&gt;0,1,0)</f>
        <v>0</v>
      </c>
      <c r="L41" s="1" t="n">
        <f aca="false">SUM(H41:K41)</f>
        <v>0</v>
      </c>
      <c r="M41" s="1" t="str">
        <f aca="false">IF(L41&gt;=2,"High",IF(L41=1,"Medium","Low"))</f>
        <v>Low</v>
      </c>
    </row>
    <row r="42" customFormat="false" ht="15" hidden="false" customHeight="true" outlineLevel="0" collapsed="false">
      <c r="A42" s="1" t="str">
        <f aca="false">Transactions!A42</f>
        <v>TXN500656</v>
      </c>
      <c r="B42" s="1" t="str">
        <f aca="false">Transactions!B42</f>
        <v>ACC1028</v>
      </c>
      <c r="C42" s="1" t="str">
        <f aca="false">Transactions!I42</f>
        <v>2026-01-03</v>
      </c>
      <c r="D42" s="1" t="n">
        <f aca="false">Transactions!J42</f>
        <v>13</v>
      </c>
      <c r="E42" s="1" t="n">
        <f aca="false">Transactions!D42</f>
        <v>70.34</v>
      </c>
      <c r="F42" s="1" t="str">
        <f aca="false">Transactions!H42</f>
        <v>POS</v>
      </c>
      <c r="G42" s="1" t="str">
        <f aca="false">Transactions!G42</f>
        <v>Utilities</v>
      </c>
      <c r="H42" s="1" t="n">
        <f aca="false">IF(COUNTIFS($B$2:$B$1489,B42,$C$2:$C$1489,C42,$D$2:$D$1489,D42)&gt;6,1,0)</f>
        <v>0</v>
      </c>
      <c r="I42" s="1" t="n">
        <f aca="false">IF(AND(F42="Wire",E42&gt;=1000,MOD(E42,1000)=0),1,0)</f>
        <v>0</v>
      </c>
      <c r="J42" s="1" t="n">
        <f aca="false">IF(AND(F42="ATM",E42&gt;2000,D42&lt;=4),1,0)</f>
        <v>0</v>
      </c>
      <c r="K42" s="1" t="n">
        <f aca="false">IF(COUNTIF('SQL Findings'!$A$4:$A$18,B42)&gt;0,1,0)</f>
        <v>0</v>
      </c>
      <c r="L42" s="1" t="n">
        <f aca="false">SUM(H42:K42)</f>
        <v>0</v>
      </c>
      <c r="M42" s="1" t="str">
        <f aca="false">IF(L42&gt;=2,"High",IF(L42=1,"Medium","Low"))</f>
        <v>Low</v>
      </c>
    </row>
    <row r="43" customFormat="false" ht="15" hidden="false" customHeight="true" outlineLevel="0" collapsed="false">
      <c r="A43" s="1" t="str">
        <f aca="false">Transactions!A43</f>
        <v>TXN500839</v>
      </c>
      <c r="B43" s="1" t="str">
        <f aca="false">Transactions!B43</f>
        <v>ACC1035</v>
      </c>
      <c r="C43" s="1" t="str">
        <f aca="false">Transactions!I43</f>
        <v>2026-01-03</v>
      </c>
      <c r="D43" s="1" t="n">
        <f aca="false">Transactions!J43</f>
        <v>13</v>
      </c>
      <c r="E43" s="1" t="n">
        <f aca="false">Transactions!D43</f>
        <v>161.72</v>
      </c>
      <c r="F43" s="1" t="str">
        <f aca="false">Transactions!H43</f>
        <v>Online</v>
      </c>
      <c r="G43" s="1" t="str">
        <f aca="false">Transactions!G43</f>
        <v>Electronics</v>
      </c>
      <c r="H43" s="1" t="n">
        <f aca="false">IF(COUNTIFS($B$2:$B$1489,B43,$C$2:$C$1489,C43,$D$2:$D$1489,D43)&gt;6,1,0)</f>
        <v>0</v>
      </c>
      <c r="I43" s="1" t="n">
        <f aca="false">IF(AND(F43="Wire",E43&gt;=1000,MOD(E43,1000)=0),1,0)</f>
        <v>0</v>
      </c>
      <c r="J43" s="1" t="n">
        <f aca="false">IF(AND(F43="ATM",E43&gt;2000,D43&lt;=4),1,0)</f>
        <v>0</v>
      </c>
      <c r="K43" s="1" t="n">
        <f aca="false">IF(COUNTIF('SQL Findings'!$A$4:$A$18,B43)&gt;0,1,0)</f>
        <v>0</v>
      </c>
      <c r="L43" s="1" t="n">
        <f aca="false">SUM(H43:K43)</f>
        <v>0</v>
      </c>
      <c r="M43" s="1" t="str">
        <f aca="false">IF(L43&gt;=2,"High",IF(L43=1,"Medium","Low"))</f>
        <v>Low</v>
      </c>
    </row>
    <row r="44" customFormat="false" ht="15" hidden="false" customHeight="true" outlineLevel="0" collapsed="false">
      <c r="A44" s="1" t="str">
        <f aca="false">Transactions!A44</f>
        <v>TXN500093</v>
      </c>
      <c r="B44" s="1" t="str">
        <f aca="false">Transactions!B44</f>
        <v>ACC1004</v>
      </c>
      <c r="C44" s="1" t="str">
        <f aca="false">Transactions!I44</f>
        <v>2026-01-04</v>
      </c>
      <c r="D44" s="1" t="n">
        <f aca="false">Transactions!J44</f>
        <v>2</v>
      </c>
      <c r="E44" s="1" t="n">
        <f aca="false">Transactions!D44</f>
        <v>35.45</v>
      </c>
      <c r="F44" s="1" t="str">
        <f aca="false">Transactions!H44</f>
        <v>Online</v>
      </c>
      <c r="G44" s="1" t="str">
        <f aca="false">Transactions!G44</f>
        <v>Electronics</v>
      </c>
      <c r="H44" s="1" t="n">
        <f aca="false">IF(COUNTIFS($B$2:$B$1489,B44,$C$2:$C$1489,C44,$D$2:$D$1489,D44)&gt;6,1,0)</f>
        <v>0</v>
      </c>
      <c r="I44" s="1" t="n">
        <f aca="false">IF(AND(F44="Wire",E44&gt;=1000,MOD(E44,1000)=0),1,0)</f>
        <v>0</v>
      </c>
      <c r="J44" s="1" t="n">
        <f aca="false">IF(AND(F44="ATM",E44&gt;2000,D44&lt;=4),1,0)</f>
        <v>0</v>
      </c>
      <c r="K44" s="1" t="n">
        <f aca="false">IF(COUNTIF('SQL Findings'!$A$4:$A$18,B44)&gt;0,1,0)</f>
        <v>1</v>
      </c>
      <c r="L44" s="1" t="n">
        <f aca="false">SUM(H44:K44)</f>
        <v>1</v>
      </c>
      <c r="M44" s="1" t="str">
        <f aca="false">IF(L44&gt;=2,"High",IF(L44=1,"Medium","Low"))</f>
        <v>Medium</v>
      </c>
    </row>
    <row r="45" customFormat="false" ht="15" hidden="false" customHeight="true" outlineLevel="0" collapsed="false">
      <c r="A45" s="1" t="str">
        <f aca="false">Transactions!A45</f>
        <v>TXN501318</v>
      </c>
      <c r="B45" s="1" t="str">
        <f aca="false">Transactions!B45</f>
        <v>ACC1057</v>
      </c>
      <c r="C45" s="1" t="str">
        <f aca="false">Transactions!I45</f>
        <v>2026-01-04</v>
      </c>
      <c r="D45" s="1" t="n">
        <f aca="false">Transactions!J45</f>
        <v>7</v>
      </c>
      <c r="E45" s="1" t="n">
        <f aca="false">Transactions!D45</f>
        <v>50.67</v>
      </c>
      <c r="F45" s="1" t="str">
        <f aca="false">Transactions!H45</f>
        <v>ATM</v>
      </c>
      <c r="G45" s="1" t="str">
        <f aca="false">Transactions!G45</f>
        <v>Wire Transfer</v>
      </c>
      <c r="H45" s="1" t="n">
        <f aca="false">IF(COUNTIFS($B$2:$B$1489,B45,$C$2:$C$1489,C45,$D$2:$D$1489,D45)&gt;6,1,0)</f>
        <v>0</v>
      </c>
      <c r="I45" s="1" t="n">
        <f aca="false">IF(AND(F45="Wire",E45&gt;=1000,MOD(E45,1000)=0),1,0)</f>
        <v>0</v>
      </c>
      <c r="J45" s="1" t="n">
        <f aca="false">IF(AND(F45="ATM",E45&gt;2000,D45&lt;=4),1,0)</f>
        <v>0</v>
      </c>
      <c r="K45" s="1" t="n">
        <f aca="false">IF(COUNTIF('SQL Findings'!$A$4:$A$18,B45)&gt;0,1,0)</f>
        <v>1</v>
      </c>
      <c r="L45" s="1" t="n">
        <f aca="false">SUM(H45:K45)</f>
        <v>1</v>
      </c>
      <c r="M45" s="1" t="str">
        <f aca="false">IF(L45&gt;=2,"High",IF(L45=1,"Medium","Low"))</f>
        <v>Medium</v>
      </c>
    </row>
    <row r="46" customFormat="false" ht="15" hidden="false" customHeight="true" outlineLevel="0" collapsed="false">
      <c r="A46" s="1" t="str">
        <f aca="false">Transactions!A46</f>
        <v>TXN500335</v>
      </c>
      <c r="B46" s="1" t="str">
        <f aca="false">Transactions!B46</f>
        <v>ACC1014</v>
      </c>
      <c r="C46" s="1" t="str">
        <f aca="false">Transactions!I46</f>
        <v>2026-01-04</v>
      </c>
      <c r="D46" s="1" t="n">
        <f aca="false">Transactions!J46</f>
        <v>10</v>
      </c>
      <c r="E46" s="1" t="n">
        <f aca="false">Transactions!D46</f>
        <v>160.39</v>
      </c>
      <c r="F46" s="1" t="str">
        <f aca="false">Transactions!H46</f>
        <v>POS</v>
      </c>
      <c r="G46" s="1" t="str">
        <f aca="false">Transactions!G46</f>
        <v>Cash Withdrawal</v>
      </c>
      <c r="H46" s="1" t="n">
        <f aca="false">IF(COUNTIFS($B$2:$B$1489,B46,$C$2:$C$1489,C46,$D$2:$D$1489,D46)&gt;6,1,0)</f>
        <v>0</v>
      </c>
      <c r="I46" s="1" t="n">
        <f aca="false">IF(AND(F46="Wire",E46&gt;=1000,MOD(E46,1000)=0),1,0)</f>
        <v>0</v>
      </c>
      <c r="J46" s="1" t="n">
        <f aca="false">IF(AND(F46="ATM",E46&gt;2000,D46&lt;=4),1,0)</f>
        <v>0</v>
      </c>
      <c r="K46" s="1" t="n">
        <f aca="false">IF(COUNTIF('SQL Findings'!$A$4:$A$18,B46)&gt;0,1,0)</f>
        <v>1</v>
      </c>
      <c r="L46" s="1" t="n">
        <f aca="false">SUM(H46:K46)</f>
        <v>1</v>
      </c>
      <c r="M46" s="1" t="str">
        <f aca="false">IF(L46&gt;=2,"High",IF(L46=1,"Medium","Low"))</f>
        <v>Medium</v>
      </c>
    </row>
    <row r="47" customFormat="false" ht="15" hidden="false" customHeight="true" outlineLevel="0" collapsed="false">
      <c r="A47" s="1" t="str">
        <f aca="false">Transactions!A47</f>
        <v>TXN500752</v>
      </c>
      <c r="B47" s="1" t="str">
        <f aca="false">Transactions!B47</f>
        <v>ACC1032</v>
      </c>
      <c r="C47" s="1" t="str">
        <f aca="false">Transactions!I47</f>
        <v>2026-01-04</v>
      </c>
      <c r="D47" s="1" t="n">
        <f aca="false">Transactions!J47</f>
        <v>10</v>
      </c>
      <c r="E47" s="1" t="n">
        <f aca="false">Transactions!D47</f>
        <v>19.76</v>
      </c>
      <c r="F47" s="1" t="str">
        <f aca="false">Transactions!H47</f>
        <v>ATM</v>
      </c>
      <c r="G47" s="1" t="str">
        <f aca="false">Transactions!G47</f>
        <v>Travel</v>
      </c>
      <c r="H47" s="1" t="n">
        <f aca="false">IF(COUNTIFS($B$2:$B$1489,B47,$C$2:$C$1489,C47,$D$2:$D$1489,D47)&gt;6,1,0)</f>
        <v>0</v>
      </c>
      <c r="I47" s="1" t="n">
        <f aca="false">IF(AND(F47="Wire",E47&gt;=1000,MOD(E47,1000)=0),1,0)</f>
        <v>0</v>
      </c>
      <c r="J47" s="1" t="n">
        <f aca="false">IF(AND(F47="ATM",E47&gt;2000,D47&lt;=4),1,0)</f>
        <v>0</v>
      </c>
      <c r="K47" s="1" t="n">
        <f aca="false">IF(COUNTIF('SQL Findings'!$A$4:$A$18,B47)&gt;0,1,0)</f>
        <v>0</v>
      </c>
      <c r="L47" s="1" t="n">
        <f aca="false">SUM(H47:K47)</f>
        <v>0</v>
      </c>
      <c r="M47" s="1" t="str">
        <f aca="false">IF(L47&gt;=2,"High",IF(L47=1,"Medium","Low"))</f>
        <v>Low</v>
      </c>
    </row>
    <row r="48" customFormat="false" ht="15" hidden="false" customHeight="true" outlineLevel="0" collapsed="false">
      <c r="A48" s="1" t="str">
        <f aca="false">Transactions!A48</f>
        <v>TXN501037</v>
      </c>
      <c r="B48" s="1" t="str">
        <f aca="false">Transactions!B48</f>
        <v>ACC1045</v>
      </c>
      <c r="C48" s="1" t="str">
        <f aca="false">Transactions!I48</f>
        <v>2026-01-04</v>
      </c>
      <c r="D48" s="1" t="n">
        <f aca="false">Transactions!J48</f>
        <v>11</v>
      </c>
      <c r="E48" s="1" t="n">
        <f aca="false">Transactions!D48</f>
        <v>22.13</v>
      </c>
      <c r="F48" s="1" t="str">
        <f aca="false">Transactions!H48</f>
        <v>Online</v>
      </c>
      <c r="G48" s="1" t="str">
        <f aca="false">Transactions!G48</f>
        <v>Electronics</v>
      </c>
      <c r="H48" s="1" t="n">
        <f aca="false">IF(COUNTIFS($B$2:$B$1489,B48,$C$2:$C$1489,C48,$D$2:$D$1489,D48)&gt;6,1,0)</f>
        <v>0</v>
      </c>
      <c r="I48" s="1" t="n">
        <f aca="false">IF(AND(F48="Wire",E48&gt;=1000,MOD(E48,1000)=0),1,0)</f>
        <v>0</v>
      </c>
      <c r="J48" s="1" t="n">
        <f aca="false">IF(AND(F48="ATM",E48&gt;2000,D48&lt;=4),1,0)</f>
        <v>0</v>
      </c>
      <c r="K48" s="1" t="n">
        <f aca="false">IF(COUNTIF('SQL Findings'!$A$4:$A$18,B48)&gt;0,1,0)</f>
        <v>0</v>
      </c>
      <c r="L48" s="1" t="n">
        <f aca="false">SUM(H48:K48)</f>
        <v>0</v>
      </c>
      <c r="M48" s="1" t="str">
        <f aca="false">IF(L48&gt;=2,"High",IF(L48=1,"Medium","Low"))</f>
        <v>Low</v>
      </c>
    </row>
    <row r="49" customFormat="false" ht="15" hidden="false" customHeight="true" outlineLevel="0" collapsed="false">
      <c r="A49" s="1" t="str">
        <f aca="false">Transactions!A49</f>
        <v>TXN500581</v>
      </c>
      <c r="B49" s="1" t="str">
        <f aca="false">Transactions!B49</f>
        <v>ACC1025</v>
      </c>
      <c r="C49" s="1" t="str">
        <f aca="false">Transactions!I49</f>
        <v>2026-01-04</v>
      </c>
      <c r="D49" s="1" t="n">
        <f aca="false">Transactions!J49</f>
        <v>11</v>
      </c>
      <c r="E49" s="1" t="n">
        <f aca="false">Transactions!D49</f>
        <v>90.44</v>
      </c>
      <c r="F49" s="1" t="str">
        <f aca="false">Transactions!H49</f>
        <v>POS</v>
      </c>
      <c r="G49" s="1" t="str">
        <f aca="false">Transactions!G49</f>
        <v>Wire Transfer</v>
      </c>
      <c r="H49" s="1" t="n">
        <f aca="false">IF(COUNTIFS($B$2:$B$1489,B49,$C$2:$C$1489,C49,$D$2:$D$1489,D49)&gt;6,1,0)</f>
        <v>0</v>
      </c>
      <c r="I49" s="1" t="n">
        <f aca="false">IF(AND(F49="Wire",E49&gt;=1000,MOD(E49,1000)=0),1,0)</f>
        <v>0</v>
      </c>
      <c r="J49" s="1" t="n">
        <f aca="false">IF(AND(F49="ATM",E49&gt;2000,D49&lt;=4),1,0)</f>
        <v>0</v>
      </c>
      <c r="K49" s="1" t="n">
        <f aca="false">IF(COUNTIF('SQL Findings'!$A$4:$A$18,B49)&gt;0,1,0)</f>
        <v>0</v>
      </c>
      <c r="L49" s="1" t="n">
        <f aca="false">SUM(H49:K49)</f>
        <v>0</v>
      </c>
      <c r="M49" s="1" t="str">
        <f aca="false">IF(L49&gt;=2,"High",IF(L49=1,"Medium","Low"))</f>
        <v>Low</v>
      </c>
    </row>
    <row r="50" customFormat="false" ht="15" hidden="false" customHeight="true" outlineLevel="0" collapsed="false">
      <c r="A50" s="1" t="str">
        <f aca="false">Transactions!A50</f>
        <v>TXN501364</v>
      </c>
      <c r="B50" s="1" t="str">
        <f aca="false">Transactions!B50</f>
        <v>ACC1059</v>
      </c>
      <c r="C50" s="1" t="str">
        <f aca="false">Transactions!I50</f>
        <v>2026-01-04</v>
      </c>
      <c r="D50" s="1" t="n">
        <f aca="false">Transactions!J50</f>
        <v>13</v>
      </c>
      <c r="E50" s="1" t="n">
        <f aca="false">Transactions!D50</f>
        <v>27.78</v>
      </c>
      <c r="F50" s="1" t="str">
        <f aca="false">Transactions!H50</f>
        <v>ATM</v>
      </c>
      <c r="G50" s="1" t="str">
        <f aca="false">Transactions!G50</f>
        <v>Dining</v>
      </c>
      <c r="H50" s="1" t="n">
        <f aca="false">IF(COUNTIFS($B$2:$B$1489,B50,$C$2:$C$1489,C50,$D$2:$D$1489,D50)&gt;6,1,0)</f>
        <v>0</v>
      </c>
      <c r="I50" s="1" t="n">
        <f aca="false">IF(AND(F50="Wire",E50&gt;=1000,MOD(E50,1000)=0),1,0)</f>
        <v>0</v>
      </c>
      <c r="J50" s="1" t="n">
        <f aca="false">IF(AND(F50="ATM",E50&gt;2000,D50&lt;=4),1,0)</f>
        <v>0</v>
      </c>
      <c r="K50" s="1" t="n">
        <f aca="false">IF(COUNTIF('SQL Findings'!$A$4:$A$18,B50)&gt;0,1,0)</f>
        <v>0</v>
      </c>
      <c r="L50" s="1" t="n">
        <f aca="false">SUM(H50:K50)</f>
        <v>0</v>
      </c>
      <c r="M50" s="1" t="str">
        <f aca="false">IF(L50&gt;=2,"High",IF(L50=1,"Medium","Low"))</f>
        <v>Low</v>
      </c>
    </row>
    <row r="51" customFormat="false" ht="15" hidden="false" customHeight="true" outlineLevel="0" collapsed="false">
      <c r="A51" s="1" t="str">
        <f aca="false">Transactions!A51</f>
        <v>TXN500811</v>
      </c>
      <c r="B51" s="1" t="str">
        <f aca="false">Transactions!B51</f>
        <v>ACC1034</v>
      </c>
      <c r="C51" s="1" t="str">
        <f aca="false">Transactions!I51</f>
        <v>2026-01-04</v>
      </c>
      <c r="D51" s="1" t="n">
        <f aca="false">Transactions!J51</f>
        <v>14</v>
      </c>
      <c r="E51" s="1" t="n">
        <f aca="false">Transactions!D51</f>
        <v>56.36</v>
      </c>
      <c r="F51" s="1" t="str">
        <f aca="false">Transactions!H51</f>
        <v>Online</v>
      </c>
      <c r="G51" s="1" t="str">
        <f aca="false">Transactions!G51</f>
        <v>Utilities</v>
      </c>
      <c r="H51" s="1" t="n">
        <f aca="false">IF(COUNTIFS($B$2:$B$1489,B51,$C$2:$C$1489,C51,$D$2:$D$1489,D51)&gt;6,1,0)</f>
        <v>0</v>
      </c>
      <c r="I51" s="1" t="n">
        <f aca="false">IF(AND(F51="Wire",E51&gt;=1000,MOD(E51,1000)=0),1,0)</f>
        <v>0</v>
      </c>
      <c r="J51" s="1" t="n">
        <f aca="false">IF(AND(F51="ATM",E51&gt;2000,D51&lt;=4),1,0)</f>
        <v>0</v>
      </c>
      <c r="K51" s="1" t="n">
        <f aca="false">IF(COUNTIF('SQL Findings'!$A$4:$A$18,B51)&gt;0,1,0)</f>
        <v>0</v>
      </c>
      <c r="L51" s="1" t="n">
        <f aca="false">SUM(H51:K51)</f>
        <v>0</v>
      </c>
      <c r="M51" s="1" t="str">
        <f aca="false">IF(L51&gt;=2,"High",IF(L51=1,"Medium","Low"))</f>
        <v>Low</v>
      </c>
    </row>
    <row r="52" customFormat="false" ht="15" hidden="false" customHeight="true" outlineLevel="0" collapsed="false">
      <c r="A52" s="1" t="str">
        <f aca="false">Transactions!A52</f>
        <v>TXN500075</v>
      </c>
      <c r="B52" s="1" t="str">
        <f aca="false">Transactions!B52</f>
        <v>ACC1003</v>
      </c>
      <c r="C52" s="1" t="str">
        <f aca="false">Transactions!I52</f>
        <v>2026-01-04</v>
      </c>
      <c r="D52" s="1" t="n">
        <f aca="false">Transactions!J52</f>
        <v>14</v>
      </c>
      <c r="E52" s="1" t="n">
        <f aca="false">Transactions!D52</f>
        <v>6.31</v>
      </c>
      <c r="F52" s="1" t="str">
        <f aca="false">Transactions!H52</f>
        <v>Online</v>
      </c>
      <c r="G52" s="1" t="str">
        <f aca="false">Transactions!G52</f>
        <v>Cash Withdrawal</v>
      </c>
      <c r="H52" s="1" t="n">
        <f aca="false">IF(COUNTIFS($B$2:$B$1489,B52,$C$2:$C$1489,C52,$D$2:$D$1489,D52)&gt;6,1,0)</f>
        <v>0</v>
      </c>
      <c r="I52" s="1" t="n">
        <f aca="false">IF(AND(F52="Wire",E52&gt;=1000,MOD(E52,1000)=0),1,0)</f>
        <v>0</v>
      </c>
      <c r="J52" s="1" t="n">
        <f aca="false">IF(AND(F52="ATM",E52&gt;2000,D52&lt;=4),1,0)</f>
        <v>0</v>
      </c>
      <c r="K52" s="1" t="n">
        <f aca="false">IF(COUNTIF('SQL Findings'!$A$4:$A$18,B52)&gt;0,1,0)</f>
        <v>0</v>
      </c>
      <c r="L52" s="1" t="n">
        <f aca="false">SUM(H52:K52)</f>
        <v>0</v>
      </c>
      <c r="M52" s="1" t="str">
        <f aca="false">IF(L52&gt;=2,"High",IF(L52=1,"Medium","Low"))</f>
        <v>Low</v>
      </c>
    </row>
    <row r="53" customFormat="false" ht="15" hidden="false" customHeight="true" outlineLevel="0" collapsed="false">
      <c r="A53" s="1" t="str">
        <f aca="false">Transactions!A53</f>
        <v>TXN500590</v>
      </c>
      <c r="B53" s="1" t="str">
        <f aca="false">Transactions!B53</f>
        <v>ACC1026</v>
      </c>
      <c r="C53" s="1" t="str">
        <f aca="false">Transactions!I53</f>
        <v>2026-01-04</v>
      </c>
      <c r="D53" s="1" t="n">
        <f aca="false">Transactions!J53</f>
        <v>15</v>
      </c>
      <c r="E53" s="1" t="n">
        <f aca="false">Transactions!D53</f>
        <v>30.86</v>
      </c>
      <c r="F53" s="1" t="str">
        <f aca="false">Transactions!H53</f>
        <v>Online</v>
      </c>
      <c r="G53" s="1" t="str">
        <f aca="false">Transactions!G53</f>
        <v>Dining</v>
      </c>
      <c r="H53" s="1" t="n">
        <f aca="false">IF(COUNTIFS($B$2:$B$1489,B53,$C$2:$C$1489,C53,$D$2:$D$1489,D53)&gt;6,1,0)</f>
        <v>0</v>
      </c>
      <c r="I53" s="1" t="n">
        <f aca="false">IF(AND(F53="Wire",E53&gt;=1000,MOD(E53,1000)=0),1,0)</f>
        <v>0</v>
      </c>
      <c r="J53" s="1" t="n">
        <f aca="false">IF(AND(F53="ATM",E53&gt;2000,D53&lt;=4),1,0)</f>
        <v>0</v>
      </c>
      <c r="K53" s="1" t="n">
        <f aca="false">IF(COUNTIF('SQL Findings'!$A$4:$A$18,B53)&gt;0,1,0)</f>
        <v>0</v>
      </c>
      <c r="L53" s="1" t="n">
        <f aca="false">SUM(H53:K53)</f>
        <v>0</v>
      </c>
      <c r="M53" s="1" t="str">
        <f aca="false">IF(L53&gt;=2,"High",IF(L53=1,"Medium","Low"))</f>
        <v>Low</v>
      </c>
    </row>
    <row r="54" customFormat="false" ht="15" hidden="false" customHeight="true" outlineLevel="0" collapsed="false">
      <c r="A54" s="1" t="str">
        <f aca="false">Transactions!A54</f>
        <v>TXN500649</v>
      </c>
      <c r="B54" s="1" t="str">
        <f aca="false">Transactions!B54</f>
        <v>ACC1028</v>
      </c>
      <c r="C54" s="1" t="str">
        <f aca="false">Transactions!I54</f>
        <v>2026-01-04</v>
      </c>
      <c r="D54" s="1" t="n">
        <f aca="false">Transactions!J54</f>
        <v>17</v>
      </c>
      <c r="E54" s="1" t="n">
        <f aca="false">Transactions!D54</f>
        <v>54.17</v>
      </c>
      <c r="F54" s="1" t="str">
        <f aca="false">Transactions!H54</f>
        <v>POS</v>
      </c>
      <c r="G54" s="1" t="str">
        <f aca="false">Transactions!G54</f>
        <v>Utilities</v>
      </c>
      <c r="H54" s="1" t="n">
        <f aca="false">IF(COUNTIFS($B$2:$B$1489,B54,$C$2:$C$1489,C54,$D$2:$D$1489,D54)&gt;6,1,0)</f>
        <v>0</v>
      </c>
      <c r="I54" s="1" t="n">
        <f aca="false">IF(AND(F54="Wire",E54&gt;=1000,MOD(E54,1000)=0),1,0)</f>
        <v>0</v>
      </c>
      <c r="J54" s="1" t="n">
        <f aca="false">IF(AND(F54="ATM",E54&gt;2000,D54&lt;=4),1,0)</f>
        <v>0</v>
      </c>
      <c r="K54" s="1" t="n">
        <f aca="false">IF(COUNTIF('SQL Findings'!$A$4:$A$18,B54)&gt;0,1,0)</f>
        <v>0</v>
      </c>
      <c r="L54" s="1" t="n">
        <f aca="false">SUM(H54:K54)</f>
        <v>0</v>
      </c>
      <c r="M54" s="1" t="str">
        <f aca="false">IF(L54&gt;=2,"High",IF(L54=1,"Medium","Low"))</f>
        <v>Low</v>
      </c>
    </row>
    <row r="55" customFormat="false" ht="15" hidden="false" customHeight="true" outlineLevel="0" collapsed="false">
      <c r="A55" s="1" t="str">
        <f aca="false">Transactions!A55</f>
        <v>TXN501198</v>
      </c>
      <c r="B55" s="1" t="str">
        <f aca="false">Transactions!B55</f>
        <v>ACC1052</v>
      </c>
      <c r="C55" s="1" t="str">
        <f aca="false">Transactions!I55</f>
        <v>2026-01-04</v>
      </c>
      <c r="D55" s="1" t="n">
        <f aca="false">Transactions!J55</f>
        <v>21</v>
      </c>
      <c r="E55" s="1" t="n">
        <f aca="false">Transactions!D55</f>
        <v>109.64</v>
      </c>
      <c r="F55" s="1" t="str">
        <f aca="false">Transactions!H55</f>
        <v>POS</v>
      </c>
      <c r="G55" s="1" t="str">
        <f aca="false">Transactions!G55</f>
        <v>Dining</v>
      </c>
      <c r="H55" s="1" t="n">
        <f aca="false">IF(COUNTIFS($B$2:$B$1489,B55,$C$2:$C$1489,C55,$D$2:$D$1489,D55)&gt;6,1,0)</f>
        <v>0</v>
      </c>
      <c r="I55" s="1" t="n">
        <f aca="false">IF(AND(F55="Wire",E55&gt;=1000,MOD(E55,1000)=0),1,0)</f>
        <v>0</v>
      </c>
      <c r="J55" s="1" t="n">
        <f aca="false">IF(AND(F55="ATM",E55&gt;2000,D55&lt;=4),1,0)</f>
        <v>0</v>
      </c>
      <c r="K55" s="1" t="n">
        <f aca="false">IF(COUNTIF('SQL Findings'!$A$4:$A$18,B55)&gt;0,1,0)</f>
        <v>0</v>
      </c>
      <c r="L55" s="1" t="n">
        <f aca="false">SUM(H55:K55)</f>
        <v>0</v>
      </c>
      <c r="M55" s="1" t="str">
        <f aca="false">IF(L55&gt;=2,"High",IF(L55=1,"Medium","Low"))</f>
        <v>Low</v>
      </c>
    </row>
    <row r="56" customFormat="false" ht="15" hidden="false" customHeight="true" outlineLevel="0" collapsed="false">
      <c r="A56" s="1" t="str">
        <f aca="false">Transactions!A56</f>
        <v>TXN500182</v>
      </c>
      <c r="B56" s="1" t="str">
        <f aca="false">Transactions!B56</f>
        <v>ACC1007</v>
      </c>
      <c r="C56" s="1" t="str">
        <f aca="false">Transactions!I56</f>
        <v>2026-01-04</v>
      </c>
      <c r="D56" s="1" t="n">
        <f aca="false">Transactions!J56</f>
        <v>22</v>
      </c>
      <c r="E56" s="1" t="n">
        <f aca="false">Transactions!D56</f>
        <v>30.83</v>
      </c>
      <c r="F56" s="1" t="str">
        <f aca="false">Transactions!H56</f>
        <v>ATM</v>
      </c>
      <c r="G56" s="1" t="str">
        <f aca="false">Transactions!G56</f>
        <v>Dining</v>
      </c>
      <c r="H56" s="1" t="n">
        <f aca="false">IF(COUNTIFS($B$2:$B$1489,B56,$C$2:$C$1489,C56,$D$2:$D$1489,D56)&gt;6,1,0)</f>
        <v>0</v>
      </c>
      <c r="I56" s="1" t="n">
        <f aca="false">IF(AND(F56="Wire",E56&gt;=1000,MOD(E56,1000)=0),1,0)</f>
        <v>0</v>
      </c>
      <c r="J56" s="1" t="n">
        <f aca="false">IF(AND(F56="ATM",E56&gt;2000,D56&lt;=4),1,0)</f>
        <v>0</v>
      </c>
      <c r="K56" s="1" t="n">
        <f aca="false">IF(COUNTIF('SQL Findings'!$A$4:$A$18,B56)&gt;0,1,0)</f>
        <v>0</v>
      </c>
      <c r="L56" s="1" t="n">
        <f aca="false">SUM(H56:K56)</f>
        <v>0</v>
      </c>
      <c r="M56" s="1" t="str">
        <f aca="false">IF(L56&gt;=2,"High",IF(L56=1,"Medium","Low"))</f>
        <v>Low</v>
      </c>
    </row>
    <row r="57" customFormat="false" ht="15" hidden="false" customHeight="true" outlineLevel="0" collapsed="false">
      <c r="A57" s="1" t="str">
        <f aca="false">Transactions!A57</f>
        <v>TXN500197</v>
      </c>
      <c r="B57" s="1" t="str">
        <f aca="false">Transactions!B57</f>
        <v>ACC1008</v>
      </c>
      <c r="C57" s="1" t="str">
        <f aca="false">Transactions!I57</f>
        <v>2026-01-05</v>
      </c>
      <c r="D57" s="1" t="n">
        <f aca="false">Transactions!J57</f>
        <v>6</v>
      </c>
      <c r="E57" s="1" t="n">
        <f aca="false">Transactions!D57</f>
        <v>30.1</v>
      </c>
      <c r="F57" s="1" t="str">
        <f aca="false">Transactions!H57</f>
        <v>POS</v>
      </c>
      <c r="G57" s="1" t="str">
        <f aca="false">Transactions!G57</f>
        <v>Cash Withdrawal</v>
      </c>
      <c r="H57" s="1" t="n">
        <f aca="false">IF(COUNTIFS($B$2:$B$1489,B57,$C$2:$C$1489,C57,$D$2:$D$1489,D57)&gt;6,1,0)</f>
        <v>0</v>
      </c>
      <c r="I57" s="1" t="n">
        <f aca="false">IF(AND(F57="Wire",E57&gt;=1000,MOD(E57,1000)=0),1,0)</f>
        <v>0</v>
      </c>
      <c r="J57" s="1" t="n">
        <f aca="false">IF(AND(F57="ATM",E57&gt;2000,D57&lt;=4),1,0)</f>
        <v>0</v>
      </c>
      <c r="K57" s="1" t="n">
        <f aca="false">IF(COUNTIF('SQL Findings'!$A$4:$A$18,B57)&gt;0,1,0)</f>
        <v>0</v>
      </c>
      <c r="L57" s="1" t="n">
        <f aca="false">SUM(H57:K57)</f>
        <v>0</v>
      </c>
      <c r="M57" s="1" t="str">
        <f aca="false">IF(L57&gt;=2,"High",IF(L57=1,"Medium","Low"))</f>
        <v>Low</v>
      </c>
    </row>
    <row r="58" customFormat="false" ht="15" hidden="false" customHeight="true" outlineLevel="0" collapsed="false">
      <c r="A58" s="1" t="str">
        <f aca="false">Transactions!A58</f>
        <v>TXN500235</v>
      </c>
      <c r="B58" s="1" t="str">
        <f aca="false">Transactions!B58</f>
        <v>ACC1010</v>
      </c>
      <c r="C58" s="1" t="str">
        <f aca="false">Transactions!I58</f>
        <v>2026-01-05</v>
      </c>
      <c r="D58" s="1" t="n">
        <f aca="false">Transactions!J58</f>
        <v>8</v>
      </c>
      <c r="E58" s="1" t="n">
        <f aca="false">Transactions!D58</f>
        <v>459.23</v>
      </c>
      <c r="F58" s="1" t="str">
        <f aca="false">Transactions!H58</f>
        <v>POS</v>
      </c>
      <c r="G58" s="1" t="str">
        <f aca="false">Transactions!G58</f>
        <v>Electronics</v>
      </c>
      <c r="H58" s="1" t="n">
        <f aca="false">IF(COUNTIFS($B$2:$B$1489,B58,$C$2:$C$1489,C58,$D$2:$D$1489,D58)&gt;6,1,0)</f>
        <v>0</v>
      </c>
      <c r="I58" s="1" t="n">
        <f aca="false">IF(AND(F58="Wire",E58&gt;=1000,MOD(E58,1000)=0),1,0)</f>
        <v>0</v>
      </c>
      <c r="J58" s="1" t="n">
        <f aca="false">IF(AND(F58="ATM",E58&gt;2000,D58&lt;=4),1,0)</f>
        <v>0</v>
      </c>
      <c r="K58" s="1" t="n">
        <f aca="false">IF(COUNTIF('SQL Findings'!$A$4:$A$18,B58)&gt;0,1,0)</f>
        <v>0</v>
      </c>
      <c r="L58" s="1" t="n">
        <f aca="false">SUM(H58:K58)</f>
        <v>0</v>
      </c>
      <c r="M58" s="1" t="str">
        <f aca="false">IF(L58&gt;=2,"High",IF(L58=1,"Medium","Low"))</f>
        <v>Low</v>
      </c>
    </row>
    <row r="59" customFormat="false" ht="15" hidden="false" customHeight="true" outlineLevel="0" collapsed="false">
      <c r="A59" s="1" t="str">
        <f aca="false">Transactions!A59</f>
        <v>TXN501157</v>
      </c>
      <c r="B59" s="1" t="str">
        <f aca="false">Transactions!B59</f>
        <v>ACC1051</v>
      </c>
      <c r="C59" s="1" t="str">
        <f aca="false">Transactions!I59</f>
        <v>2026-01-05</v>
      </c>
      <c r="D59" s="1" t="n">
        <f aca="false">Transactions!J59</f>
        <v>11</v>
      </c>
      <c r="E59" s="1" t="n">
        <f aca="false">Transactions!D59</f>
        <v>35.9</v>
      </c>
      <c r="F59" s="1" t="str">
        <f aca="false">Transactions!H59</f>
        <v>Online</v>
      </c>
      <c r="G59" s="1" t="str">
        <f aca="false">Transactions!G59</f>
        <v>Travel</v>
      </c>
      <c r="H59" s="1" t="n">
        <f aca="false">IF(COUNTIFS($B$2:$B$1489,B59,$C$2:$C$1489,C59,$D$2:$D$1489,D59)&gt;6,1,0)</f>
        <v>0</v>
      </c>
      <c r="I59" s="1" t="n">
        <f aca="false">IF(AND(F59="Wire",E59&gt;=1000,MOD(E59,1000)=0),1,0)</f>
        <v>0</v>
      </c>
      <c r="J59" s="1" t="n">
        <f aca="false">IF(AND(F59="ATM",E59&gt;2000,D59&lt;=4),1,0)</f>
        <v>0</v>
      </c>
      <c r="K59" s="1" t="n">
        <f aca="false">IF(COUNTIF('SQL Findings'!$A$4:$A$18,B59)&gt;0,1,0)</f>
        <v>0</v>
      </c>
      <c r="L59" s="1" t="n">
        <f aca="false">SUM(H59:K59)</f>
        <v>0</v>
      </c>
      <c r="M59" s="1" t="str">
        <f aca="false">IF(L59&gt;=2,"High",IF(L59=1,"Medium","Low"))</f>
        <v>Low</v>
      </c>
    </row>
    <row r="60" customFormat="false" ht="15" hidden="false" customHeight="true" outlineLevel="0" collapsed="false">
      <c r="A60" s="1" t="str">
        <f aca="false">Transactions!A60</f>
        <v>TXN500613</v>
      </c>
      <c r="B60" s="1" t="str">
        <f aca="false">Transactions!B60</f>
        <v>ACC1027</v>
      </c>
      <c r="C60" s="1" t="str">
        <f aca="false">Transactions!I60</f>
        <v>2026-01-05</v>
      </c>
      <c r="D60" s="1" t="n">
        <f aca="false">Transactions!J60</f>
        <v>11</v>
      </c>
      <c r="E60" s="1" t="n">
        <f aca="false">Transactions!D60</f>
        <v>85.8</v>
      </c>
      <c r="F60" s="1" t="str">
        <f aca="false">Transactions!H60</f>
        <v>Online</v>
      </c>
      <c r="G60" s="1" t="str">
        <f aca="false">Transactions!G60</f>
        <v>Electronics</v>
      </c>
      <c r="H60" s="1" t="n">
        <f aca="false">IF(COUNTIFS($B$2:$B$1489,B60,$C$2:$C$1489,C60,$D$2:$D$1489,D60)&gt;6,1,0)</f>
        <v>0</v>
      </c>
      <c r="I60" s="1" t="n">
        <f aca="false">IF(AND(F60="Wire",E60&gt;=1000,MOD(E60,1000)=0),1,0)</f>
        <v>0</v>
      </c>
      <c r="J60" s="1" t="n">
        <f aca="false">IF(AND(F60="ATM",E60&gt;2000,D60&lt;=4),1,0)</f>
        <v>0</v>
      </c>
      <c r="K60" s="1" t="n">
        <f aca="false">IF(COUNTIF('SQL Findings'!$A$4:$A$18,B60)&gt;0,1,0)</f>
        <v>0</v>
      </c>
      <c r="L60" s="1" t="n">
        <f aca="false">SUM(H60:K60)</f>
        <v>0</v>
      </c>
      <c r="M60" s="1" t="str">
        <f aca="false">IF(L60&gt;=2,"High",IF(L60=1,"Medium","Low"))</f>
        <v>Low</v>
      </c>
    </row>
    <row r="61" customFormat="false" ht="15" hidden="false" customHeight="true" outlineLevel="0" collapsed="false">
      <c r="A61" s="1" t="str">
        <f aca="false">Transactions!A61</f>
        <v>TXN501278</v>
      </c>
      <c r="B61" s="1" t="str">
        <f aca="false">Transactions!B61</f>
        <v>ACC1056</v>
      </c>
      <c r="C61" s="1" t="str">
        <f aca="false">Transactions!I61</f>
        <v>2026-01-05</v>
      </c>
      <c r="D61" s="1" t="n">
        <f aca="false">Transactions!J61</f>
        <v>11</v>
      </c>
      <c r="E61" s="1" t="n">
        <f aca="false">Transactions!D61</f>
        <v>95.01</v>
      </c>
      <c r="F61" s="1" t="str">
        <f aca="false">Transactions!H61</f>
        <v>POS</v>
      </c>
      <c r="G61" s="1" t="str">
        <f aca="false">Transactions!G61</f>
        <v>Electronics</v>
      </c>
      <c r="H61" s="1" t="n">
        <f aca="false">IF(COUNTIFS($B$2:$B$1489,B61,$C$2:$C$1489,C61,$D$2:$D$1489,D61)&gt;6,1,0)</f>
        <v>0</v>
      </c>
      <c r="I61" s="1" t="n">
        <f aca="false">IF(AND(F61="Wire",E61&gt;=1000,MOD(E61,1000)=0),1,0)</f>
        <v>0</v>
      </c>
      <c r="J61" s="1" t="n">
        <f aca="false">IF(AND(F61="ATM",E61&gt;2000,D61&lt;=4),1,0)</f>
        <v>0</v>
      </c>
      <c r="K61" s="1" t="n">
        <f aca="false">IF(COUNTIF('SQL Findings'!$A$4:$A$18,B61)&gt;0,1,0)</f>
        <v>0</v>
      </c>
      <c r="L61" s="1" t="n">
        <f aca="false">SUM(H61:K61)</f>
        <v>0</v>
      </c>
      <c r="M61" s="1" t="str">
        <f aca="false">IF(L61&gt;=2,"High",IF(L61=1,"Medium","Low"))</f>
        <v>Low</v>
      </c>
    </row>
    <row r="62" customFormat="false" ht="15" hidden="false" customHeight="true" outlineLevel="0" collapsed="false">
      <c r="A62" s="1" t="str">
        <f aca="false">Transactions!A62</f>
        <v>TXN500769</v>
      </c>
      <c r="B62" s="1" t="str">
        <f aca="false">Transactions!B62</f>
        <v>ACC1033</v>
      </c>
      <c r="C62" s="1" t="str">
        <f aca="false">Transactions!I62</f>
        <v>2026-01-05</v>
      </c>
      <c r="D62" s="1" t="n">
        <f aca="false">Transactions!J62</f>
        <v>12</v>
      </c>
      <c r="E62" s="1" t="n">
        <f aca="false">Transactions!D62</f>
        <v>37.93</v>
      </c>
      <c r="F62" s="1" t="str">
        <f aca="false">Transactions!H62</f>
        <v>POS</v>
      </c>
      <c r="G62" s="1" t="str">
        <f aca="false">Transactions!G62</f>
        <v>Travel</v>
      </c>
      <c r="H62" s="1" t="n">
        <f aca="false">IF(COUNTIFS($B$2:$B$1489,B62,$C$2:$C$1489,C62,$D$2:$D$1489,D62)&gt;6,1,0)</f>
        <v>0</v>
      </c>
      <c r="I62" s="1" t="n">
        <f aca="false">IF(AND(F62="Wire",E62&gt;=1000,MOD(E62,1000)=0),1,0)</f>
        <v>0</v>
      </c>
      <c r="J62" s="1" t="n">
        <f aca="false">IF(AND(F62="ATM",E62&gt;2000,D62&lt;=4),1,0)</f>
        <v>0</v>
      </c>
      <c r="K62" s="1" t="n">
        <f aca="false">IF(COUNTIF('SQL Findings'!$A$4:$A$18,B62)&gt;0,1,0)</f>
        <v>0</v>
      </c>
      <c r="L62" s="1" t="n">
        <f aca="false">SUM(H62:K62)</f>
        <v>0</v>
      </c>
      <c r="M62" s="1" t="str">
        <f aca="false">IF(L62&gt;=2,"High",IF(L62=1,"Medium","Low"))</f>
        <v>Low</v>
      </c>
    </row>
    <row r="63" customFormat="false" ht="15" hidden="false" customHeight="true" outlineLevel="0" collapsed="false">
      <c r="A63" s="1" t="str">
        <f aca="false">Transactions!A63</f>
        <v>TXN500203</v>
      </c>
      <c r="B63" s="1" t="str">
        <f aca="false">Transactions!B63</f>
        <v>ACC1008</v>
      </c>
      <c r="C63" s="1" t="str">
        <f aca="false">Transactions!I63</f>
        <v>2026-01-05</v>
      </c>
      <c r="D63" s="1" t="n">
        <f aca="false">Transactions!J63</f>
        <v>13</v>
      </c>
      <c r="E63" s="1" t="n">
        <f aca="false">Transactions!D63</f>
        <v>176.75</v>
      </c>
      <c r="F63" s="1" t="str">
        <f aca="false">Transactions!H63</f>
        <v>POS</v>
      </c>
      <c r="G63" s="1" t="str">
        <f aca="false">Transactions!G63</f>
        <v>Utilities</v>
      </c>
      <c r="H63" s="1" t="n">
        <f aca="false">IF(COUNTIFS($B$2:$B$1489,B63,$C$2:$C$1489,C63,$D$2:$D$1489,D63)&gt;6,1,0)</f>
        <v>0</v>
      </c>
      <c r="I63" s="1" t="n">
        <f aca="false">IF(AND(F63="Wire",E63&gt;=1000,MOD(E63,1000)=0),1,0)</f>
        <v>0</v>
      </c>
      <c r="J63" s="1" t="n">
        <f aca="false">IF(AND(F63="ATM",E63&gt;2000,D63&lt;=4),1,0)</f>
        <v>0</v>
      </c>
      <c r="K63" s="1" t="n">
        <f aca="false">IF(COUNTIF('SQL Findings'!$A$4:$A$18,B63)&gt;0,1,0)</f>
        <v>0</v>
      </c>
      <c r="L63" s="1" t="n">
        <f aca="false">SUM(H63:K63)</f>
        <v>0</v>
      </c>
      <c r="M63" s="1" t="str">
        <f aca="false">IF(L63&gt;=2,"High",IF(L63=1,"Medium","Low"))</f>
        <v>Low</v>
      </c>
    </row>
    <row r="64" customFormat="false" ht="15" hidden="false" customHeight="true" outlineLevel="0" collapsed="false">
      <c r="A64" s="1" t="str">
        <f aca="false">Transactions!A64</f>
        <v>TXN501263</v>
      </c>
      <c r="B64" s="1" t="str">
        <f aca="false">Transactions!B64</f>
        <v>ACC1055</v>
      </c>
      <c r="C64" s="1" t="str">
        <f aca="false">Transactions!I64</f>
        <v>2026-01-05</v>
      </c>
      <c r="D64" s="1" t="n">
        <f aca="false">Transactions!J64</f>
        <v>14</v>
      </c>
      <c r="E64" s="1" t="n">
        <f aca="false">Transactions!D64</f>
        <v>108.3</v>
      </c>
      <c r="F64" s="1" t="str">
        <f aca="false">Transactions!H64</f>
        <v>ATM</v>
      </c>
      <c r="G64" s="1" t="str">
        <f aca="false">Transactions!G64</f>
        <v>Travel</v>
      </c>
      <c r="H64" s="1" t="n">
        <f aca="false">IF(COUNTIFS($B$2:$B$1489,B64,$C$2:$C$1489,C64,$D$2:$D$1489,D64)&gt;6,1,0)</f>
        <v>0</v>
      </c>
      <c r="I64" s="1" t="n">
        <f aca="false">IF(AND(F64="Wire",E64&gt;=1000,MOD(E64,1000)=0),1,0)</f>
        <v>0</v>
      </c>
      <c r="J64" s="1" t="n">
        <f aca="false">IF(AND(F64="ATM",E64&gt;2000,D64&lt;=4),1,0)</f>
        <v>0</v>
      </c>
      <c r="K64" s="1" t="n">
        <f aca="false">IF(COUNTIF('SQL Findings'!$A$4:$A$18,B64)&gt;0,1,0)</f>
        <v>1</v>
      </c>
      <c r="L64" s="1" t="n">
        <f aca="false">SUM(H64:K64)</f>
        <v>1</v>
      </c>
      <c r="M64" s="1" t="str">
        <f aca="false">IF(L64&gt;=2,"High",IF(L64=1,"Medium","Low"))</f>
        <v>Medium</v>
      </c>
    </row>
    <row r="65" customFormat="false" ht="15" hidden="false" customHeight="true" outlineLevel="0" collapsed="false">
      <c r="A65" s="1" t="str">
        <f aca="false">Transactions!A65</f>
        <v>TXN500357</v>
      </c>
      <c r="B65" s="1" t="str">
        <f aca="false">Transactions!B65</f>
        <v>ACC1015</v>
      </c>
      <c r="C65" s="1" t="str">
        <f aca="false">Transactions!I65</f>
        <v>2026-01-05</v>
      </c>
      <c r="D65" s="1" t="n">
        <f aca="false">Transactions!J65</f>
        <v>16</v>
      </c>
      <c r="E65" s="1" t="n">
        <f aca="false">Transactions!D65</f>
        <v>65.58</v>
      </c>
      <c r="F65" s="1" t="str">
        <f aca="false">Transactions!H65</f>
        <v>Online</v>
      </c>
      <c r="G65" s="1" t="str">
        <f aca="false">Transactions!G65</f>
        <v>Utilities</v>
      </c>
      <c r="H65" s="1" t="n">
        <f aca="false">IF(COUNTIFS($B$2:$B$1489,B65,$C$2:$C$1489,C65,$D$2:$D$1489,D65)&gt;6,1,0)</f>
        <v>0</v>
      </c>
      <c r="I65" s="1" t="n">
        <f aca="false">IF(AND(F65="Wire",E65&gt;=1000,MOD(E65,1000)=0),1,0)</f>
        <v>0</v>
      </c>
      <c r="J65" s="1" t="n">
        <f aca="false">IF(AND(F65="ATM",E65&gt;2000,D65&lt;=4),1,0)</f>
        <v>0</v>
      </c>
      <c r="K65" s="1" t="n">
        <f aca="false">IF(COUNTIF('SQL Findings'!$A$4:$A$18,B65)&gt;0,1,0)</f>
        <v>1</v>
      </c>
      <c r="L65" s="1" t="n">
        <f aca="false">SUM(H65:K65)</f>
        <v>1</v>
      </c>
      <c r="M65" s="1" t="str">
        <f aca="false">IF(L65&gt;=2,"High",IF(L65=1,"Medium","Low"))</f>
        <v>Medium</v>
      </c>
    </row>
    <row r="66" customFormat="false" ht="15" hidden="false" customHeight="true" outlineLevel="0" collapsed="false">
      <c r="A66" s="1" t="str">
        <f aca="false">Transactions!A66</f>
        <v>TXN500575</v>
      </c>
      <c r="B66" s="1" t="str">
        <f aca="false">Transactions!B66</f>
        <v>ACC1025</v>
      </c>
      <c r="C66" s="1" t="str">
        <f aca="false">Transactions!I66</f>
        <v>2026-01-05</v>
      </c>
      <c r="D66" s="1" t="n">
        <f aca="false">Transactions!J66</f>
        <v>16</v>
      </c>
      <c r="E66" s="1" t="n">
        <f aca="false">Transactions!D66</f>
        <v>140.68</v>
      </c>
      <c r="F66" s="1" t="str">
        <f aca="false">Transactions!H66</f>
        <v>POS</v>
      </c>
      <c r="G66" s="1" t="str">
        <f aca="false">Transactions!G66</f>
        <v>Electronics</v>
      </c>
      <c r="H66" s="1" t="n">
        <f aca="false">IF(COUNTIFS($B$2:$B$1489,B66,$C$2:$C$1489,C66,$D$2:$D$1489,D66)&gt;6,1,0)</f>
        <v>0</v>
      </c>
      <c r="I66" s="1" t="n">
        <f aca="false">IF(AND(F66="Wire",E66&gt;=1000,MOD(E66,1000)=0),1,0)</f>
        <v>0</v>
      </c>
      <c r="J66" s="1" t="n">
        <f aca="false">IF(AND(F66="ATM",E66&gt;2000,D66&lt;=4),1,0)</f>
        <v>0</v>
      </c>
      <c r="K66" s="1" t="n">
        <f aca="false">IF(COUNTIF('SQL Findings'!$A$4:$A$18,B66)&gt;0,1,0)</f>
        <v>0</v>
      </c>
      <c r="L66" s="1" t="n">
        <f aca="false">SUM(H66:K66)</f>
        <v>0</v>
      </c>
      <c r="M66" s="1" t="str">
        <f aca="false">IF(L66&gt;=2,"High",IF(L66=1,"Medium","Low"))</f>
        <v>Low</v>
      </c>
    </row>
    <row r="67" customFormat="false" ht="15" hidden="false" customHeight="true" outlineLevel="0" collapsed="false">
      <c r="A67" s="1" t="str">
        <f aca="false">Transactions!A67</f>
        <v>TXN501025</v>
      </c>
      <c r="B67" s="1" t="str">
        <f aca="false">Transactions!B67</f>
        <v>ACC1044</v>
      </c>
      <c r="C67" s="1" t="str">
        <f aca="false">Transactions!I67</f>
        <v>2026-01-05</v>
      </c>
      <c r="D67" s="1" t="n">
        <f aca="false">Transactions!J67</f>
        <v>16</v>
      </c>
      <c r="E67" s="1" t="n">
        <f aca="false">Transactions!D67</f>
        <v>315.7</v>
      </c>
      <c r="F67" s="1" t="str">
        <f aca="false">Transactions!H67</f>
        <v>ATM</v>
      </c>
      <c r="G67" s="1" t="str">
        <f aca="false">Transactions!G67</f>
        <v>Dining</v>
      </c>
      <c r="H67" s="1" t="n">
        <f aca="false">IF(COUNTIFS($B$2:$B$1489,B67,$C$2:$C$1489,C67,$D$2:$D$1489,D67)&gt;6,1,0)</f>
        <v>0</v>
      </c>
      <c r="I67" s="1" t="n">
        <f aca="false">IF(AND(F67="Wire",E67&gt;=1000,MOD(E67,1000)=0),1,0)</f>
        <v>0</v>
      </c>
      <c r="J67" s="1" t="n">
        <f aca="false">IF(AND(F67="ATM",E67&gt;2000,D67&lt;=4),1,0)</f>
        <v>0</v>
      </c>
      <c r="K67" s="1" t="n">
        <f aca="false">IF(COUNTIF('SQL Findings'!$A$4:$A$18,B67)&gt;0,1,0)</f>
        <v>0</v>
      </c>
      <c r="L67" s="1" t="n">
        <f aca="false">SUM(H67:K67)</f>
        <v>0</v>
      </c>
      <c r="M67" s="1" t="str">
        <f aca="false">IF(L67&gt;=2,"High",IF(L67=1,"Medium","Low"))</f>
        <v>Low</v>
      </c>
    </row>
    <row r="68" customFormat="false" ht="15" hidden="false" customHeight="true" outlineLevel="0" collapsed="false">
      <c r="A68" s="1" t="str">
        <f aca="false">Transactions!A68</f>
        <v>TXN500521</v>
      </c>
      <c r="B68" s="1" t="str">
        <f aca="false">Transactions!B68</f>
        <v>ACC1023</v>
      </c>
      <c r="C68" s="1" t="str">
        <f aca="false">Transactions!I68</f>
        <v>2026-01-05</v>
      </c>
      <c r="D68" s="1" t="n">
        <f aca="false">Transactions!J68</f>
        <v>17</v>
      </c>
      <c r="E68" s="1" t="n">
        <f aca="false">Transactions!D68</f>
        <v>14.84</v>
      </c>
      <c r="F68" s="1" t="str">
        <f aca="false">Transactions!H68</f>
        <v>POS</v>
      </c>
      <c r="G68" s="1" t="str">
        <f aca="false">Transactions!G68</f>
        <v>Retail</v>
      </c>
      <c r="H68" s="1" t="n">
        <f aca="false">IF(COUNTIFS($B$2:$B$1489,B68,$C$2:$C$1489,C68,$D$2:$D$1489,D68)&gt;6,1,0)</f>
        <v>0</v>
      </c>
      <c r="I68" s="1" t="n">
        <f aca="false">IF(AND(F68="Wire",E68&gt;=1000,MOD(E68,1000)=0),1,0)</f>
        <v>0</v>
      </c>
      <c r="J68" s="1" t="n">
        <f aca="false">IF(AND(F68="ATM",E68&gt;2000,D68&lt;=4),1,0)</f>
        <v>0</v>
      </c>
      <c r="K68" s="1" t="n">
        <f aca="false">IF(COUNTIF('SQL Findings'!$A$4:$A$18,B68)&gt;0,1,0)</f>
        <v>0</v>
      </c>
      <c r="L68" s="1" t="n">
        <f aca="false">SUM(H68:K68)</f>
        <v>0</v>
      </c>
      <c r="M68" s="1" t="str">
        <f aca="false">IF(L68&gt;=2,"High",IF(L68=1,"Medium","Low"))</f>
        <v>Low</v>
      </c>
    </row>
    <row r="69" customFormat="false" ht="15" hidden="false" customHeight="true" outlineLevel="0" collapsed="false">
      <c r="A69" s="1" t="str">
        <f aca="false">Transactions!A69</f>
        <v>TXN500066</v>
      </c>
      <c r="B69" s="1" t="str">
        <f aca="false">Transactions!B69</f>
        <v>ACC1002</v>
      </c>
      <c r="C69" s="1" t="str">
        <f aca="false">Transactions!I69</f>
        <v>2026-01-05</v>
      </c>
      <c r="D69" s="1" t="n">
        <f aca="false">Transactions!J69</f>
        <v>17</v>
      </c>
      <c r="E69" s="1" t="n">
        <f aca="false">Transactions!D69</f>
        <v>226.02</v>
      </c>
      <c r="F69" s="1" t="str">
        <f aca="false">Transactions!H69</f>
        <v>Online</v>
      </c>
      <c r="G69" s="1" t="str">
        <f aca="false">Transactions!G69</f>
        <v>Travel</v>
      </c>
      <c r="H69" s="1" t="n">
        <f aca="false">IF(COUNTIFS($B$2:$B$1489,B69,$C$2:$C$1489,C69,$D$2:$D$1489,D69)&gt;6,1,0)</f>
        <v>0</v>
      </c>
      <c r="I69" s="1" t="n">
        <f aca="false">IF(AND(F69="Wire",E69&gt;=1000,MOD(E69,1000)=0),1,0)</f>
        <v>0</v>
      </c>
      <c r="J69" s="1" t="n">
        <f aca="false">IF(AND(F69="ATM",E69&gt;2000,D69&lt;=4),1,0)</f>
        <v>0</v>
      </c>
      <c r="K69" s="1" t="n">
        <f aca="false">IF(COUNTIF('SQL Findings'!$A$4:$A$18,B69)&gt;0,1,0)</f>
        <v>1</v>
      </c>
      <c r="L69" s="1" t="n">
        <f aca="false">SUM(H69:K69)</f>
        <v>1</v>
      </c>
      <c r="M69" s="1" t="str">
        <f aca="false">IF(L69&gt;=2,"High",IF(L69=1,"Medium","Low"))</f>
        <v>Medium</v>
      </c>
    </row>
    <row r="70" customFormat="false" ht="15" hidden="false" customHeight="true" outlineLevel="0" collapsed="false">
      <c r="A70" s="1" t="str">
        <f aca="false">Transactions!A70</f>
        <v>TXN500949</v>
      </c>
      <c r="B70" s="1" t="str">
        <f aca="false">Transactions!B70</f>
        <v>ACC1041</v>
      </c>
      <c r="C70" s="1" t="str">
        <f aca="false">Transactions!I70</f>
        <v>2026-01-06</v>
      </c>
      <c r="D70" s="1" t="n">
        <f aca="false">Transactions!J70</f>
        <v>0</v>
      </c>
      <c r="E70" s="1" t="n">
        <f aca="false">Transactions!D70</f>
        <v>64.01</v>
      </c>
      <c r="F70" s="1" t="str">
        <f aca="false">Transactions!H70</f>
        <v>ATM</v>
      </c>
      <c r="G70" s="1" t="str">
        <f aca="false">Transactions!G70</f>
        <v>Wire Transfer</v>
      </c>
      <c r="H70" s="1" t="n">
        <f aca="false">IF(COUNTIFS($B$2:$B$1489,B70,$C$2:$C$1489,C70,$D$2:$D$1489,D70)&gt;6,1,0)</f>
        <v>0</v>
      </c>
      <c r="I70" s="1" t="n">
        <f aca="false">IF(AND(F70="Wire",E70&gt;=1000,MOD(E70,1000)=0),1,0)</f>
        <v>0</v>
      </c>
      <c r="J70" s="1" t="n">
        <f aca="false">IF(AND(F70="ATM",E70&gt;2000,D70&lt;=4),1,0)</f>
        <v>0</v>
      </c>
      <c r="K70" s="1" t="n">
        <f aca="false">IF(COUNTIF('SQL Findings'!$A$4:$A$18,B70)&gt;0,1,0)</f>
        <v>1</v>
      </c>
      <c r="L70" s="1" t="n">
        <f aca="false">SUM(H70:K70)</f>
        <v>1</v>
      </c>
      <c r="M70" s="1" t="str">
        <f aca="false">IF(L70&gt;=2,"High",IF(L70=1,"Medium","Low"))</f>
        <v>Medium</v>
      </c>
    </row>
    <row r="71" customFormat="false" ht="15" hidden="false" customHeight="true" outlineLevel="0" collapsed="false">
      <c r="A71" s="1" t="str">
        <f aca="false">Transactions!A71</f>
        <v>TXN500419</v>
      </c>
      <c r="B71" s="1" t="str">
        <f aca="false">Transactions!B71</f>
        <v>ACC1018</v>
      </c>
      <c r="C71" s="1" t="str">
        <f aca="false">Transactions!I71</f>
        <v>2026-01-06</v>
      </c>
      <c r="D71" s="1" t="n">
        <f aca="false">Transactions!J71</f>
        <v>2</v>
      </c>
      <c r="E71" s="1" t="n">
        <f aca="false">Transactions!D71</f>
        <v>192.74</v>
      </c>
      <c r="F71" s="1" t="str">
        <f aca="false">Transactions!H71</f>
        <v>Online</v>
      </c>
      <c r="G71" s="1" t="str">
        <f aca="false">Transactions!G71</f>
        <v>Cash Withdrawal</v>
      </c>
      <c r="H71" s="1" t="n">
        <f aca="false">IF(COUNTIFS($B$2:$B$1489,B71,$C$2:$C$1489,C71,$D$2:$D$1489,D71)&gt;6,1,0)</f>
        <v>0</v>
      </c>
      <c r="I71" s="1" t="n">
        <f aca="false">IF(AND(F71="Wire",E71&gt;=1000,MOD(E71,1000)=0),1,0)</f>
        <v>0</v>
      </c>
      <c r="J71" s="1" t="n">
        <f aca="false">IF(AND(F71="ATM",E71&gt;2000,D71&lt;=4),1,0)</f>
        <v>0</v>
      </c>
      <c r="K71" s="1" t="n">
        <f aca="false">IF(COUNTIF('SQL Findings'!$A$4:$A$18,B71)&gt;0,1,0)</f>
        <v>0</v>
      </c>
      <c r="L71" s="1" t="n">
        <f aca="false">SUM(H71:K71)</f>
        <v>0</v>
      </c>
      <c r="M71" s="1" t="str">
        <f aca="false">IF(L71&gt;=2,"High",IF(L71=1,"Medium","Low"))</f>
        <v>Low</v>
      </c>
    </row>
    <row r="72" customFormat="false" ht="15" hidden="false" customHeight="true" outlineLevel="0" collapsed="false">
      <c r="A72" s="1" t="str">
        <f aca="false">Transactions!A72</f>
        <v>TXN500536</v>
      </c>
      <c r="B72" s="1" t="str">
        <f aca="false">Transactions!B72</f>
        <v>ACC1023</v>
      </c>
      <c r="C72" s="1" t="str">
        <f aca="false">Transactions!I72</f>
        <v>2026-01-06</v>
      </c>
      <c r="D72" s="1" t="n">
        <f aca="false">Transactions!J72</f>
        <v>7</v>
      </c>
      <c r="E72" s="1" t="n">
        <f aca="false">Transactions!D72</f>
        <v>69.59</v>
      </c>
      <c r="F72" s="1" t="str">
        <f aca="false">Transactions!H72</f>
        <v>Online</v>
      </c>
      <c r="G72" s="1" t="str">
        <f aca="false">Transactions!G72</f>
        <v>Online Marketplace</v>
      </c>
      <c r="H72" s="1" t="n">
        <f aca="false">IF(COUNTIFS($B$2:$B$1489,B72,$C$2:$C$1489,C72,$D$2:$D$1489,D72)&gt;6,1,0)</f>
        <v>0</v>
      </c>
      <c r="I72" s="1" t="n">
        <f aca="false">IF(AND(F72="Wire",E72&gt;=1000,MOD(E72,1000)=0),1,0)</f>
        <v>0</v>
      </c>
      <c r="J72" s="1" t="n">
        <f aca="false">IF(AND(F72="ATM",E72&gt;2000,D72&lt;=4),1,0)</f>
        <v>0</v>
      </c>
      <c r="K72" s="1" t="n">
        <f aca="false">IF(COUNTIF('SQL Findings'!$A$4:$A$18,B72)&gt;0,1,0)</f>
        <v>0</v>
      </c>
      <c r="L72" s="1" t="n">
        <f aca="false">SUM(H72:K72)</f>
        <v>0</v>
      </c>
      <c r="M72" s="1" t="str">
        <f aca="false">IF(L72&gt;=2,"High",IF(L72=1,"Medium","Low"))</f>
        <v>Low</v>
      </c>
    </row>
    <row r="73" customFormat="false" ht="15" hidden="false" customHeight="true" outlineLevel="0" collapsed="false">
      <c r="A73" s="1" t="str">
        <f aca="false">Transactions!A73</f>
        <v>TXN500834</v>
      </c>
      <c r="B73" s="1" t="str">
        <f aca="false">Transactions!B73</f>
        <v>ACC1035</v>
      </c>
      <c r="C73" s="1" t="str">
        <f aca="false">Transactions!I73</f>
        <v>2026-01-06</v>
      </c>
      <c r="D73" s="1" t="n">
        <f aca="false">Transactions!J73</f>
        <v>8</v>
      </c>
      <c r="E73" s="1" t="n">
        <f aca="false">Transactions!D73</f>
        <v>33.41</v>
      </c>
      <c r="F73" s="1" t="str">
        <f aca="false">Transactions!H73</f>
        <v>ATM</v>
      </c>
      <c r="G73" s="1" t="str">
        <f aca="false">Transactions!G73</f>
        <v>Online Marketplace</v>
      </c>
      <c r="H73" s="1" t="n">
        <f aca="false">IF(COUNTIFS($B$2:$B$1489,B73,$C$2:$C$1489,C73,$D$2:$D$1489,D73)&gt;6,1,0)</f>
        <v>0</v>
      </c>
      <c r="I73" s="1" t="n">
        <f aca="false">IF(AND(F73="Wire",E73&gt;=1000,MOD(E73,1000)=0),1,0)</f>
        <v>0</v>
      </c>
      <c r="J73" s="1" t="n">
        <f aca="false">IF(AND(F73="ATM",E73&gt;2000,D73&lt;=4),1,0)</f>
        <v>0</v>
      </c>
      <c r="K73" s="1" t="n">
        <f aca="false">IF(COUNTIF('SQL Findings'!$A$4:$A$18,B73)&gt;0,1,0)</f>
        <v>0</v>
      </c>
      <c r="L73" s="1" t="n">
        <f aca="false">SUM(H73:K73)</f>
        <v>0</v>
      </c>
      <c r="M73" s="1" t="str">
        <f aca="false">IF(L73&gt;=2,"High",IF(L73=1,"Medium","Low"))</f>
        <v>Low</v>
      </c>
    </row>
    <row r="74" customFormat="false" ht="15" hidden="false" customHeight="true" outlineLevel="0" collapsed="false">
      <c r="A74" s="1" t="str">
        <f aca="false">Transactions!A74</f>
        <v>TXN500932</v>
      </c>
      <c r="B74" s="1" t="str">
        <f aca="false">Transactions!B74</f>
        <v>ACC1040</v>
      </c>
      <c r="C74" s="1" t="str">
        <f aca="false">Transactions!I74</f>
        <v>2026-01-06</v>
      </c>
      <c r="D74" s="1" t="n">
        <f aca="false">Transactions!J74</f>
        <v>8</v>
      </c>
      <c r="E74" s="1" t="n">
        <f aca="false">Transactions!D74</f>
        <v>362.51</v>
      </c>
      <c r="F74" s="1" t="str">
        <f aca="false">Transactions!H74</f>
        <v>Online</v>
      </c>
      <c r="G74" s="1" t="str">
        <f aca="false">Transactions!G74</f>
        <v>Dining</v>
      </c>
      <c r="H74" s="1" t="n">
        <f aca="false">IF(COUNTIFS($B$2:$B$1489,B74,$C$2:$C$1489,C74,$D$2:$D$1489,D74)&gt;6,1,0)</f>
        <v>0</v>
      </c>
      <c r="I74" s="1" t="n">
        <f aca="false">IF(AND(F74="Wire",E74&gt;=1000,MOD(E74,1000)=0),1,0)</f>
        <v>0</v>
      </c>
      <c r="J74" s="1" t="n">
        <f aca="false">IF(AND(F74="ATM",E74&gt;2000,D74&lt;=4),1,0)</f>
        <v>0</v>
      </c>
      <c r="K74" s="1" t="n">
        <f aca="false">IF(COUNTIF('SQL Findings'!$A$4:$A$18,B74)&gt;0,1,0)</f>
        <v>1</v>
      </c>
      <c r="L74" s="1" t="n">
        <f aca="false">SUM(H74:K74)</f>
        <v>1</v>
      </c>
      <c r="M74" s="1" t="str">
        <f aca="false">IF(L74&gt;=2,"High",IF(L74=1,"Medium","Low"))</f>
        <v>Medium</v>
      </c>
    </row>
    <row r="75" customFormat="false" ht="15" hidden="false" customHeight="true" outlineLevel="0" collapsed="false">
      <c r="A75" s="1" t="str">
        <f aca="false">Transactions!A75</f>
        <v>TXN500441</v>
      </c>
      <c r="B75" s="1" t="str">
        <f aca="false">Transactions!B75</f>
        <v>ACC1019</v>
      </c>
      <c r="C75" s="1" t="str">
        <f aca="false">Transactions!I75</f>
        <v>2026-01-06</v>
      </c>
      <c r="D75" s="1" t="n">
        <f aca="false">Transactions!J75</f>
        <v>8</v>
      </c>
      <c r="E75" s="1" t="n">
        <f aca="false">Transactions!D75</f>
        <v>94.22</v>
      </c>
      <c r="F75" s="1" t="str">
        <f aca="false">Transactions!H75</f>
        <v>Online</v>
      </c>
      <c r="G75" s="1" t="str">
        <f aca="false">Transactions!G75</f>
        <v>Electronics</v>
      </c>
      <c r="H75" s="1" t="n">
        <f aca="false">IF(COUNTIFS($B$2:$B$1489,B75,$C$2:$C$1489,C75,$D$2:$D$1489,D75)&gt;6,1,0)</f>
        <v>0</v>
      </c>
      <c r="I75" s="1" t="n">
        <f aca="false">IF(AND(F75="Wire",E75&gt;=1000,MOD(E75,1000)=0),1,0)</f>
        <v>0</v>
      </c>
      <c r="J75" s="1" t="n">
        <f aca="false">IF(AND(F75="ATM",E75&gt;2000,D75&lt;=4),1,0)</f>
        <v>0</v>
      </c>
      <c r="K75" s="1" t="n">
        <f aca="false">IF(COUNTIF('SQL Findings'!$A$4:$A$18,B75)&gt;0,1,0)</f>
        <v>0</v>
      </c>
      <c r="L75" s="1" t="n">
        <f aca="false">SUM(H75:K75)</f>
        <v>0</v>
      </c>
      <c r="M75" s="1" t="str">
        <f aca="false">IF(L75&gt;=2,"High",IF(L75=1,"Medium","Low"))</f>
        <v>Low</v>
      </c>
    </row>
    <row r="76" customFormat="false" ht="15" hidden="false" customHeight="true" outlineLevel="0" collapsed="false">
      <c r="A76" s="1" t="str">
        <f aca="false">Transactions!A76</f>
        <v>TXN500352</v>
      </c>
      <c r="B76" s="1" t="str">
        <f aca="false">Transactions!B76</f>
        <v>ACC1015</v>
      </c>
      <c r="C76" s="1" t="str">
        <f aca="false">Transactions!I76</f>
        <v>2026-01-06</v>
      </c>
      <c r="D76" s="1" t="n">
        <f aca="false">Transactions!J76</f>
        <v>9</v>
      </c>
      <c r="E76" s="1" t="n">
        <f aca="false">Transactions!D76</f>
        <v>251.59</v>
      </c>
      <c r="F76" s="1" t="str">
        <f aca="false">Transactions!H76</f>
        <v>ATM</v>
      </c>
      <c r="G76" s="1" t="str">
        <f aca="false">Transactions!G76</f>
        <v>Travel</v>
      </c>
      <c r="H76" s="1" t="n">
        <f aca="false">IF(COUNTIFS($B$2:$B$1489,B76,$C$2:$C$1489,C76,$D$2:$D$1489,D76)&gt;6,1,0)</f>
        <v>0</v>
      </c>
      <c r="I76" s="1" t="n">
        <f aca="false">IF(AND(F76="Wire",E76&gt;=1000,MOD(E76,1000)=0),1,0)</f>
        <v>0</v>
      </c>
      <c r="J76" s="1" t="n">
        <f aca="false">IF(AND(F76="ATM",E76&gt;2000,D76&lt;=4),1,0)</f>
        <v>0</v>
      </c>
      <c r="K76" s="1" t="n">
        <f aca="false">IF(COUNTIF('SQL Findings'!$A$4:$A$18,B76)&gt;0,1,0)</f>
        <v>1</v>
      </c>
      <c r="L76" s="1" t="n">
        <f aca="false">SUM(H76:K76)</f>
        <v>1</v>
      </c>
      <c r="M76" s="1" t="str">
        <f aca="false">IF(L76&gt;=2,"High",IF(L76=1,"Medium","Low"))</f>
        <v>Medium</v>
      </c>
    </row>
    <row r="77" customFormat="false" ht="15" hidden="false" customHeight="true" outlineLevel="0" collapsed="false">
      <c r="A77" s="1" t="str">
        <f aca="false">Transactions!A77</f>
        <v>TXN500128</v>
      </c>
      <c r="B77" s="1" t="str">
        <f aca="false">Transactions!B77</f>
        <v>ACC1005</v>
      </c>
      <c r="C77" s="1" t="str">
        <f aca="false">Transactions!I77</f>
        <v>2026-01-06</v>
      </c>
      <c r="D77" s="1" t="n">
        <f aca="false">Transactions!J77</f>
        <v>9</v>
      </c>
      <c r="E77" s="1" t="n">
        <f aca="false">Transactions!D77</f>
        <v>40.06</v>
      </c>
      <c r="F77" s="1" t="str">
        <f aca="false">Transactions!H77</f>
        <v>POS</v>
      </c>
      <c r="G77" s="1" t="str">
        <f aca="false">Transactions!G77</f>
        <v>Cash Withdrawal</v>
      </c>
      <c r="H77" s="1" t="n">
        <f aca="false">IF(COUNTIFS($B$2:$B$1489,B77,$C$2:$C$1489,C77,$D$2:$D$1489,D77)&gt;6,1,0)</f>
        <v>0</v>
      </c>
      <c r="I77" s="1" t="n">
        <f aca="false">IF(AND(F77="Wire",E77&gt;=1000,MOD(E77,1000)=0),1,0)</f>
        <v>0</v>
      </c>
      <c r="J77" s="1" t="n">
        <f aca="false">IF(AND(F77="ATM",E77&gt;2000,D77&lt;=4),1,0)</f>
        <v>0</v>
      </c>
      <c r="K77" s="1" t="n">
        <f aca="false">IF(COUNTIF('SQL Findings'!$A$4:$A$18,B77)&gt;0,1,0)</f>
        <v>0</v>
      </c>
      <c r="L77" s="1" t="n">
        <f aca="false">SUM(H77:K77)</f>
        <v>0</v>
      </c>
      <c r="M77" s="1" t="str">
        <f aca="false">IF(L77&gt;=2,"High",IF(L77=1,"Medium","Low"))</f>
        <v>Low</v>
      </c>
    </row>
    <row r="78" customFormat="false" ht="15" hidden="false" customHeight="true" outlineLevel="0" collapsed="false">
      <c r="A78" s="1" t="str">
        <f aca="false">Transactions!A78</f>
        <v>TXN500195</v>
      </c>
      <c r="B78" s="1" t="str">
        <f aca="false">Transactions!B78</f>
        <v>ACC1008</v>
      </c>
      <c r="C78" s="1" t="str">
        <f aca="false">Transactions!I78</f>
        <v>2026-01-06</v>
      </c>
      <c r="D78" s="1" t="n">
        <f aca="false">Transactions!J78</f>
        <v>9</v>
      </c>
      <c r="E78" s="1" t="n">
        <f aca="false">Transactions!D78</f>
        <v>77.93</v>
      </c>
      <c r="F78" s="1" t="str">
        <f aca="false">Transactions!H78</f>
        <v>Online</v>
      </c>
      <c r="G78" s="1" t="str">
        <f aca="false">Transactions!G78</f>
        <v>Wire Transfer</v>
      </c>
      <c r="H78" s="1" t="n">
        <f aca="false">IF(COUNTIFS($B$2:$B$1489,B78,$C$2:$C$1489,C78,$D$2:$D$1489,D78)&gt;6,1,0)</f>
        <v>0</v>
      </c>
      <c r="I78" s="1" t="n">
        <f aca="false">IF(AND(F78="Wire",E78&gt;=1000,MOD(E78,1000)=0),1,0)</f>
        <v>0</v>
      </c>
      <c r="J78" s="1" t="n">
        <f aca="false">IF(AND(F78="ATM",E78&gt;2000,D78&lt;=4),1,0)</f>
        <v>0</v>
      </c>
      <c r="K78" s="1" t="n">
        <f aca="false">IF(COUNTIF('SQL Findings'!$A$4:$A$18,B78)&gt;0,1,0)</f>
        <v>0</v>
      </c>
      <c r="L78" s="1" t="n">
        <f aca="false">SUM(H78:K78)</f>
        <v>0</v>
      </c>
      <c r="M78" s="1" t="str">
        <f aca="false">IF(L78&gt;=2,"High",IF(L78=1,"Medium","Low"))</f>
        <v>Low</v>
      </c>
    </row>
    <row r="79" customFormat="false" ht="15" hidden="false" customHeight="true" outlineLevel="0" collapsed="false">
      <c r="A79" s="1" t="str">
        <f aca="false">Transactions!A79</f>
        <v>TXN500492</v>
      </c>
      <c r="B79" s="1" t="str">
        <f aca="false">Transactions!B79</f>
        <v>ACC1022</v>
      </c>
      <c r="C79" s="1" t="str">
        <f aca="false">Transactions!I79</f>
        <v>2026-01-06</v>
      </c>
      <c r="D79" s="1" t="n">
        <f aca="false">Transactions!J79</f>
        <v>10</v>
      </c>
      <c r="E79" s="1" t="n">
        <f aca="false">Transactions!D79</f>
        <v>252.64</v>
      </c>
      <c r="F79" s="1" t="str">
        <f aca="false">Transactions!H79</f>
        <v>POS</v>
      </c>
      <c r="G79" s="1" t="str">
        <f aca="false">Transactions!G79</f>
        <v>Dining</v>
      </c>
      <c r="H79" s="1" t="n">
        <f aca="false">IF(COUNTIFS($B$2:$B$1489,B79,$C$2:$C$1489,C79,$D$2:$D$1489,D79)&gt;6,1,0)</f>
        <v>0</v>
      </c>
      <c r="I79" s="1" t="n">
        <f aca="false">IF(AND(F79="Wire",E79&gt;=1000,MOD(E79,1000)=0),1,0)</f>
        <v>0</v>
      </c>
      <c r="J79" s="1" t="n">
        <f aca="false">IF(AND(F79="ATM",E79&gt;2000,D79&lt;=4),1,0)</f>
        <v>0</v>
      </c>
      <c r="K79" s="1" t="n">
        <f aca="false">IF(COUNTIF('SQL Findings'!$A$4:$A$18,B79)&gt;0,1,0)</f>
        <v>0</v>
      </c>
      <c r="L79" s="1" t="n">
        <f aca="false">SUM(H79:K79)</f>
        <v>0</v>
      </c>
      <c r="M79" s="1" t="str">
        <f aca="false">IF(L79&gt;=2,"High",IF(L79=1,"Medium","Low"))</f>
        <v>Low</v>
      </c>
    </row>
    <row r="80" customFormat="false" ht="15" hidden="false" customHeight="true" outlineLevel="0" collapsed="false">
      <c r="A80" s="1" t="str">
        <f aca="false">Transactions!A80</f>
        <v>TXN501222</v>
      </c>
      <c r="B80" s="1" t="str">
        <f aca="false">Transactions!B80</f>
        <v>ACC1054</v>
      </c>
      <c r="C80" s="1" t="str">
        <f aca="false">Transactions!I80</f>
        <v>2026-01-06</v>
      </c>
      <c r="D80" s="1" t="n">
        <f aca="false">Transactions!J80</f>
        <v>12</v>
      </c>
      <c r="E80" s="1" t="n">
        <f aca="false">Transactions!D80</f>
        <v>88.13</v>
      </c>
      <c r="F80" s="1" t="str">
        <f aca="false">Transactions!H80</f>
        <v>POS</v>
      </c>
      <c r="G80" s="1" t="str">
        <f aca="false">Transactions!G80</f>
        <v>Retail</v>
      </c>
      <c r="H80" s="1" t="n">
        <f aca="false">IF(COUNTIFS($B$2:$B$1489,B80,$C$2:$C$1489,C80,$D$2:$D$1489,D80)&gt;6,1,0)</f>
        <v>0</v>
      </c>
      <c r="I80" s="1" t="n">
        <f aca="false">IF(AND(F80="Wire",E80&gt;=1000,MOD(E80,1000)=0),1,0)</f>
        <v>0</v>
      </c>
      <c r="J80" s="1" t="n">
        <f aca="false">IF(AND(F80="ATM",E80&gt;2000,D80&lt;=4),1,0)</f>
        <v>0</v>
      </c>
      <c r="K80" s="1" t="n">
        <f aca="false">IF(COUNTIF('SQL Findings'!$A$4:$A$18,B80)&gt;0,1,0)</f>
        <v>0</v>
      </c>
      <c r="L80" s="1" t="n">
        <f aca="false">SUM(H80:K80)</f>
        <v>0</v>
      </c>
      <c r="M80" s="1" t="str">
        <f aca="false">IF(L80&gt;=2,"High",IF(L80=1,"Medium","Low"))</f>
        <v>Low</v>
      </c>
    </row>
    <row r="81" customFormat="false" ht="15" hidden="false" customHeight="true" outlineLevel="0" collapsed="false">
      <c r="A81" s="1" t="str">
        <f aca="false">Transactions!A81</f>
        <v>TXN500850</v>
      </c>
      <c r="B81" s="1" t="str">
        <f aca="false">Transactions!B81</f>
        <v>ACC1036</v>
      </c>
      <c r="C81" s="1" t="str">
        <f aca="false">Transactions!I81</f>
        <v>2026-01-06</v>
      </c>
      <c r="D81" s="1" t="n">
        <f aca="false">Transactions!J81</f>
        <v>12</v>
      </c>
      <c r="E81" s="1" t="n">
        <f aca="false">Transactions!D81</f>
        <v>41.35</v>
      </c>
      <c r="F81" s="1" t="str">
        <f aca="false">Transactions!H81</f>
        <v>ATM</v>
      </c>
      <c r="G81" s="1" t="str">
        <f aca="false">Transactions!G81</f>
        <v>Dining</v>
      </c>
      <c r="H81" s="1" t="n">
        <f aca="false">IF(COUNTIFS($B$2:$B$1489,B81,$C$2:$C$1489,C81,$D$2:$D$1489,D81)&gt;6,1,0)</f>
        <v>0</v>
      </c>
      <c r="I81" s="1" t="n">
        <f aca="false">IF(AND(F81="Wire",E81&gt;=1000,MOD(E81,1000)=0),1,0)</f>
        <v>0</v>
      </c>
      <c r="J81" s="1" t="n">
        <f aca="false">IF(AND(F81="ATM",E81&gt;2000,D81&lt;=4),1,0)</f>
        <v>0</v>
      </c>
      <c r="K81" s="1" t="n">
        <f aca="false">IF(COUNTIF('SQL Findings'!$A$4:$A$18,B81)&gt;0,1,0)</f>
        <v>0</v>
      </c>
      <c r="L81" s="1" t="n">
        <f aca="false">SUM(H81:K81)</f>
        <v>0</v>
      </c>
      <c r="M81" s="1" t="str">
        <f aca="false">IF(L81&gt;=2,"High",IF(L81=1,"Medium","Low"))</f>
        <v>Low</v>
      </c>
    </row>
    <row r="82" customFormat="false" ht="15" hidden="false" customHeight="true" outlineLevel="0" collapsed="false">
      <c r="A82" s="1" t="str">
        <f aca="false">Transactions!A82</f>
        <v>TXN500253</v>
      </c>
      <c r="B82" s="1" t="str">
        <f aca="false">Transactions!B82</f>
        <v>ACC1010</v>
      </c>
      <c r="C82" s="1" t="str">
        <f aca="false">Transactions!I82</f>
        <v>2026-01-06</v>
      </c>
      <c r="D82" s="1" t="n">
        <f aca="false">Transactions!J82</f>
        <v>15</v>
      </c>
      <c r="E82" s="1" t="n">
        <f aca="false">Transactions!D82</f>
        <v>450.31</v>
      </c>
      <c r="F82" s="1" t="str">
        <f aca="false">Transactions!H82</f>
        <v>Online</v>
      </c>
      <c r="G82" s="1" t="str">
        <f aca="false">Transactions!G82</f>
        <v>Utilities</v>
      </c>
      <c r="H82" s="1" t="n">
        <f aca="false">IF(COUNTIFS($B$2:$B$1489,B82,$C$2:$C$1489,C82,$D$2:$D$1489,D82)&gt;6,1,0)</f>
        <v>0</v>
      </c>
      <c r="I82" s="1" t="n">
        <f aca="false">IF(AND(F82="Wire",E82&gt;=1000,MOD(E82,1000)=0),1,0)</f>
        <v>0</v>
      </c>
      <c r="J82" s="1" t="n">
        <f aca="false">IF(AND(F82="ATM",E82&gt;2000,D82&lt;=4),1,0)</f>
        <v>0</v>
      </c>
      <c r="K82" s="1" t="n">
        <f aca="false">IF(COUNTIF('SQL Findings'!$A$4:$A$18,B82)&gt;0,1,0)</f>
        <v>0</v>
      </c>
      <c r="L82" s="1" t="n">
        <f aca="false">SUM(H82:K82)</f>
        <v>0</v>
      </c>
      <c r="M82" s="1" t="str">
        <f aca="false">IF(L82&gt;=2,"High",IF(L82=1,"Medium","Low"))</f>
        <v>Low</v>
      </c>
    </row>
    <row r="83" customFormat="false" ht="15" hidden="false" customHeight="true" outlineLevel="0" collapsed="false">
      <c r="A83" s="1" t="str">
        <f aca="false">Transactions!A83</f>
        <v>TXN500395</v>
      </c>
      <c r="B83" s="1" t="str">
        <f aca="false">Transactions!B83</f>
        <v>ACC1017</v>
      </c>
      <c r="C83" s="1" t="str">
        <f aca="false">Transactions!I83</f>
        <v>2026-01-06</v>
      </c>
      <c r="D83" s="1" t="n">
        <f aca="false">Transactions!J83</f>
        <v>17</v>
      </c>
      <c r="E83" s="1" t="n">
        <f aca="false">Transactions!D83</f>
        <v>192.77</v>
      </c>
      <c r="F83" s="1" t="str">
        <f aca="false">Transactions!H83</f>
        <v>POS</v>
      </c>
      <c r="G83" s="1" t="str">
        <f aca="false">Transactions!G83</f>
        <v>Electronics</v>
      </c>
      <c r="H83" s="1" t="n">
        <f aca="false">IF(COUNTIFS($B$2:$B$1489,B83,$C$2:$C$1489,C83,$D$2:$D$1489,D83)&gt;6,1,0)</f>
        <v>0</v>
      </c>
      <c r="I83" s="1" t="n">
        <f aca="false">IF(AND(F83="Wire",E83&gt;=1000,MOD(E83,1000)=0),1,0)</f>
        <v>0</v>
      </c>
      <c r="J83" s="1" t="n">
        <f aca="false">IF(AND(F83="ATM",E83&gt;2000,D83&lt;=4),1,0)</f>
        <v>0</v>
      </c>
      <c r="K83" s="1" t="n">
        <f aca="false">IF(COUNTIF('SQL Findings'!$A$4:$A$18,B83)&gt;0,1,0)</f>
        <v>0</v>
      </c>
      <c r="L83" s="1" t="n">
        <f aca="false">SUM(H83:K83)</f>
        <v>0</v>
      </c>
      <c r="M83" s="1" t="str">
        <f aca="false">IF(L83&gt;=2,"High",IF(L83=1,"Medium","Low"))</f>
        <v>Low</v>
      </c>
    </row>
    <row r="84" customFormat="false" ht="15" hidden="false" customHeight="true" outlineLevel="0" collapsed="false">
      <c r="A84" s="1" t="str">
        <f aca="false">Transactions!A84</f>
        <v>TXN500537</v>
      </c>
      <c r="B84" s="1" t="str">
        <f aca="false">Transactions!B84</f>
        <v>ACC1023</v>
      </c>
      <c r="C84" s="1" t="str">
        <f aca="false">Transactions!I84</f>
        <v>2026-01-06</v>
      </c>
      <c r="D84" s="1" t="n">
        <f aca="false">Transactions!J84</f>
        <v>20</v>
      </c>
      <c r="E84" s="1" t="n">
        <f aca="false">Transactions!D84</f>
        <v>30.74</v>
      </c>
      <c r="F84" s="1" t="str">
        <f aca="false">Transactions!H84</f>
        <v>ATM</v>
      </c>
      <c r="G84" s="1" t="str">
        <f aca="false">Transactions!G84</f>
        <v>Utilities</v>
      </c>
      <c r="H84" s="1" t="n">
        <f aca="false">IF(COUNTIFS($B$2:$B$1489,B84,$C$2:$C$1489,C84,$D$2:$D$1489,D84)&gt;6,1,0)</f>
        <v>0</v>
      </c>
      <c r="I84" s="1" t="n">
        <f aca="false">IF(AND(F84="Wire",E84&gt;=1000,MOD(E84,1000)=0),1,0)</f>
        <v>0</v>
      </c>
      <c r="J84" s="1" t="n">
        <f aca="false">IF(AND(F84="ATM",E84&gt;2000,D84&lt;=4),1,0)</f>
        <v>0</v>
      </c>
      <c r="K84" s="1" t="n">
        <f aca="false">IF(COUNTIF('SQL Findings'!$A$4:$A$18,B84)&gt;0,1,0)</f>
        <v>0</v>
      </c>
      <c r="L84" s="1" t="n">
        <f aca="false">SUM(H84:K84)</f>
        <v>0</v>
      </c>
      <c r="M84" s="1" t="str">
        <f aca="false">IF(L84&gt;=2,"High",IF(L84=1,"Medium","Low"))</f>
        <v>Low</v>
      </c>
    </row>
    <row r="85" customFormat="false" ht="15" hidden="false" customHeight="true" outlineLevel="0" collapsed="false">
      <c r="A85" s="1" t="str">
        <f aca="false">Transactions!A85</f>
        <v>TXN500657</v>
      </c>
      <c r="B85" s="1" t="str">
        <f aca="false">Transactions!B85</f>
        <v>ACC1028</v>
      </c>
      <c r="C85" s="1" t="str">
        <f aca="false">Transactions!I85</f>
        <v>2026-01-06</v>
      </c>
      <c r="D85" s="1" t="n">
        <f aca="false">Transactions!J85</f>
        <v>20</v>
      </c>
      <c r="E85" s="1" t="n">
        <f aca="false">Transactions!D85</f>
        <v>67.53</v>
      </c>
      <c r="F85" s="1" t="str">
        <f aca="false">Transactions!H85</f>
        <v>ATM</v>
      </c>
      <c r="G85" s="1" t="str">
        <f aca="false">Transactions!G85</f>
        <v>Wire Transfer</v>
      </c>
      <c r="H85" s="1" t="n">
        <f aca="false">IF(COUNTIFS($B$2:$B$1489,B85,$C$2:$C$1489,C85,$D$2:$D$1489,D85)&gt;6,1,0)</f>
        <v>0</v>
      </c>
      <c r="I85" s="1" t="n">
        <f aca="false">IF(AND(F85="Wire",E85&gt;=1000,MOD(E85,1000)=0),1,0)</f>
        <v>0</v>
      </c>
      <c r="J85" s="1" t="n">
        <f aca="false">IF(AND(F85="ATM",E85&gt;2000,D85&lt;=4),1,0)</f>
        <v>0</v>
      </c>
      <c r="K85" s="1" t="n">
        <f aca="false">IF(COUNTIF('SQL Findings'!$A$4:$A$18,B85)&gt;0,1,0)</f>
        <v>0</v>
      </c>
      <c r="L85" s="1" t="n">
        <f aca="false">SUM(H85:K85)</f>
        <v>0</v>
      </c>
      <c r="M85" s="1" t="str">
        <f aca="false">IF(L85&gt;=2,"High",IF(L85=1,"Medium","Low"))</f>
        <v>Low</v>
      </c>
    </row>
    <row r="86" customFormat="false" ht="15" hidden="false" customHeight="true" outlineLevel="0" collapsed="false">
      <c r="A86" s="1" t="str">
        <f aca="false">Transactions!A86</f>
        <v>TXN500689</v>
      </c>
      <c r="B86" s="1" t="str">
        <f aca="false">Transactions!B86</f>
        <v>ACC1029</v>
      </c>
      <c r="C86" s="1" t="str">
        <f aca="false">Transactions!I86</f>
        <v>2026-01-06</v>
      </c>
      <c r="D86" s="1" t="n">
        <f aca="false">Transactions!J86</f>
        <v>20</v>
      </c>
      <c r="E86" s="1" t="n">
        <f aca="false">Transactions!D86</f>
        <v>126.45</v>
      </c>
      <c r="F86" s="1" t="str">
        <f aca="false">Transactions!H86</f>
        <v>ATM</v>
      </c>
      <c r="G86" s="1" t="str">
        <f aca="false">Transactions!G86</f>
        <v>Wire Transfer</v>
      </c>
      <c r="H86" s="1" t="n">
        <f aca="false">IF(COUNTIFS($B$2:$B$1489,B86,$C$2:$C$1489,C86,$D$2:$D$1489,D86)&gt;6,1,0)</f>
        <v>0</v>
      </c>
      <c r="I86" s="1" t="n">
        <f aca="false">IF(AND(F86="Wire",E86&gt;=1000,MOD(E86,1000)=0),1,0)</f>
        <v>0</v>
      </c>
      <c r="J86" s="1" t="n">
        <f aca="false">IF(AND(F86="ATM",E86&gt;2000,D86&lt;=4),1,0)</f>
        <v>0</v>
      </c>
      <c r="K86" s="1" t="n">
        <f aca="false">IF(COUNTIF('SQL Findings'!$A$4:$A$18,B86)&gt;0,1,0)</f>
        <v>0</v>
      </c>
      <c r="L86" s="1" t="n">
        <f aca="false">SUM(H86:K86)</f>
        <v>0</v>
      </c>
      <c r="M86" s="1" t="str">
        <f aca="false">IF(L86&gt;=2,"High",IF(L86=1,"Medium","Low"))</f>
        <v>Low</v>
      </c>
    </row>
    <row r="87" customFormat="false" ht="15" hidden="false" customHeight="true" outlineLevel="0" collapsed="false">
      <c r="A87" s="1" t="str">
        <f aca="false">Transactions!A87</f>
        <v>TXN500709</v>
      </c>
      <c r="B87" s="1" t="str">
        <f aca="false">Transactions!B87</f>
        <v>ACC1030</v>
      </c>
      <c r="C87" s="1" t="str">
        <f aca="false">Transactions!I87</f>
        <v>2026-01-06</v>
      </c>
      <c r="D87" s="1" t="n">
        <f aca="false">Transactions!J87</f>
        <v>21</v>
      </c>
      <c r="E87" s="1" t="n">
        <f aca="false">Transactions!D87</f>
        <v>10.24</v>
      </c>
      <c r="F87" s="1" t="str">
        <f aca="false">Transactions!H87</f>
        <v>ATM</v>
      </c>
      <c r="G87" s="1" t="str">
        <f aca="false">Transactions!G87</f>
        <v>Travel</v>
      </c>
      <c r="H87" s="1" t="n">
        <f aca="false">IF(COUNTIFS($B$2:$B$1489,B87,$C$2:$C$1489,C87,$D$2:$D$1489,D87)&gt;6,1,0)</f>
        <v>0</v>
      </c>
      <c r="I87" s="1" t="n">
        <f aca="false">IF(AND(F87="Wire",E87&gt;=1000,MOD(E87,1000)=0),1,0)</f>
        <v>0</v>
      </c>
      <c r="J87" s="1" t="n">
        <f aca="false">IF(AND(F87="ATM",E87&gt;2000,D87&lt;=4),1,0)</f>
        <v>0</v>
      </c>
      <c r="K87" s="1" t="n">
        <f aca="false">IF(COUNTIF('SQL Findings'!$A$4:$A$18,B87)&gt;0,1,0)</f>
        <v>1</v>
      </c>
      <c r="L87" s="1" t="n">
        <f aca="false">SUM(H87:K87)</f>
        <v>1</v>
      </c>
      <c r="M87" s="1" t="str">
        <f aca="false">IF(L87&gt;=2,"High",IF(L87=1,"Medium","Low"))</f>
        <v>Medium</v>
      </c>
    </row>
    <row r="88" customFormat="false" ht="15" hidden="false" customHeight="true" outlineLevel="0" collapsed="false">
      <c r="A88" s="1" t="str">
        <f aca="false">Transactions!A88</f>
        <v>TXN500855</v>
      </c>
      <c r="B88" s="1" t="str">
        <f aca="false">Transactions!B88</f>
        <v>ACC1036</v>
      </c>
      <c r="C88" s="1" t="str">
        <f aca="false">Transactions!I88</f>
        <v>2026-01-07</v>
      </c>
      <c r="D88" s="1" t="n">
        <f aca="false">Transactions!J88</f>
        <v>4</v>
      </c>
      <c r="E88" s="1" t="n">
        <f aca="false">Transactions!D88</f>
        <v>239.48</v>
      </c>
      <c r="F88" s="1" t="str">
        <f aca="false">Transactions!H88</f>
        <v>Online</v>
      </c>
      <c r="G88" s="1" t="str">
        <f aca="false">Transactions!G88</f>
        <v>Retail</v>
      </c>
      <c r="H88" s="1" t="n">
        <f aca="false">IF(COUNTIFS($B$2:$B$1489,B88,$C$2:$C$1489,C88,$D$2:$D$1489,D88)&gt;6,1,0)</f>
        <v>0</v>
      </c>
      <c r="I88" s="1" t="n">
        <f aca="false">IF(AND(F88="Wire",E88&gt;=1000,MOD(E88,1000)=0),1,0)</f>
        <v>0</v>
      </c>
      <c r="J88" s="1" t="n">
        <f aca="false">IF(AND(F88="ATM",E88&gt;2000,D88&lt;=4),1,0)</f>
        <v>0</v>
      </c>
      <c r="K88" s="1" t="n">
        <f aca="false">IF(COUNTIF('SQL Findings'!$A$4:$A$18,B88)&gt;0,1,0)</f>
        <v>0</v>
      </c>
      <c r="L88" s="1" t="n">
        <f aca="false">SUM(H88:K88)</f>
        <v>0</v>
      </c>
      <c r="M88" s="1" t="str">
        <f aca="false">IF(L88&gt;=2,"High",IF(L88=1,"Medium","Low"))</f>
        <v>Low</v>
      </c>
    </row>
    <row r="89" customFormat="false" ht="15" hidden="false" customHeight="true" outlineLevel="0" collapsed="false">
      <c r="A89" s="1" t="str">
        <f aca="false">Transactions!A89</f>
        <v>TXN500062</v>
      </c>
      <c r="B89" s="1" t="str">
        <f aca="false">Transactions!B89</f>
        <v>ACC1002</v>
      </c>
      <c r="C89" s="1" t="str">
        <f aca="false">Transactions!I89</f>
        <v>2026-01-07</v>
      </c>
      <c r="D89" s="1" t="n">
        <f aca="false">Transactions!J89</f>
        <v>4</v>
      </c>
      <c r="E89" s="1" t="n">
        <f aca="false">Transactions!D89</f>
        <v>56.42</v>
      </c>
      <c r="F89" s="1" t="str">
        <f aca="false">Transactions!H89</f>
        <v>POS</v>
      </c>
      <c r="G89" s="1" t="str">
        <f aca="false">Transactions!G89</f>
        <v>Utilities</v>
      </c>
      <c r="H89" s="1" t="n">
        <f aca="false">IF(COUNTIFS($B$2:$B$1489,B89,$C$2:$C$1489,C89,$D$2:$D$1489,D89)&gt;6,1,0)</f>
        <v>0</v>
      </c>
      <c r="I89" s="1" t="n">
        <f aca="false">IF(AND(F89="Wire",E89&gt;=1000,MOD(E89,1000)=0),1,0)</f>
        <v>0</v>
      </c>
      <c r="J89" s="1" t="n">
        <f aca="false">IF(AND(F89="ATM",E89&gt;2000,D89&lt;=4),1,0)</f>
        <v>0</v>
      </c>
      <c r="K89" s="1" t="n">
        <f aca="false">IF(COUNTIF('SQL Findings'!$A$4:$A$18,B89)&gt;0,1,0)</f>
        <v>1</v>
      </c>
      <c r="L89" s="1" t="n">
        <f aca="false">SUM(H89:K89)</f>
        <v>1</v>
      </c>
      <c r="M89" s="1" t="str">
        <f aca="false">IF(L89&gt;=2,"High",IF(L89=1,"Medium","Low"))</f>
        <v>Medium</v>
      </c>
    </row>
    <row r="90" customFormat="false" ht="15" hidden="false" customHeight="true" outlineLevel="0" collapsed="false">
      <c r="A90" s="1" t="str">
        <f aca="false">Transactions!A90</f>
        <v>TXN500179</v>
      </c>
      <c r="B90" s="1" t="str">
        <f aca="false">Transactions!B90</f>
        <v>ACC1007</v>
      </c>
      <c r="C90" s="1" t="str">
        <f aca="false">Transactions!I90</f>
        <v>2026-01-07</v>
      </c>
      <c r="D90" s="1" t="n">
        <f aca="false">Transactions!J90</f>
        <v>7</v>
      </c>
      <c r="E90" s="1" t="n">
        <f aca="false">Transactions!D90</f>
        <v>52.55</v>
      </c>
      <c r="F90" s="1" t="str">
        <f aca="false">Transactions!H90</f>
        <v>ATM</v>
      </c>
      <c r="G90" s="1" t="str">
        <f aca="false">Transactions!G90</f>
        <v>Online Marketplace</v>
      </c>
      <c r="H90" s="1" t="n">
        <f aca="false">IF(COUNTIFS($B$2:$B$1489,B90,$C$2:$C$1489,C90,$D$2:$D$1489,D90)&gt;6,1,0)</f>
        <v>0</v>
      </c>
      <c r="I90" s="1" t="n">
        <f aca="false">IF(AND(F90="Wire",E90&gt;=1000,MOD(E90,1000)=0),1,0)</f>
        <v>0</v>
      </c>
      <c r="J90" s="1" t="n">
        <f aca="false">IF(AND(F90="ATM",E90&gt;2000,D90&lt;=4),1,0)</f>
        <v>0</v>
      </c>
      <c r="K90" s="1" t="n">
        <f aca="false">IF(COUNTIF('SQL Findings'!$A$4:$A$18,B90)&gt;0,1,0)</f>
        <v>0</v>
      </c>
      <c r="L90" s="1" t="n">
        <f aca="false">SUM(H90:K90)</f>
        <v>0</v>
      </c>
      <c r="M90" s="1" t="str">
        <f aca="false">IF(L90&gt;=2,"High",IF(L90=1,"Medium","Low"))</f>
        <v>Low</v>
      </c>
    </row>
    <row r="91" customFormat="false" ht="15" hidden="false" customHeight="true" outlineLevel="0" collapsed="false">
      <c r="A91" s="1" t="str">
        <f aca="false">Transactions!A91</f>
        <v>TXN501181</v>
      </c>
      <c r="B91" s="1" t="str">
        <f aca="false">Transactions!B91</f>
        <v>ACC1052</v>
      </c>
      <c r="C91" s="1" t="str">
        <f aca="false">Transactions!I91</f>
        <v>2026-01-07</v>
      </c>
      <c r="D91" s="1" t="n">
        <f aca="false">Transactions!J91</f>
        <v>7</v>
      </c>
      <c r="E91" s="1" t="n">
        <f aca="false">Transactions!D91</f>
        <v>78.41</v>
      </c>
      <c r="F91" s="1" t="str">
        <f aca="false">Transactions!H91</f>
        <v>Online</v>
      </c>
      <c r="G91" s="1" t="str">
        <f aca="false">Transactions!G91</f>
        <v>Travel</v>
      </c>
      <c r="H91" s="1" t="n">
        <f aca="false">IF(COUNTIFS($B$2:$B$1489,B91,$C$2:$C$1489,C91,$D$2:$D$1489,D91)&gt;6,1,0)</f>
        <v>0</v>
      </c>
      <c r="I91" s="1" t="n">
        <f aca="false">IF(AND(F91="Wire",E91&gt;=1000,MOD(E91,1000)=0),1,0)</f>
        <v>0</v>
      </c>
      <c r="J91" s="1" t="n">
        <f aca="false">IF(AND(F91="ATM",E91&gt;2000,D91&lt;=4),1,0)</f>
        <v>0</v>
      </c>
      <c r="K91" s="1" t="n">
        <f aca="false">IF(COUNTIF('SQL Findings'!$A$4:$A$18,B91)&gt;0,1,0)</f>
        <v>0</v>
      </c>
      <c r="L91" s="1" t="n">
        <f aca="false">SUM(H91:K91)</f>
        <v>0</v>
      </c>
      <c r="M91" s="1" t="str">
        <f aca="false">IF(L91&gt;=2,"High",IF(L91=1,"Medium","Low"))</f>
        <v>Low</v>
      </c>
    </row>
    <row r="92" customFormat="false" ht="15" hidden="false" customHeight="true" outlineLevel="0" collapsed="false">
      <c r="A92" s="1" t="str">
        <f aca="false">Transactions!A92</f>
        <v>TXN500116</v>
      </c>
      <c r="B92" s="1" t="str">
        <f aca="false">Transactions!B92</f>
        <v>ACC1004</v>
      </c>
      <c r="C92" s="1" t="str">
        <f aca="false">Transactions!I92</f>
        <v>2026-01-07</v>
      </c>
      <c r="D92" s="1" t="n">
        <f aca="false">Transactions!J92</f>
        <v>8</v>
      </c>
      <c r="E92" s="1" t="n">
        <f aca="false">Transactions!D92</f>
        <v>87.48</v>
      </c>
      <c r="F92" s="1" t="str">
        <f aca="false">Transactions!H92</f>
        <v>Online</v>
      </c>
      <c r="G92" s="1" t="str">
        <f aca="false">Transactions!G92</f>
        <v>Dining</v>
      </c>
      <c r="H92" s="1" t="n">
        <f aca="false">IF(COUNTIFS($B$2:$B$1489,B92,$C$2:$C$1489,C92,$D$2:$D$1489,D92)&gt;6,1,0)</f>
        <v>0</v>
      </c>
      <c r="I92" s="1" t="n">
        <f aca="false">IF(AND(F92="Wire",E92&gt;=1000,MOD(E92,1000)=0),1,0)</f>
        <v>0</v>
      </c>
      <c r="J92" s="1" t="n">
        <f aca="false">IF(AND(F92="ATM",E92&gt;2000,D92&lt;=4),1,0)</f>
        <v>0</v>
      </c>
      <c r="K92" s="1" t="n">
        <f aca="false">IF(COUNTIF('SQL Findings'!$A$4:$A$18,B92)&gt;0,1,0)</f>
        <v>1</v>
      </c>
      <c r="L92" s="1" t="n">
        <f aca="false">SUM(H92:K92)</f>
        <v>1</v>
      </c>
      <c r="M92" s="1" t="str">
        <f aca="false">IF(L92&gt;=2,"High",IF(L92=1,"Medium","Low"))</f>
        <v>Medium</v>
      </c>
    </row>
    <row r="93" customFormat="false" ht="15" hidden="false" customHeight="true" outlineLevel="0" collapsed="false">
      <c r="A93" s="1" t="str">
        <f aca="false">Transactions!A93</f>
        <v>TXN501235</v>
      </c>
      <c r="B93" s="1" t="str">
        <f aca="false">Transactions!B93</f>
        <v>ACC1054</v>
      </c>
      <c r="C93" s="1" t="str">
        <f aca="false">Transactions!I93</f>
        <v>2026-01-07</v>
      </c>
      <c r="D93" s="1" t="n">
        <f aca="false">Transactions!J93</f>
        <v>10</v>
      </c>
      <c r="E93" s="1" t="n">
        <f aca="false">Transactions!D93</f>
        <v>32.35</v>
      </c>
      <c r="F93" s="1" t="str">
        <f aca="false">Transactions!H93</f>
        <v>Online</v>
      </c>
      <c r="G93" s="1" t="str">
        <f aca="false">Transactions!G93</f>
        <v>Online Marketplace</v>
      </c>
      <c r="H93" s="1" t="n">
        <f aca="false">IF(COUNTIFS($B$2:$B$1489,B93,$C$2:$C$1489,C93,$D$2:$D$1489,D93)&gt;6,1,0)</f>
        <v>0</v>
      </c>
      <c r="I93" s="1" t="n">
        <f aca="false">IF(AND(F93="Wire",E93&gt;=1000,MOD(E93,1000)=0),1,0)</f>
        <v>0</v>
      </c>
      <c r="J93" s="1" t="n">
        <f aca="false">IF(AND(F93="ATM",E93&gt;2000,D93&lt;=4),1,0)</f>
        <v>0</v>
      </c>
      <c r="K93" s="1" t="n">
        <f aca="false">IF(COUNTIF('SQL Findings'!$A$4:$A$18,B93)&gt;0,1,0)</f>
        <v>0</v>
      </c>
      <c r="L93" s="1" t="n">
        <f aca="false">SUM(H93:K93)</f>
        <v>0</v>
      </c>
      <c r="M93" s="1" t="str">
        <f aca="false">IF(L93&gt;=2,"High",IF(L93=1,"Medium","Low"))</f>
        <v>Low</v>
      </c>
    </row>
    <row r="94" customFormat="false" ht="15" hidden="false" customHeight="true" outlineLevel="0" collapsed="false">
      <c r="A94" s="1" t="str">
        <f aca="false">Transactions!A94</f>
        <v>TXN501460</v>
      </c>
      <c r="B94" s="1" t="str">
        <f aca="false">Transactions!B94</f>
        <v>ACC1006</v>
      </c>
      <c r="C94" s="1" t="str">
        <f aca="false">Transactions!I94</f>
        <v>2026-01-07</v>
      </c>
      <c r="D94" s="1" t="n">
        <f aca="false">Transactions!J94</f>
        <v>12</v>
      </c>
      <c r="E94" s="1" t="n">
        <f aca="false">Transactions!D94</f>
        <v>1000</v>
      </c>
      <c r="F94" s="1" t="str">
        <f aca="false">Transactions!H94</f>
        <v>Wire</v>
      </c>
      <c r="G94" s="1" t="str">
        <f aca="false">Transactions!G94</f>
        <v>Wire Transfer</v>
      </c>
      <c r="H94" s="1" t="n">
        <f aca="false">IF(COUNTIFS($B$2:$B$1489,B94,$C$2:$C$1489,C94,$D$2:$D$1489,D94)&gt;6,1,0)</f>
        <v>0</v>
      </c>
      <c r="I94" s="1" t="n">
        <f aca="false">IF(AND(F94="Wire",E94&gt;=1000,MOD(E94,1000)=0),1,0)</f>
        <v>1</v>
      </c>
      <c r="J94" s="1" t="n">
        <f aca="false">IF(AND(F94="ATM",E94&gt;2000,D94&lt;=4),1,0)</f>
        <v>0</v>
      </c>
      <c r="K94" s="1" t="n">
        <f aca="false">IF(COUNTIF('SQL Findings'!$A$4:$A$18,B94)&gt;0,1,0)</f>
        <v>0</v>
      </c>
      <c r="L94" s="1" t="n">
        <f aca="false">SUM(H94:K94)</f>
        <v>1</v>
      </c>
      <c r="M94" s="1" t="str">
        <f aca="false">IF(L94&gt;=2,"High",IF(L94=1,"Medium","Low"))</f>
        <v>Medium</v>
      </c>
    </row>
    <row r="95" customFormat="false" ht="15" hidden="false" customHeight="true" outlineLevel="0" collapsed="false">
      <c r="A95" s="1" t="str">
        <f aca="false">Transactions!A95</f>
        <v>TXN500149</v>
      </c>
      <c r="B95" s="1" t="str">
        <f aca="false">Transactions!B95</f>
        <v>ACC1006</v>
      </c>
      <c r="C95" s="1" t="str">
        <f aca="false">Transactions!I95</f>
        <v>2026-01-07</v>
      </c>
      <c r="D95" s="1" t="n">
        <f aca="false">Transactions!J95</f>
        <v>12</v>
      </c>
      <c r="E95" s="1" t="n">
        <f aca="false">Transactions!D95</f>
        <v>106.67</v>
      </c>
      <c r="F95" s="1" t="str">
        <f aca="false">Transactions!H95</f>
        <v>ATM</v>
      </c>
      <c r="G95" s="1" t="str">
        <f aca="false">Transactions!G95</f>
        <v>Travel</v>
      </c>
      <c r="H95" s="1" t="n">
        <f aca="false">IF(COUNTIFS($B$2:$B$1489,B95,$C$2:$C$1489,C95,$D$2:$D$1489,D95)&gt;6,1,0)</f>
        <v>0</v>
      </c>
      <c r="I95" s="1" t="n">
        <f aca="false">IF(AND(F95="Wire",E95&gt;=1000,MOD(E95,1000)=0),1,0)</f>
        <v>0</v>
      </c>
      <c r="J95" s="1" t="n">
        <f aca="false">IF(AND(F95="ATM",E95&gt;2000,D95&lt;=4),1,0)</f>
        <v>0</v>
      </c>
      <c r="K95" s="1" t="n">
        <f aca="false">IF(COUNTIF('SQL Findings'!$A$4:$A$18,B95)&gt;0,1,0)</f>
        <v>0</v>
      </c>
      <c r="L95" s="1" t="n">
        <f aca="false">SUM(H95:K95)</f>
        <v>0</v>
      </c>
      <c r="M95" s="1" t="str">
        <f aca="false">IF(L95&gt;=2,"High",IF(L95=1,"Medium","Low"))</f>
        <v>Low</v>
      </c>
    </row>
    <row r="96" customFormat="false" ht="15" hidden="false" customHeight="true" outlineLevel="0" collapsed="false">
      <c r="A96" s="1" t="str">
        <f aca="false">Transactions!A96</f>
        <v>TXN500414</v>
      </c>
      <c r="B96" s="1" t="str">
        <f aca="false">Transactions!B96</f>
        <v>ACC1018</v>
      </c>
      <c r="C96" s="1" t="str">
        <f aca="false">Transactions!I96</f>
        <v>2026-01-07</v>
      </c>
      <c r="D96" s="1" t="n">
        <f aca="false">Transactions!J96</f>
        <v>13</v>
      </c>
      <c r="E96" s="1" t="n">
        <f aca="false">Transactions!D96</f>
        <v>210.59</v>
      </c>
      <c r="F96" s="1" t="str">
        <f aca="false">Transactions!H96</f>
        <v>ATM</v>
      </c>
      <c r="G96" s="1" t="str">
        <f aca="false">Transactions!G96</f>
        <v>Cash Withdrawal</v>
      </c>
      <c r="H96" s="1" t="n">
        <f aca="false">IF(COUNTIFS($B$2:$B$1489,B96,$C$2:$C$1489,C96,$D$2:$D$1489,D96)&gt;6,1,0)</f>
        <v>0</v>
      </c>
      <c r="I96" s="1" t="n">
        <f aca="false">IF(AND(F96="Wire",E96&gt;=1000,MOD(E96,1000)=0),1,0)</f>
        <v>0</v>
      </c>
      <c r="J96" s="1" t="n">
        <f aca="false">IF(AND(F96="ATM",E96&gt;2000,D96&lt;=4),1,0)</f>
        <v>0</v>
      </c>
      <c r="K96" s="1" t="n">
        <f aca="false">IF(COUNTIF('SQL Findings'!$A$4:$A$18,B96)&gt;0,1,0)</f>
        <v>0</v>
      </c>
      <c r="L96" s="1" t="n">
        <f aca="false">SUM(H96:K96)</f>
        <v>0</v>
      </c>
      <c r="M96" s="1" t="str">
        <f aca="false">IF(L96&gt;=2,"High",IF(L96=1,"Medium","Low"))</f>
        <v>Low</v>
      </c>
    </row>
    <row r="97" customFormat="false" ht="15" hidden="false" customHeight="true" outlineLevel="0" collapsed="false">
      <c r="A97" s="1" t="str">
        <f aca="false">Transactions!A97</f>
        <v>TXN501168</v>
      </c>
      <c r="B97" s="1" t="str">
        <f aca="false">Transactions!B97</f>
        <v>ACC1051</v>
      </c>
      <c r="C97" s="1" t="str">
        <f aca="false">Transactions!I97</f>
        <v>2026-01-07</v>
      </c>
      <c r="D97" s="1" t="n">
        <f aca="false">Transactions!J97</f>
        <v>14</v>
      </c>
      <c r="E97" s="1" t="n">
        <f aca="false">Transactions!D97</f>
        <v>110.78</v>
      </c>
      <c r="F97" s="1" t="str">
        <f aca="false">Transactions!H97</f>
        <v>ATM</v>
      </c>
      <c r="G97" s="1" t="str">
        <f aca="false">Transactions!G97</f>
        <v>Online Marketplace</v>
      </c>
      <c r="H97" s="1" t="n">
        <f aca="false">IF(COUNTIFS($B$2:$B$1489,B97,$C$2:$C$1489,C97,$D$2:$D$1489,D97)&gt;6,1,0)</f>
        <v>0</v>
      </c>
      <c r="I97" s="1" t="n">
        <f aca="false">IF(AND(F97="Wire",E97&gt;=1000,MOD(E97,1000)=0),1,0)</f>
        <v>0</v>
      </c>
      <c r="J97" s="1" t="n">
        <f aca="false">IF(AND(F97="ATM",E97&gt;2000,D97&lt;=4),1,0)</f>
        <v>0</v>
      </c>
      <c r="K97" s="1" t="n">
        <f aca="false">IF(COUNTIF('SQL Findings'!$A$4:$A$18,B97)&gt;0,1,0)</f>
        <v>0</v>
      </c>
      <c r="L97" s="1" t="n">
        <f aca="false">SUM(H97:K97)</f>
        <v>0</v>
      </c>
      <c r="M97" s="1" t="str">
        <f aca="false">IF(L97&gt;=2,"High",IF(L97=1,"Medium","Low"))</f>
        <v>Low</v>
      </c>
    </row>
    <row r="98" customFormat="false" ht="15" hidden="false" customHeight="true" outlineLevel="0" collapsed="false">
      <c r="A98" s="1" t="str">
        <f aca="false">Transactions!A98</f>
        <v>TXN500445</v>
      </c>
      <c r="B98" s="1" t="str">
        <f aca="false">Transactions!B98</f>
        <v>ACC1020</v>
      </c>
      <c r="C98" s="1" t="str">
        <f aca="false">Transactions!I98</f>
        <v>2026-01-07</v>
      </c>
      <c r="D98" s="1" t="n">
        <f aca="false">Transactions!J98</f>
        <v>14</v>
      </c>
      <c r="E98" s="1" t="n">
        <f aca="false">Transactions!D98</f>
        <v>20.61</v>
      </c>
      <c r="F98" s="1" t="str">
        <f aca="false">Transactions!H98</f>
        <v>ATM</v>
      </c>
      <c r="G98" s="1" t="str">
        <f aca="false">Transactions!G98</f>
        <v>Dining</v>
      </c>
      <c r="H98" s="1" t="n">
        <f aca="false">IF(COUNTIFS($B$2:$B$1489,B98,$C$2:$C$1489,C98,$D$2:$D$1489,D98)&gt;6,1,0)</f>
        <v>0</v>
      </c>
      <c r="I98" s="1" t="n">
        <f aca="false">IF(AND(F98="Wire",E98&gt;=1000,MOD(E98,1000)=0),1,0)</f>
        <v>0</v>
      </c>
      <c r="J98" s="1" t="n">
        <f aca="false">IF(AND(F98="ATM",E98&gt;2000,D98&lt;=4),1,0)</f>
        <v>0</v>
      </c>
      <c r="K98" s="1" t="n">
        <f aca="false">IF(COUNTIF('SQL Findings'!$A$4:$A$18,B98)&gt;0,1,0)</f>
        <v>0</v>
      </c>
      <c r="L98" s="1" t="n">
        <f aca="false">SUM(H98:K98)</f>
        <v>0</v>
      </c>
      <c r="M98" s="1" t="str">
        <f aca="false">IF(L98&gt;=2,"High",IF(L98=1,"Medium","Low"))</f>
        <v>Low</v>
      </c>
    </row>
    <row r="99" customFormat="false" ht="15" hidden="false" customHeight="true" outlineLevel="0" collapsed="false">
      <c r="A99" s="1" t="str">
        <f aca="false">Transactions!A99</f>
        <v>TXN500035</v>
      </c>
      <c r="B99" s="1" t="str">
        <f aca="false">Transactions!B99</f>
        <v>ACC1001</v>
      </c>
      <c r="C99" s="1" t="str">
        <f aca="false">Transactions!I99</f>
        <v>2026-01-07</v>
      </c>
      <c r="D99" s="1" t="n">
        <f aca="false">Transactions!J99</f>
        <v>14</v>
      </c>
      <c r="E99" s="1" t="n">
        <f aca="false">Transactions!D99</f>
        <v>139.81</v>
      </c>
      <c r="F99" s="1" t="str">
        <f aca="false">Transactions!H99</f>
        <v>POS</v>
      </c>
      <c r="G99" s="1" t="str">
        <f aca="false">Transactions!G99</f>
        <v>Electronics</v>
      </c>
      <c r="H99" s="1" t="n">
        <f aca="false">IF(COUNTIFS($B$2:$B$1489,B99,$C$2:$C$1489,C99,$D$2:$D$1489,D99)&gt;6,1,0)</f>
        <v>0</v>
      </c>
      <c r="I99" s="1" t="n">
        <f aca="false">IF(AND(F99="Wire",E99&gt;=1000,MOD(E99,1000)=0),1,0)</f>
        <v>0</v>
      </c>
      <c r="J99" s="1" t="n">
        <f aca="false">IF(AND(F99="ATM",E99&gt;2000,D99&lt;=4),1,0)</f>
        <v>0</v>
      </c>
      <c r="K99" s="1" t="n">
        <f aca="false">IF(COUNTIF('SQL Findings'!$A$4:$A$18,B99)&gt;0,1,0)</f>
        <v>1</v>
      </c>
      <c r="L99" s="1" t="n">
        <f aca="false">SUM(H99:K99)</f>
        <v>1</v>
      </c>
      <c r="M99" s="1" t="str">
        <f aca="false">IF(L99&gt;=2,"High",IF(L99=1,"Medium","Low"))</f>
        <v>Medium</v>
      </c>
    </row>
    <row r="100" customFormat="false" ht="15" hidden="false" customHeight="true" outlineLevel="0" collapsed="false">
      <c r="A100" s="1" t="str">
        <f aca="false">Transactions!A100</f>
        <v>TXN500842</v>
      </c>
      <c r="B100" s="1" t="str">
        <f aca="false">Transactions!B100</f>
        <v>ACC1036</v>
      </c>
      <c r="C100" s="1" t="str">
        <f aca="false">Transactions!I100</f>
        <v>2026-01-07</v>
      </c>
      <c r="D100" s="1" t="n">
        <f aca="false">Transactions!J100</f>
        <v>15</v>
      </c>
      <c r="E100" s="1" t="n">
        <f aca="false">Transactions!D100</f>
        <v>122.41</v>
      </c>
      <c r="F100" s="1" t="str">
        <f aca="false">Transactions!H100</f>
        <v>Online</v>
      </c>
      <c r="G100" s="1" t="str">
        <f aca="false">Transactions!G100</f>
        <v>Online Marketplace</v>
      </c>
      <c r="H100" s="1" t="n">
        <f aca="false">IF(COUNTIFS($B$2:$B$1489,B100,$C$2:$C$1489,C100,$D$2:$D$1489,D100)&gt;6,1,0)</f>
        <v>0</v>
      </c>
      <c r="I100" s="1" t="n">
        <f aca="false">IF(AND(F100="Wire",E100&gt;=1000,MOD(E100,1000)=0),1,0)</f>
        <v>0</v>
      </c>
      <c r="J100" s="1" t="n">
        <f aca="false">IF(AND(F100="ATM",E100&gt;2000,D100&lt;=4),1,0)</f>
        <v>0</v>
      </c>
      <c r="K100" s="1" t="n">
        <f aca="false">IF(COUNTIF('SQL Findings'!$A$4:$A$18,B100)&gt;0,1,0)</f>
        <v>0</v>
      </c>
      <c r="L100" s="1" t="n">
        <f aca="false">SUM(H100:K100)</f>
        <v>0</v>
      </c>
      <c r="M100" s="1" t="str">
        <f aca="false">IF(L100&gt;=2,"High",IF(L100=1,"Medium","Low"))</f>
        <v>Low</v>
      </c>
    </row>
    <row r="101" customFormat="false" ht="15" hidden="false" customHeight="true" outlineLevel="0" collapsed="false">
      <c r="A101" s="1" t="str">
        <f aca="false">Transactions!A101</f>
        <v>TXN500921</v>
      </c>
      <c r="B101" s="1" t="str">
        <f aca="false">Transactions!B101</f>
        <v>ACC1039</v>
      </c>
      <c r="C101" s="1" t="str">
        <f aca="false">Transactions!I101</f>
        <v>2026-01-07</v>
      </c>
      <c r="D101" s="1" t="n">
        <f aca="false">Transactions!J101</f>
        <v>16</v>
      </c>
      <c r="E101" s="1" t="n">
        <f aca="false">Transactions!D101</f>
        <v>175.26</v>
      </c>
      <c r="F101" s="1" t="str">
        <f aca="false">Transactions!H101</f>
        <v>Online</v>
      </c>
      <c r="G101" s="1" t="str">
        <f aca="false">Transactions!G101</f>
        <v>Utilities</v>
      </c>
      <c r="H101" s="1" t="n">
        <f aca="false">IF(COUNTIFS($B$2:$B$1489,B101,$C$2:$C$1489,C101,$D$2:$D$1489,D101)&gt;6,1,0)</f>
        <v>0</v>
      </c>
      <c r="I101" s="1" t="n">
        <f aca="false">IF(AND(F101="Wire",E101&gt;=1000,MOD(E101,1000)=0),1,0)</f>
        <v>0</v>
      </c>
      <c r="J101" s="1" t="n">
        <f aca="false">IF(AND(F101="ATM",E101&gt;2000,D101&lt;=4),1,0)</f>
        <v>0</v>
      </c>
      <c r="K101" s="1" t="n">
        <f aca="false">IF(COUNTIF('SQL Findings'!$A$4:$A$18,B101)&gt;0,1,0)</f>
        <v>0</v>
      </c>
      <c r="L101" s="1" t="n">
        <f aca="false">SUM(H101:K101)</f>
        <v>0</v>
      </c>
      <c r="M101" s="1" t="str">
        <f aca="false">IF(L101&gt;=2,"High",IF(L101=1,"Medium","Low"))</f>
        <v>Low</v>
      </c>
    </row>
    <row r="102" customFormat="false" ht="15" hidden="false" customHeight="true" outlineLevel="0" collapsed="false">
      <c r="A102" s="1" t="str">
        <f aca="false">Transactions!A102</f>
        <v>TXN501466</v>
      </c>
      <c r="B102" s="1" t="str">
        <f aca="false">Transactions!B102</f>
        <v>ACC1055</v>
      </c>
      <c r="C102" s="1" t="str">
        <f aca="false">Transactions!I102</f>
        <v>2026-01-07</v>
      </c>
      <c r="D102" s="1" t="n">
        <f aca="false">Transactions!J102</f>
        <v>17</v>
      </c>
      <c r="E102" s="1" t="n">
        <f aca="false">Transactions!D102</f>
        <v>2000</v>
      </c>
      <c r="F102" s="1" t="str">
        <f aca="false">Transactions!H102</f>
        <v>Wire</v>
      </c>
      <c r="G102" s="1" t="str">
        <f aca="false">Transactions!G102</f>
        <v>Wire Transfer</v>
      </c>
      <c r="H102" s="1" t="n">
        <f aca="false">IF(COUNTIFS($B$2:$B$1489,B102,$C$2:$C$1489,C102,$D$2:$D$1489,D102)&gt;6,1,0)</f>
        <v>0</v>
      </c>
      <c r="I102" s="1" t="n">
        <f aca="false">IF(AND(F102="Wire",E102&gt;=1000,MOD(E102,1000)=0),1,0)</f>
        <v>1</v>
      </c>
      <c r="J102" s="1" t="n">
        <f aca="false">IF(AND(F102="ATM",E102&gt;2000,D102&lt;=4),1,0)</f>
        <v>0</v>
      </c>
      <c r="K102" s="1" t="n">
        <f aca="false">IF(COUNTIF('SQL Findings'!$A$4:$A$18,B102)&gt;0,1,0)</f>
        <v>1</v>
      </c>
      <c r="L102" s="1" t="n">
        <f aca="false">SUM(H102:K102)</f>
        <v>2</v>
      </c>
      <c r="M102" s="1" t="str">
        <f aca="false">IF(L102&gt;=2,"High",IF(L102=1,"Medium","Low"))</f>
        <v>High</v>
      </c>
    </row>
    <row r="103" customFormat="false" ht="15" hidden="false" customHeight="true" outlineLevel="0" collapsed="false">
      <c r="A103" s="1" t="str">
        <f aca="false">Transactions!A103</f>
        <v>TXN500012</v>
      </c>
      <c r="B103" s="1" t="str">
        <f aca="false">Transactions!B103</f>
        <v>ACC1000</v>
      </c>
      <c r="C103" s="1" t="str">
        <f aca="false">Transactions!I103</f>
        <v>2026-01-07</v>
      </c>
      <c r="D103" s="1" t="n">
        <f aca="false">Transactions!J103</f>
        <v>17</v>
      </c>
      <c r="E103" s="1" t="n">
        <f aca="false">Transactions!D103</f>
        <v>43.85</v>
      </c>
      <c r="F103" s="1" t="str">
        <f aca="false">Transactions!H103</f>
        <v>ATM</v>
      </c>
      <c r="G103" s="1" t="str">
        <f aca="false">Transactions!G103</f>
        <v>Travel</v>
      </c>
      <c r="H103" s="1" t="n">
        <f aca="false">IF(COUNTIFS($B$2:$B$1489,B103,$C$2:$C$1489,C103,$D$2:$D$1489,D103)&gt;6,1,0)</f>
        <v>0</v>
      </c>
      <c r="I103" s="1" t="n">
        <f aca="false">IF(AND(F103="Wire",E103&gt;=1000,MOD(E103,1000)=0),1,0)</f>
        <v>0</v>
      </c>
      <c r="J103" s="1" t="n">
        <f aca="false">IF(AND(F103="ATM",E103&gt;2000,D103&lt;=4),1,0)</f>
        <v>0</v>
      </c>
      <c r="K103" s="1" t="n">
        <f aca="false">IF(COUNTIF('SQL Findings'!$A$4:$A$18,B103)&gt;0,1,0)</f>
        <v>1</v>
      </c>
      <c r="L103" s="1" t="n">
        <f aca="false">SUM(H103:K103)</f>
        <v>1</v>
      </c>
      <c r="M103" s="1" t="str">
        <f aca="false">IF(L103&gt;=2,"High",IF(L103=1,"Medium","Low"))</f>
        <v>Medium</v>
      </c>
    </row>
    <row r="104" customFormat="false" ht="15" hidden="false" customHeight="true" outlineLevel="0" collapsed="false">
      <c r="A104" s="1" t="str">
        <f aca="false">Transactions!A104</f>
        <v>TXN500358</v>
      </c>
      <c r="B104" s="1" t="str">
        <f aca="false">Transactions!B104</f>
        <v>ACC1015</v>
      </c>
      <c r="C104" s="1" t="str">
        <f aca="false">Transactions!I104</f>
        <v>2026-01-07</v>
      </c>
      <c r="D104" s="1" t="n">
        <f aca="false">Transactions!J104</f>
        <v>17</v>
      </c>
      <c r="E104" s="1" t="n">
        <f aca="false">Transactions!D104</f>
        <v>51.43</v>
      </c>
      <c r="F104" s="1" t="str">
        <f aca="false">Transactions!H104</f>
        <v>POS</v>
      </c>
      <c r="G104" s="1" t="str">
        <f aca="false">Transactions!G104</f>
        <v>Utilities</v>
      </c>
      <c r="H104" s="1" t="n">
        <f aca="false">IF(COUNTIFS($B$2:$B$1489,B104,$C$2:$C$1489,C104,$D$2:$D$1489,D104)&gt;6,1,0)</f>
        <v>0</v>
      </c>
      <c r="I104" s="1" t="n">
        <f aca="false">IF(AND(F104="Wire",E104&gt;=1000,MOD(E104,1000)=0),1,0)</f>
        <v>0</v>
      </c>
      <c r="J104" s="1" t="n">
        <f aca="false">IF(AND(F104="ATM",E104&gt;2000,D104&lt;=4),1,0)</f>
        <v>0</v>
      </c>
      <c r="K104" s="1" t="n">
        <f aca="false">IF(COUNTIF('SQL Findings'!$A$4:$A$18,B104)&gt;0,1,0)</f>
        <v>1</v>
      </c>
      <c r="L104" s="1" t="n">
        <f aca="false">SUM(H104:K104)</f>
        <v>1</v>
      </c>
      <c r="M104" s="1" t="str">
        <f aca="false">IF(L104&gt;=2,"High",IF(L104=1,"Medium","Low"))</f>
        <v>Medium</v>
      </c>
    </row>
    <row r="105" customFormat="false" ht="15" hidden="false" customHeight="true" outlineLevel="0" collapsed="false">
      <c r="A105" s="1" t="str">
        <f aca="false">Transactions!A105</f>
        <v>TXN500820</v>
      </c>
      <c r="B105" s="1" t="str">
        <f aca="false">Transactions!B105</f>
        <v>ACC1035</v>
      </c>
      <c r="C105" s="1" t="str">
        <f aca="false">Transactions!I105</f>
        <v>2026-01-07</v>
      </c>
      <c r="D105" s="1" t="n">
        <f aca="false">Transactions!J105</f>
        <v>17</v>
      </c>
      <c r="E105" s="1" t="n">
        <f aca="false">Transactions!D105</f>
        <v>173.98</v>
      </c>
      <c r="F105" s="1" t="str">
        <f aca="false">Transactions!H105</f>
        <v>Online</v>
      </c>
      <c r="G105" s="1" t="str">
        <f aca="false">Transactions!G105</f>
        <v>Electronics</v>
      </c>
      <c r="H105" s="1" t="n">
        <f aca="false">IF(COUNTIFS($B$2:$B$1489,B105,$C$2:$C$1489,C105,$D$2:$D$1489,D105)&gt;6,1,0)</f>
        <v>0</v>
      </c>
      <c r="I105" s="1" t="n">
        <f aca="false">IF(AND(F105="Wire",E105&gt;=1000,MOD(E105,1000)=0),1,0)</f>
        <v>0</v>
      </c>
      <c r="J105" s="1" t="n">
        <f aca="false">IF(AND(F105="ATM",E105&gt;2000,D105&lt;=4),1,0)</f>
        <v>0</v>
      </c>
      <c r="K105" s="1" t="n">
        <f aca="false">IF(COUNTIF('SQL Findings'!$A$4:$A$18,B105)&gt;0,1,0)</f>
        <v>0</v>
      </c>
      <c r="L105" s="1" t="n">
        <f aca="false">SUM(H105:K105)</f>
        <v>0</v>
      </c>
      <c r="M105" s="1" t="str">
        <f aca="false">IF(L105&gt;=2,"High",IF(L105=1,"Medium","Low"))</f>
        <v>Low</v>
      </c>
    </row>
    <row r="106" customFormat="false" ht="15" hidden="false" customHeight="true" outlineLevel="0" collapsed="false">
      <c r="A106" s="1" t="str">
        <f aca="false">Transactions!A106</f>
        <v>TXN501336</v>
      </c>
      <c r="B106" s="1" t="str">
        <f aca="false">Transactions!B106</f>
        <v>ACC1058</v>
      </c>
      <c r="C106" s="1" t="str">
        <f aca="false">Transactions!I106</f>
        <v>2026-01-07</v>
      </c>
      <c r="D106" s="1" t="n">
        <f aca="false">Transactions!J106</f>
        <v>19</v>
      </c>
      <c r="E106" s="1" t="n">
        <f aca="false">Transactions!D106</f>
        <v>49.24</v>
      </c>
      <c r="F106" s="1" t="str">
        <f aca="false">Transactions!H106</f>
        <v>Online</v>
      </c>
      <c r="G106" s="1" t="str">
        <f aca="false">Transactions!G106</f>
        <v>Retail</v>
      </c>
      <c r="H106" s="1" t="n">
        <f aca="false">IF(COUNTIFS($B$2:$B$1489,B106,$C$2:$C$1489,C106,$D$2:$D$1489,D106)&gt;6,1,0)</f>
        <v>0</v>
      </c>
      <c r="I106" s="1" t="n">
        <f aca="false">IF(AND(F106="Wire",E106&gt;=1000,MOD(E106,1000)=0),1,0)</f>
        <v>0</v>
      </c>
      <c r="J106" s="1" t="n">
        <f aca="false">IF(AND(F106="ATM",E106&gt;2000,D106&lt;=4),1,0)</f>
        <v>0</v>
      </c>
      <c r="K106" s="1" t="n">
        <f aca="false">IF(COUNTIF('SQL Findings'!$A$4:$A$18,B106)&gt;0,1,0)</f>
        <v>0</v>
      </c>
      <c r="L106" s="1" t="n">
        <f aca="false">SUM(H106:K106)</f>
        <v>0</v>
      </c>
      <c r="M106" s="1" t="str">
        <f aca="false">IF(L106&gt;=2,"High",IF(L106=1,"Medium","Low"))</f>
        <v>Low</v>
      </c>
    </row>
    <row r="107" customFormat="false" ht="15" hidden="false" customHeight="true" outlineLevel="0" collapsed="false">
      <c r="A107" s="1" t="str">
        <f aca="false">Transactions!A107</f>
        <v>TXN500792</v>
      </c>
      <c r="B107" s="1" t="str">
        <f aca="false">Transactions!B107</f>
        <v>ACC1034</v>
      </c>
      <c r="C107" s="1" t="str">
        <f aca="false">Transactions!I107</f>
        <v>2026-01-07</v>
      </c>
      <c r="D107" s="1" t="n">
        <f aca="false">Transactions!J107</f>
        <v>20</v>
      </c>
      <c r="E107" s="1" t="n">
        <f aca="false">Transactions!D107</f>
        <v>80.39</v>
      </c>
      <c r="F107" s="1" t="str">
        <f aca="false">Transactions!H107</f>
        <v>Online</v>
      </c>
      <c r="G107" s="1" t="str">
        <f aca="false">Transactions!G107</f>
        <v>Dining</v>
      </c>
      <c r="H107" s="1" t="n">
        <f aca="false">IF(COUNTIFS($B$2:$B$1489,B107,$C$2:$C$1489,C107,$D$2:$D$1489,D107)&gt;6,1,0)</f>
        <v>0</v>
      </c>
      <c r="I107" s="1" t="n">
        <f aca="false">IF(AND(F107="Wire",E107&gt;=1000,MOD(E107,1000)=0),1,0)</f>
        <v>0</v>
      </c>
      <c r="J107" s="1" t="n">
        <f aca="false">IF(AND(F107="ATM",E107&gt;2000,D107&lt;=4),1,0)</f>
        <v>0</v>
      </c>
      <c r="K107" s="1" t="n">
        <f aca="false">IF(COUNTIF('SQL Findings'!$A$4:$A$18,B107)&gt;0,1,0)</f>
        <v>0</v>
      </c>
      <c r="L107" s="1" t="n">
        <f aca="false">SUM(H107:K107)</f>
        <v>0</v>
      </c>
      <c r="M107" s="1" t="str">
        <f aca="false">IF(L107&gt;=2,"High",IF(L107=1,"Medium","Low"))</f>
        <v>Low</v>
      </c>
    </row>
    <row r="108" customFormat="false" ht="15" hidden="false" customHeight="true" outlineLevel="0" collapsed="false">
      <c r="A108" s="1" t="str">
        <f aca="false">Transactions!A108</f>
        <v>TXN500267</v>
      </c>
      <c r="B108" s="1" t="str">
        <f aca="false">Transactions!B108</f>
        <v>ACC1011</v>
      </c>
      <c r="C108" s="1" t="str">
        <f aca="false">Transactions!I108</f>
        <v>2026-01-07</v>
      </c>
      <c r="D108" s="1" t="n">
        <f aca="false">Transactions!J108</f>
        <v>22</v>
      </c>
      <c r="E108" s="1" t="n">
        <f aca="false">Transactions!D108</f>
        <v>289.79</v>
      </c>
      <c r="F108" s="1" t="str">
        <f aca="false">Transactions!H108</f>
        <v>Online</v>
      </c>
      <c r="G108" s="1" t="str">
        <f aca="false">Transactions!G108</f>
        <v>Utilities</v>
      </c>
      <c r="H108" s="1" t="n">
        <f aca="false">IF(COUNTIFS($B$2:$B$1489,B108,$C$2:$C$1489,C108,$D$2:$D$1489,D108)&gt;6,1,0)</f>
        <v>0</v>
      </c>
      <c r="I108" s="1" t="n">
        <f aca="false">IF(AND(F108="Wire",E108&gt;=1000,MOD(E108,1000)=0),1,0)</f>
        <v>0</v>
      </c>
      <c r="J108" s="1" t="n">
        <f aca="false">IF(AND(F108="ATM",E108&gt;2000,D108&lt;=4),1,0)</f>
        <v>0</v>
      </c>
      <c r="K108" s="1" t="n">
        <f aca="false">IF(COUNTIF('SQL Findings'!$A$4:$A$18,B108)&gt;0,1,0)</f>
        <v>0</v>
      </c>
      <c r="L108" s="1" t="n">
        <f aca="false">SUM(H108:K108)</f>
        <v>0</v>
      </c>
      <c r="M108" s="1" t="str">
        <f aca="false">IF(L108&gt;=2,"High",IF(L108=1,"Medium","Low"))</f>
        <v>Low</v>
      </c>
    </row>
    <row r="109" customFormat="false" ht="15" hidden="false" customHeight="true" outlineLevel="0" collapsed="false">
      <c r="A109" s="1" t="str">
        <f aca="false">Transactions!A109</f>
        <v>TXN500826</v>
      </c>
      <c r="B109" s="1" t="str">
        <f aca="false">Transactions!B109</f>
        <v>ACC1035</v>
      </c>
      <c r="C109" s="1" t="str">
        <f aca="false">Transactions!I109</f>
        <v>2026-01-08</v>
      </c>
      <c r="D109" s="1" t="n">
        <f aca="false">Transactions!J109</f>
        <v>0</v>
      </c>
      <c r="E109" s="1" t="n">
        <f aca="false">Transactions!D109</f>
        <v>246.67</v>
      </c>
      <c r="F109" s="1" t="str">
        <f aca="false">Transactions!H109</f>
        <v>POS</v>
      </c>
      <c r="G109" s="1" t="str">
        <f aca="false">Transactions!G109</f>
        <v>Dining</v>
      </c>
      <c r="H109" s="1" t="n">
        <f aca="false">IF(COUNTIFS($B$2:$B$1489,B109,$C$2:$C$1489,C109,$D$2:$D$1489,D109)&gt;6,1,0)</f>
        <v>0</v>
      </c>
      <c r="I109" s="1" t="n">
        <f aca="false">IF(AND(F109="Wire",E109&gt;=1000,MOD(E109,1000)=0),1,0)</f>
        <v>0</v>
      </c>
      <c r="J109" s="1" t="n">
        <f aca="false">IF(AND(F109="ATM",E109&gt;2000,D109&lt;=4),1,0)</f>
        <v>0</v>
      </c>
      <c r="K109" s="1" t="n">
        <f aca="false">IF(COUNTIF('SQL Findings'!$A$4:$A$18,B109)&gt;0,1,0)</f>
        <v>0</v>
      </c>
      <c r="L109" s="1" t="n">
        <f aca="false">SUM(H109:K109)</f>
        <v>0</v>
      </c>
      <c r="M109" s="1" t="str">
        <f aca="false">IF(L109&gt;=2,"High",IF(L109=1,"Medium","Low"))</f>
        <v>Low</v>
      </c>
    </row>
    <row r="110" customFormat="false" ht="15" hidden="false" customHeight="true" outlineLevel="0" collapsed="false">
      <c r="A110" s="1" t="str">
        <f aca="false">Transactions!A110</f>
        <v>TXN500284</v>
      </c>
      <c r="B110" s="1" t="str">
        <f aca="false">Transactions!B110</f>
        <v>ACC1012</v>
      </c>
      <c r="C110" s="1" t="str">
        <f aca="false">Transactions!I110</f>
        <v>2026-01-08</v>
      </c>
      <c r="D110" s="1" t="n">
        <f aca="false">Transactions!J110</f>
        <v>0</v>
      </c>
      <c r="E110" s="1" t="n">
        <f aca="false">Transactions!D110</f>
        <v>21.89</v>
      </c>
      <c r="F110" s="1" t="str">
        <f aca="false">Transactions!H110</f>
        <v>POS</v>
      </c>
      <c r="G110" s="1" t="str">
        <f aca="false">Transactions!G110</f>
        <v>Dining</v>
      </c>
      <c r="H110" s="1" t="n">
        <f aca="false">IF(COUNTIFS($B$2:$B$1489,B110,$C$2:$C$1489,C110,$D$2:$D$1489,D110)&gt;6,1,0)</f>
        <v>0</v>
      </c>
      <c r="I110" s="1" t="n">
        <f aca="false">IF(AND(F110="Wire",E110&gt;=1000,MOD(E110,1000)=0),1,0)</f>
        <v>0</v>
      </c>
      <c r="J110" s="1" t="n">
        <f aca="false">IF(AND(F110="ATM",E110&gt;2000,D110&lt;=4),1,0)</f>
        <v>0</v>
      </c>
      <c r="K110" s="1" t="n">
        <f aca="false">IF(COUNTIF('SQL Findings'!$A$4:$A$18,B110)&gt;0,1,0)</f>
        <v>0</v>
      </c>
      <c r="L110" s="1" t="n">
        <f aca="false">SUM(H110:K110)</f>
        <v>0</v>
      </c>
      <c r="M110" s="1" t="str">
        <f aca="false">IF(L110&gt;=2,"High",IF(L110=1,"Medium","Low"))</f>
        <v>Low</v>
      </c>
    </row>
    <row r="111" customFormat="false" ht="15" hidden="false" customHeight="true" outlineLevel="0" collapsed="false">
      <c r="A111" s="1" t="str">
        <f aca="false">Transactions!A111</f>
        <v>TXN501120</v>
      </c>
      <c r="B111" s="1" t="str">
        <f aca="false">Transactions!B111</f>
        <v>ACC1049</v>
      </c>
      <c r="C111" s="1" t="str">
        <f aca="false">Transactions!I111</f>
        <v>2026-01-08</v>
      </c>
      <c r="D111" s="1" t="n">
        <f aca="false">Transactions!J111</f>
        <v>2</v>
      </c>
      <c r="E111" s="1" t="n">
        <f aca="false">Transactions!D111</f>
        <v>171.67</v>
      </c>
      <c r="F111" s="1" t="str">
        <f aca="false">Transactions!H111</f>
        <v>ATM</v>
      </c>
      <c r="G111" s="1" t="str">
        <f aca="false">Transactions!G111</f>
        <v>Travel</v>
      </c>
      <c r="H111" s="1" t="n">
        <f aca="false">IF(COUNTIFS($B$2:$B$1489,B111,$C$2:$C$1489,C111,$D$2:$D$1489,D111)&gt;6,1,0)</f>
        <v>0</v>
      </c>
      <c r="I111" s="1" t="n">
        <f aca="false">IF(AND(F111="Wire",E111&gt;=1000,MOD(E111,1000)=0),1,0)</f>
        <v>0</v>
      </c>
      <c r="J111" s="1" t="n">
        <f aca="false">IF(AND(F111="ATM",E111&gt;2000,D111&lt;=4),1,0)</f>
        <v>0</v>
      </c>
      <c r="K111" s="1" t="n">
        <f aca="false">IF(COUNTIF('SQL Findings'!$A$4:$A$18,B111)&gt;0,1,0)</f>
        <v>0</v>
      </c>
      <c r="L111" s="1" t="n">
        <f aca="false">SUM(H111:K111)</f>
        <v>0</v>
      </c>
      <c r="M111" s="1" t="str">
        <f aca="false">IF(L111&gt;=2,"High",IF(L111=1,"Medium","Low"))</f>
        <v>Low</v>
      </c>
    </row>
    <row r="112" customFormat="false" ht="15" hidden="false" customHeight="true" outlineLevel="0" collapsed="false">
      <c r="A112" s="1" t="str">
        <f aca="false">Transactions!A112</f>
        <v>TXN500400</v>
      </c>
      <c r="B112" s="1" t="str">
        <f aca="false">Transactions!B112</f>
        <v>ACC1017</v>
      </c>
      <c r="C112" s="1" t="str">
        <f aca="false">Transactions!I112</f>
        <v>2026-01-08</v>
      </c>
      <c r="D112" s="1" t="n">
        <f aca="false">Transactions!J112</f>
        <v>6</v>
      </c>
      <c r="E112" s="1" t="n">
        <f aca="false">Transactions!D112</f>
        <v>203.17</v>
      </c>
      <c r="F112" s="1" t="str">
        <f aca="false">Transactions!H112</f>
        <v>Online</v>
      </c>
      <c r="G112" s="1" t="str">
        <f aca="false">Transactions!G112</f>
        <v>Online Marketplace</v>
      </c>
      <c r="H112" s="1" t="n">
        <f aca="false">IF(COUNTIFS($B$2:$B$1489,B112,$C$2:$C$1489,C112,$D$2:$D$1489,D112)&gt;6,1,0)</f>
        <v>0</v>
      </c>
      <c r="I112" s="1" t="n">
        <f aca="false">IF(AND(F112="Wire",E112&gt;=1000,MOD(E112,1000)=0),1,0)</f>
        <v>0</v>
      </c>
      <c r="J112" s="1" t="n">
        <f aca="false">IF(AND(F112="ATM",E112&gt;2000,D112&lt;=4),1,0)</f>
        <v>0</v>
      </c>
      <c r="K112" s="1" t="n">
        <f aca="false">IF(COUNTIF('SQL Findings'!$A$4:$A$18,B112)&gt;0,1,0)</f>
        <v>0</v>
      </c>
      <c r="L112" s="1" t="n">
        <f aca="false">SUM(H112:K112)</f>
        <v>0</v>
      </c>
      <c r="M112" s="1" t="str">
        <f aca="false">IF(L112&gt;=2,"High",IF(L112=1,"Medium","Low"))</f>
        <v>Low</v>
      </c>
    </row>
    <row r="113" customFormat="false" ht="15" hidden="false" customHeight="true" outlineLevel="0" collapsed="false">
      <c r="A113" s="1" t="str">
        <f aca="false">Transactions!A113</f>
        <v>TXN500764</v>
      </c>
      <c r="B113" s="1" t="str">
        <f aca="false">Transactions!B113</f>
        <v>ACC1033</v>
      </c>
      <c r="C113" s="1" t="str">
        <f aca="false">Transactions!I113</f>
        <v>2026-01-08</v>
      </c>
      <c r="D113" s="1" t="n">
        <f aca="false">Transactions!J113</f>
        <v>6</v>
      </c>
      <c r="E113" s="1" t="n">
        <f aca="false">Transactions!D113</f>
        <v>61.16</v>
      </c>
      <c r="F113" s="1" t="str">
        <f aca="false">Transactions!H113</f>
        <v>POS</v>
      </c>
      <c r="G113" s="1" t="str">
        <f aca="false">Transactions!G113</f>
        <v>Electronics</v>
      </c>
      <c r="H113" s="1" t="n">
        <f aca="false">IF(COUNTIFS($B$2:$B$1489,B113,$C$2:$C$1489,C113,$D$2:$D$1489,D113)&gt;6,1,0)</f>
        <v>0</v>
      </c>
      <c r="I113" s="1" t="n">
        <f aca="false">IF(AND(F113="Wire",E113&gt;=1000,MOD(E113,1000)=0),1,0)</f>
        <v>0</v>
      </c>
      <c r="J113" s="1" t="n">
        <f aca="false">IF(AND(F113="ATM",E113&gt;2000,D113&lt;=4),1,0)</f>
        <v>0</v>
      </c>
      <c r="K113" s="1" t="n">
        <f aca="false">IF(COUNTIF('SQL Findings'!$A$4:$A$18,B113)&gt;0,1,0)</f>
        <v>0</v>
      </c>
      <c r="L113" s="1" t="n">
        <f aca="false">SUM(H113:K113)</f>
        <v>0</v>
      </c>
      <c r="M113" s="1" t="str">
        <f aca="false">IF(L113&gt;=2,"High",IF(L113=1,"Medium","Low"))</f>
        <v>Low</v>
      </c>
    </row>
    <row r="114" customFormat="false" ht="15" hidden="false" customHeight="true" outlineLevel="0" collapsed="false">
      <c r="A114" s="1" t="str">
        <f aca="false">Transactions!A114</f>
        <v>TXN500304</v>
      </c>
      <c r="B114" s="1" t="str">
        <f aca="false">Transactions!B114</f>
        <v>ACC1013</v>
      </c>
      <c r="C114" s="1" t="str">
        <f aca="false">Transactions!I114</f>
        <v>2026-01-08</v>
      </c>
      <c r="D114" s="1" t="n">
        <f aca="false">Transactions!J114</f>
        <v>9</v>
      </c>
      <c r="E114" s="1" t="n">
        <f aca="false">Transactions!D114</f>
        <v>115.51</v>
      </c>
      <c r="F114" s="1" t="str">
        <f aca="false">Transactions!H114</f>
        <v>ATM</v>
      </c>
      <c r="G114" s="1" t="str">
        <f aca="false">Transactions!G114</f>
        <v>Electronics</v>
      </c>
      <c r="H114" s="1" t="n">
        <f aca="false">IF(COUNTIFS($B$2:$B$1489,B114,$C$2:$C$1489,C114,$D$2:$D$1489,D114)&gt;6,1,0)</f>
        <v>0</v>
      </c>
      <c r="I114" s="1" t="n">
        <f aca="false">IF(AND(F114="Wire",E114&gt;=1000,MOD(E114,1000)=0),1,0)</f>
        <v>0</v>
      </c>
      <c r="J114" s="1" t="n">
        <f aca="false">IF(AND(F114="ATM",E114&gt;2000,D114&lt;=4),1,0)</f>
        <v>0</v>
      </c>
      <c r="K114" s="1" t="n">
        <f aca="false">IF(COUNTIF('SQL Findings'!$A$4:$A$18,B114)&gt;0,1,0)</f>
        <v>0</v>
      </c>
      <c r="L114" s="1" t="n">
        <f aca="false">SUM(H114:K114)</f>
        <v>0</v>
      </c>
      <c r="M114" s="1" t="str">
        <f aca="false">IF(L114&gt;=2,"High",IF(L114=1,"Medium","Low"))</f>
        <v>Low</v>
      </c>
    </row>
    <row r="115" customFormat="false" ht="15" hidden="false" customHeight="true" outlineLevel="0" collapsed="false">
      <c r="A115" s="1" t="str">
        <f aca="false">Transactions!A115</f>
        <v>TXN500524</v>
      </c>
      <c r="B115" s="1" t="str">
        <f aca="false">Transactions!B115</f>
        <v>ACC1023</v>
      </c>
      <c r="C115" s="1" t="str">
        <f aca="false">Transactions!I115</f>
        <v>2026-01-08</v>
      </c>
      <c r="D115" s="1" t="n">
        <f aca="false">Transactions!J115</f>
        <v>13</v>
      </c>
      <c r="E115" s="1" t="n">
        <f aca="false">Transactions!D115</f>
        <v>111.45</v>
      </c>
      <c r="F115" s="1" t="str">
        <f aca="false">Transactions!H115</f>
        <v>ATM</v>
      </c>
      <c r="G115" s="1" t="str">
        <f aca="false">Transactions!G115</f>
        <v>Online Marketplace</v>
      </c>
      <c r="H115" s="1" t="n">
        <f aca="false">IF(COUNTIFS($B$2:$B$1489,B115,$C$2:$C$1489,C115,$D$2:$D$1489,D115)&gt;6,1,0)</f>
        <v>0</v>
      </c>
      <c r="I115" s="1" t="n">
        <f aca="false">IF(AND(F115="Wire",E115&gt;=1000,MOD(E115,1000)=0),1,0)</f>
        <v>0</v>
      </c>
      <c r="J115" s="1" t="n">
        <f aca="false">IF(AND(F115="ATM",E115&gt;2000,D115&lt;=4),1,0)</f>
        <v>0</v>
      </c>
      <c r="K115" s="1" t="n">
        <f aca="false">IF(COUNTIF('SQL Findings'!$A$4:$A$18,B115)&gt;0,1,0)</f>
        <v>0</v>
      </c>
      <c r="L115" s="1" t="n">
        <f aca="false">SUM(H115:K115)</f>
        <v>0</v>
      </c>
      <c r="M115" s="1" t="str">
        <f aca="false">IF(L115&gt;=2,"High",IF(L115=1,"Medium","Low"))</f>
        <v>Low</v>
      </c>
    </row>
    <row r="116" customFormat="false" ht="15" hidden="false" customHeight="true" outlineLevel="0" collapsed="false">
      <c r="A116" s="1" t="str">
        <f aca="false">Transactions!A116</f>
        <v>TXN500431</v>
      </c>
      <c r="B116" s="1" t="str">
        <f aca="false">Transactions!B116</f>
        <v>ACC1019</v>
      </c>
      <c r="C116" s="1" t="str">
        <f aca="false">Transactions!I116</f>
        <v>2026-01-08</v>
      </c>
      <c r="D116" s="1" t="n">
        <f aca="false">Transactions!J116</f>
        <v>15</v>
      </c>
      <c r="E116" s="1" t="n">
        <f aca="false">Transactions!D116</f>
        <v>22.99</v>
      </c>
      <c r="F116" s="1" t="str">
        <f aca="false">Transactions!H116</f>
        <v>ATM</v>
      </c>
      <c r="G116" s="1" t="str">
        <f aca="false">Transactions!G116</f>
        <v>Dining</v>
      </c>
      <c r="H116" s="1" t="n">
        <f aca="false">IF(COUNTIFS($B$2:$B$1489,B116,$C$2:$C$1489,C116,$D$2:$D$1489,D116)&gt;6,1,0)</f>
        <v>0</v>
      </c>
      <c r="I116" s="1" t="n">
        <f aca="false">IF(AND(F116="Wire",E116&gt;=1000,MOD(E116,1000)=0),1,0)</f>
        <v>0</v>
      </c>
      <c r="J116" s="1" t="n">
        <f aca="false">IF(AND(F116="ATM",E116&gt;2000,D116&lt;=4),1,0)</f>
        <v>0</v>
      </c>
      <c r="K116" s="1" t="n">
        <f aca="false">IF(COUNTIF('SQL Findings'!$A$4:$A$18,B116)&gt;0,1,0)</f>
        <v>0</v>
      </c>
      <c r="L116" s="1" t="n">
        <f aca="false">SUM(H116:K116)</f>
        <v>0</v>
      </c>
      <c r="M116" s="1" t="str">
        <f aca="false">IF(L116&gt;=2,"High",IF(L116=1,"Medium","Low"))</f>
        <v>Low</v>
      </c>
    </row>
    <row r="117" customFormat="false" ht="15" hidden="false" customHeight="true" outlineLevel="0" collapsed="false">
      <c r="A117" s="1" t="str">
        <f aca="false">Transactions!A117</f>
        <v>TXN500722</v>
      </c>
      <c r="B117" s="1" t="str">
        <f aca="false">Transactions!B117</f>
        <v>ACC1031</v>
      </c>
      <c r="C117" s="1" t="str">
        <f aca="false">Transactions!I117</f>
        <v>2026-01-08</v>
      </c>
      <c r="D117" s="1" t="n">
        <f aca="false">Transactions!J117</f>
        <v>16</v>
      </c>
      <c r="E117" s="1" t="n">
        <f aca="false">Transactions!D117</f>
        <v>14.31</v>
      </c>
      <c r="F117" s="1" t="str">
        <f aca="false">Transactions!H117</f>
        <v>Online</v>
      </c>
      <c r="G117" s="1" t="str">
        <f aca="false">Transactions!G117</f>
        <v>Wire Transfer</v>
      </c>
      <c r="H117" s="1" t="n">
        <f aca="false">IF(COUNTIFS($B$2:$B$1489,B117,$C$2:$C$1489,C117,$D$2:$D$1489,D117)&gt;6,1,0)</f>
        <v>0</v>
      </c>
      <c r="I117" s="1" t="n">
        <f aca="false">IF(AND(F117="Wire",E117&gt;=1000,MOD(E117,1000)=0),1,0)</f>
        <v>0</v>
      </c>
      <c r="J117" s="1" t="n">
        <f aca="false">IF(AND(F117="ATM",E117&gt;2000,D117&lt;=4),1,0)</f>
        <v>0</v>
      </c>
      <c r="K117" s="1" t="n">
        <f aca="false">IF(COUNTIF('SQL Findings'!$A$4:$A$18,B117)&gt;0,1,0)</f>
        <v>0</v>
      </c>
      <c r="L117" s="1" t="n">
        <f aca="false">SUM(H117:K117)</f>
        <v>0</v>
      </c>
      <c r="M117" s="1" t="str">
        <f aca="false">IF(L117&gt;=2,"High",IF(L117=1,"Medium","Low"))</f>
        <v>Low</v>
      </c>
    </row>
    <row r="118" customFormat="false" ht="15" hidden="false" customHeight="true" outlineLevel="0" collapsed="false">
      <c r="A118" s="1" t="str">
        <f aca="false">Transactions!A118</f>
        <v>TXN501141</v>
      </c>
      <c r="B118" s="1" t="str">
        <f aca="false">Transactions!B118</f>
        <v>ACC1050</v>
      </c>
      <c r="C118" s="1" t="str">
        <f aca="false">Transactions!I118</f>
        <v>2026-01-08</v>
      </c>
      <c r="D118" s="1" t="n">
        <f aca="false">Transactions!J118</f>
        <v>17</v>
      </c>
      <c r="E118" s="1" t="n">
        <f aca="false">Transactions!D118</f>
        <v>51.02</v>
      </c>
      <c r="F118" s="1" t="str">
        <f aca="false">Transactions!H118</f>
        <v>ATM</v>
      </c>
      <c r="G118" s="1" t="str">
        <f aca="false">Transactions!G118</f>
        <v>Retail</v>
      </c>
      <c r="H118" s="1" t="n">
        <f aca="false">IF(COUNTIFS($B$2:$B$1489,B118,$C$2:$C$1489,C118,$D$2:$D$1489,D118)&gt;6,1,0)</f>
        <v>0</v>
      </c>
      <c r="I118" s="1" t="n">
        <f aca="false">IF(AND(F118="Wire",E118&gt;=1000,MOD(E118,1000)=0),1,0)</f>
        <v>0</v>
      </c>
      <c r="J118" s="1" t="n">
        <f aca="false">IF(AND(F118="ATM",E118&gt;2000,D118&lt;=4),1,0)</f>
        <v>0</v>
      </c>
      <c r="K118" s="1" t="n">
        <f aca="false">IF(COUNTIF('SQL Findings'!$A$4:$A$18,B118)&gt;0,1,0)</f>
        <v>0</v>
      </c>
      <c r="L118" s="1" t="n">
        <f aca="false">SUM(H118:K118)</f>
        <v>0</v>
      </c>
      <c r="M118" s="1" t="str">
        <f aca="false">IF(L118&gt;=2,"High",IF(L118=1,"Medium","Low"))</f>
        <v>Low</v>
      </c>
    </row>
    <row r="119" customFormat="false" ht="15" hidden="false" customHeight="true" outlineLevel="0" collapsed="false">
      <c r="A119" s="1" t="str">
        <f aca="false">Transactions!A119</f>
        <v>TXN500480</v>
      </c>
      <c r="B119" s="1" t="str">
        <f aca="false">Transactions!B119</f>
        <v>ACC1021</v>
      </c>
      <c r="C119" s="1" t="str">
        <f aca="false">Transactions!I119</f>
        <v>2026-01-08</v>
      </c>
      <c r="D119" s="1" t="n">
        <f aca="false">Transactions!J119</f>
        <v>20</v>
      </c>
      <c r="E119" s="1" t="n">
        <f aca="false">Transactions!D119</f>
        <v>182.66</v>
      </c>
      <c r="F119" s="1" t="str">
        <f aca="false">Transactions!H119</f>
        <v>POS</v>
      </c>
      <c r="G119" s="1" t="str">
        <f aca="false">Transactions!G119</f>
        <v>Online Marketplace</v>
      </c>
      <c r="H119" s="1" t="n">
        <f aca="false">IF(COUNTIFS($B$2:$B$1489,B119,$C$2:$C$1489,C119,$D$2:$D$1489,D119)&gt;6,1,0)</f>
        <v>0</v>
      </c>
      <c r="I119" s="1" t="n">
        <f aca="false">IF(AND(F119="Wire",E119&gt;=1000,MOD(E119,1000)=0),1,0)</f>
        <v>0</v>
      </c>
      <c r="J119" s="1" t="n">
        <f aca="false">IF(AND(F119="ATM",E119&gt;2000,D119&lt;=4),1,0)</f>
        <v>0</v>
      </c>
      <c r="K119" s="1" t="n">
        <f aca="false">IF(COUNTIF('SQL Findings'!$A$4:$A$18,B119)&gt;0,1,0)</f>
        <v>0</v>
      </c>
      <c r="L119" s="1" t="n">
        <f aca="false">SUM(H119:K119)</f>
        <v>0</v>
      </c>
      <c r="M119" s="1" t="str">
        <f aca="false">IF(L119&gt;=2,"High",IF(L119=1,"Medium","Low"))</f>
        <v>Low</v>
      </c>
    </row>
    <row r="120" customFormat="false" ht="15" hidden="false" customHeight="true" outlineLevel="0" collapsed="false">
      <c r="A120" s="1" t="str">
        <f aca="false">Transactions!A120</f>
        <v>TXN501163</v>
      </c>
      <c r="B120" s="1" t="str">
        <f aca="false">Transactions!B120</f>
        <v>ACC1051</v>
      </c>
      <c r="C120" s="1" t="str">
        <f aca="false">Transactions!I120</f>
        <v>2026-01-08</v>
      </c>
      <c r="D120" s="1" t="n">
        <f aca="false">Transactions!J120</f>
        <v>20</v>
      </c>
      <c r="E120" s="1" t="n">
        <f aca="false">Transactions!D120</f>
        <v>19.09</v>
      </c>
      <c r="F120" s="1" t="str">
        <f aca="false">Transactions!H120</f>
        <v>Online</v>
      </c>
      <c r="G120" s="1" t="str">
        <f aca="false">Transactions!G120</f>
        <v>Cash Withdrawal</v>
      </c>
      <c r="H120" s="1" t="n">
        <f aca="false">IF(COUNTIFS($B$2:$B$1489,B120,$C$2:$C$1489,C120,$D$2:$D$1489,D120)&gt;6,1,0)</f>
        <v>0</v>
      </c>
      <c r="I120" s="1" t="n">
        <f aca="false">IF(AND(F120="Wire",E120&gt;=1000,MOD(E120,1000)=0),1,0)</f>
        <v>0</v>
      </c>
      <c r="J120" s="1" t="n">
        <f aca="false">IF(AND(F120="ATM",E120&gt;2000,D120&lt;=4),1,0)</f>
        <v>0</v>
      </c>
      <c r="K120" s="1" t="n">
        <f aca="false">IF(COUNTIF('SQL Findings'!$A$4:$A$18,B120)&gt;0,1,0)</f>
        <v>0</v>
      </c>
      <c r="L120" s="1" t="n">
        <f aca="false">SUM(H120:K120)</f>
        <v>0</v>
      </c>
      <c r="M120" s="1" t="str">
        <f aca="false">IF(L120&gt;=2,"High",IF(L120=1,"Medium","Low"))</f>
        <v>Low</v>
      </c>
    </row>
    <row r="121" customFormat="false" ht="15" hidden="false" customHeight="true" outlineLevel="0" collapsed="false">
      <c r="A121" s="1" t="str">
        <f aca="false">Transactions!A121</f>
        <v>TXN500688</v>
      </c>
      <c r="B121" s="1" t="str">
        <f aca="false">Transactions!B121</f>
        <v>ACC1029</v>
      </c>
      <c r="C121" s="1" t="str">
        <f aca="false">Transactions!I121</f>
        <v>2026-01-08</v>
      </c>
      <c r="D121" s="1" t="n">
        <f aca="false">Transactions!J121</f>
        <v>22</v>
      </c>
      <c r="E121" s="1" t="n">
        <f aca="false">Transactions!D121</f>
        <v>47.59</v>
      </c>
      <c r="F121" s="1" t="str">
        <f aca="false">Transactions!H121</f>
        <v>POS</v>
      </c>
      <c r="G121" s="1" t="str">
        <f aca="false">Transactions!G121</f>
        <v>Utilities</v>
      </c>
      <c r="H121" s="1" t="n">
        <f aca="false">IF(COUNTIFS($B$2:$B$1489,B121,$C$2:$C$1489,C121,$D$2:$D$1489,D121)&gt;6,1,0)</f>
        <v>0</v>
      </c>
      <c r="I121" s="1" t="n">
        <f aca="false">IF(AND(F121="Wire",E121&gt;=1000,MOD(E121,1000)=0),1,0)</f>
        <v>0</v>
      </c>
      <c r="J121" s="1" t="n">
        <f aca="false">IF(AND(F121="ATM",E121&gt;2000,D121&lt;=4),1,0)</f>
        <v>0</v>
      </c>
      <c r="K121" s="1" t="n">
        <f aca="false">IF(COUNTIF('SQL Findings'!$A$4:$A$18,B121)&gt;0,1,0)</f>
        <v>0</v>
      </c>
      <c r="L121" s="1" t="n">
        <f aca="false">SUM(H121:K121)</f>
        <v>0</v>
      </c>
      <c r="M121" s="1" t="str">
        <f aca="false">IF(L121&gt;=2,"High",IF(L121=1,"Medium","Low"))</f>
        <v>Low</v>
      </c>
    </row>
    <row r="122" customFormat="false" ht="15" hidden="false" customHeight="true" outlineLevel="0" collapsed="false">
      <c r="A122" s="1" t="str">
        <f aca="false">Transactions!A122</f>
        <v>TXN500490</v>
      </c>
      <c r="B122" s="1" t="str">
        <f aca="false">Transactions!B122</f>
        <v>ACC1022</v>
      </c>
      <c r="C122" s="1" t="str">
        <f aca="false">Transactions!I122</f>
        <v>2026-01-09</v>
      </c>
      <c r="D122" s="1" t="n">
        <f aca="false">Transactions!J122</f>
        <v>4</v>
      </c>
      <c r="E122" s="1" t="n">
        <f aca="false">Transactions!D122</f>
        <v>147.45</v>
      </c>
      <c r="F122" s="1" t="str">
        <f aca="false">Transactions!H122</f>
        <v>ATM</v>
      </c>
      <c r="G122" s="1" t="str">
        <f aca="false">Transactions!G122</f>
        <v>Online Marketplace</v>
      </c>
      <c r="H122" s="1" t="n">
        <f aca="false">IF(COUNTIFS($B$2:$B$1489,B122,$C$2:$C$1489,C122,$D$2:$D$1489,D122)&gt;6,1,0)</f>
        <v>0</v>
      </c>
      <c r="I122" s="1" t="n">
        <f aca="false">IF(AND(F122="Wire",E122&gt;=1000,MOD(E122,1000)=0),1,0)</f>
        <v>0</v>
      </c>
      <c r="J122" s="1" t="n">
        <f aca="false">IF(AND(F122="ATM",E122&gt;2000,D122&lt;=4),1,0)</f>
        <v>0</v>
      </c>
      <c r="K122" s="1" t="n">
        <f aca="false">IF(COUNTIF('SQL Findings'!$A$4:$A$18,B122)&gt;0,1,0)</f>
        <v>0</v>
      </c>
      <c r="L122" s="1" t="n">
        <f aca="false">SUM(H122:K122)</f>
        <v>0</v>
      </c>
      <c r="M122" s="1" t="str">
        <f aca="false">IF(L122&gt;=2,"High",IF(L122=1,"Medium","Low"))</f>
        <v>Low</v>
      </c>
    </row>
    <row r="123" customFormat="false" ht="15" hidden="false" customHeight="true" outlineLevel="0" collapsed="false">
      <c r="A123" s="1" t="str">
        <f aca="false">Transactions!A123</f>
        <v>TXN500773</v>
      </c>
      <c r="B123" s="1" t="str">
        <f aca="false">Transactions!B123</f>
        <v>ACC1033</v>
      </c>
      <c r="C123" s="1" t="str">
        <f aca="false">Transactions!I123</f>
        <v>2026-01-09</v>
      </c>
      <c r="D123" s="1" t="n">
        <f aca="false">Transactions!J123</f>
        <v>4</v>
      </c>
      <c r="E123" s="1" t="n">
        <f aca="false">Transactions!D123</f>
        <v>117.82</v>
      </c>
      <c r="F123" s="1" t="str">
        <f aca="false">Transactions!H123</f>
        <v>ATM</v>
      </c>
      <c r="G123" s="1" t="str">
        <f aca="false">Transactions!G123</f>
        <v>Wire Transfer</v>
      </c>
      <c r="H123" s="1" t="n">
        <f aca="false">IF(COUNTIFS($B$2:$B$1489,B123,$C$2:$C$1489,C123,$D$2:$D$1489,D123)&gt;6,1,0)</f>
        <v>0</v>
      </c>
      <c r="I123" s="1" t="n">
        <f aca="false">IF(AND(F123="Wire",E123&gt;=1000,MOD(E123,1000)=0),1,0)</f>
        <v>0</v>
      </c>
      <c r="J123" s="1" t="n">
        <f aca="false">IF(AND(F123="ATM",E123&gt;2000,D123&lt;=4),1,0)</f>
        <v>0</v>
      </c>
      <c r="K123" s="1" t="n">
        <f aca="false">IF(COUNTIF('SQL Findings'!$A$4:$A$18,B123)&gt;0,1,0)</f>
        <v>0</v>
      </c>
      <c r="L123" s="1" t="n">
        <f aca="false">SUM(H123:K123)</f>
        <v>0</v>
      </c>
      <c r="M123" s="1" t="str">
        <f aca="false">IF(L123&gt;=2,"High",IF(L123=1,"Medium","Low"))</f>
        <v>Low</v>
      </c>
    </row>
    <row r="124" customFormat="false" ht="15" hidden="false" customHeight="true" outlineLevel="0" collapsed="false">
      <c r="A124" s="1" t="str">
        <f aca="false">Transactions!A124</f>
        <v>TXN501217</v>
      </c>
      <c r="B124" s="1" t="str">
        <f aca="false">Transactions!B124</f>
        <v>ACC1053</v>
      </c>
      <c r="C124" s="1" t="str">
        <f aca="false">Transactions!I124</f>
        <v>2026-01-09</v>
      </c>
      <c r="D124" s="1" t="n">
        <f aca="false">Transactions!J124</f>
        <v>6</v>
      </c>
      <c r="E124" s="1" t="n">
        <f aca="false">Transactions!D124</f>
        <v>36.37</v>
      </c>
      <c r="F124" s="1" t="str">
        <f aca="false">Transactions!H124</f>
        <v>ATM</v>
      </c>
      <c r="G124" s="1" t="str">
        <f aca="false">Transactions!G124</f>
        <v>Online Marketplace</v>
      </c>
      <c r="H124" s="1" t="n">
        <f aca="false">IF(COUNTIFS($B$2:$B$1489,B124,$C$2:$C$1489,C124,$D$2:$D$1489,D124)&gt;6,1,0)</f>
        <v>0</v>
      </c>
      <c r="I124" s="1" t="n">
        <f aca="false">IF(AND(F124="Wire",E124&gt;=1000,MOD(E124,1000)=0),1,0)</f>
        <v>0</v>
      </c>
      <c r="J124" s="1" t="n">
        <f aca="false">IF(AND(F124="ATM",E124&gt;2000,D124&lt;=4),1,0)</f>
        <v>0</v>
      </c>
      <c r="K124" s="1" t="n">
        <f aca="false">IF(COUNTIF('SQL Findings'!$A$4:$A$18,B124)&gt;0,1,0)</f>
        <v>0</v>
      </c>
      <c r="L124" s="1" t="n">
        <f aca="false">SUM(H124:K124)</f>
        <v>0</v>
      </c>
      <c r="M124" s="1" t="str">
        <f aca="false">IF(L124&gt;=2,"High",IF(L124=1,"Medium","Low"))</f>
        <v>Low</v>
      </c>
    </row>
    <row r="125" customFormat="false" ht="15" hidden="false" customHeight="true" outlineLevel="0" collapsed="false">
      <c r="A125" s="1" t="str">
        <f aca="false">Transactions!A125</f>
        <v>TXN500707</v>
      </c>
      <c r="B125" s="1" t="str">
        <f aca="false">Transactions!B125</f>
        <v>ACC1030</v>
      </c>
      <c r="C125" s="1" t="str">
        <f aca="false">Transactions!I125</f>
        <v>2026-01-09</v>
      </c>
      <c r="D125" s="1" t="n">
        <f aca="false">Transactions!J125</f>
        <v>7</v>
      </c>
      <c r="E125" s="1" t="n">
        <f aca="false">Transactions!D125</f>
        <v>21.07</v>
      </c>
      <c r="F125" s="1" t="str">
        <f aca="false">Transactions!H125</f>
        <v>POS</v>
      </c>
      <c r="G125" s="1" t="str">
        <f aca="false">Transactions!G125</f>
        <v>Online Marketplace</v>
      </c>
      <c r="H125" s="1" t="n">
        <f aca="false">IF(COUNTIFS($B$2:$B$1489,B125,$C$2:$C$1489,C125,$D$2:$D$1489,D125)&gt;6,1,0)</f>
        <v>0</v>
      </c>
      <c r="I125" s="1" t="n">
        <f aca="false">IF(AND(F125="Wire",E125&gt;=1000,MOD(E125,1000)=0),1,0)</f>
        <v>0</v>
      </c>
      <c r="J125" s="1" t="n">
        <f aca="false">IF(AND(F125="ATM",E125&gt;2000,D125&lt;=4),1,0)</f>
        <v>0</v>
      </c>
      <c r="K125" s="1" t="n">
        <f aca="false">IF(COUNTIF('SQL Findings'!$A$4:$A$18,B125)&gt;0,1,0)</f>
        <v>1</v>
      </c>
      <c r="L125" s="1" t="n">
        <f aca="false">SUM(H125:K125)</f>
        <v>1</v>
      </c>
      <c r="M125" s="1" t="str">
        <f aca="false">IF(L125&gt;=2,"High",IF(L125=1,"Medium","Low"))</f>
        <v>Medium</v>
      </c>
    </row>
    <row r="126" customFormat="false" ht="15" hidden="false" customHeight="true" outlineLevel="0" collapsed="false">
      <c r="A126" s="1" t="str">
        <f aca="false">Transactions!A126</f>
        <v>TXN500955</v>
      </c>
      <c r="B126" s="1" t="str">
        <f aca="false">Transactions!B126</f>
        <v>ACC1041</v>
      </c>
      <c r="C126" s="1" t="str">
        <f aca="false">Transactions!I126</f>
        <v>2026-01-09</v>
      </c>
      <c r="D126" s="1" t="n">
        <f aca="false">Transactions!J126</f>
        <v>8</v>
      </c>
      <c r="E126" s="1" t="n">
        <f aca="false">Transactions!D126</f>
        <v>61.93</v>
      </c>
      <c r="F126" s="1" t="str">
        <f aca="false">Transactions!H126</f>
        <v>Online</v>
      </c>
      <c r="G126" s="1" t="str">
        <f aca="false">Transactions!G126</f>
        <v>Online Marketplace</v>
      </c>
      <c r="H126" s="1" t="n">
        <f aca="false">IF(COUNTIFS($B$2:$B$1489,B126,$C$2:$C$1489,C126,$D$2:$D$1489,D126)&gt;6,1,0)</f>
        <v>0</v>
      </c>
      <c r="I126" s="1" t="n">
        <f aca="false">IF(AND(F126="Wire",E126&gt;=1000,MOD(E126,1000)=0),1,0)</f>
        <v>0</v>
      </c>
      <c r="J126" s="1" t="n">
        <f aca="false">IF(AND(F126="ATM",E126&gt;2000,D126&lt;=4),1,0)</f>
        <v>0</v>
      </c>
      <c r="K126" s="1" t="n">
        <f aca="false">IF(COUNTIF('SQL Findings'!$A$4:$A$18,B126)&gt;0,1,0)</f>
        <v>1</v>
      </c>
      <c r="L126" s="1" t="n">
        <f aca="false">SUM(H126:K126)</f>
        <v>1</v>
      </c>
      <c r="M126" s="1" t="str">
        <f aca="false">IF(L126&gt;=2,"High",IF(L126=1,"Medium","Low"))</f>
        <v>Medium</v>
      </c>
    </row>
    <row r="127" customFormat="false" ht="15" hidden="false" customHeight="true" outlineLevel="0" collapsed="false">
      <c r="A127" s="1" t="str">
        <f aca="false">Transactions!A127</f>
        <v>TXN501206</v>
      </c>
      <c r="B127" s="1" t="str">
        <f aca="false">Transactions!B127</f>
        <v>ACC1053</v>
      </c>
      <c r="C127" s="1" t="str">
        <f aca="false">Transactions!I127</f>
        <v>2026-01-09</v>
      </c>
      <c r="D127" s="1" t="n">
        <f aca="false">Transactions!J127</f>
        <v>12</v>
      </c>
      <c r="E127" s="1" t="n">
        <f aca="false">Transactions!D127</f>
        <v>69.17</v>
      </c>
      <c r="F127" s="1" t="str">
        <f aca="false">Transactions!H127</f>
        <v>POS</v>
      </c>
      <c r="G127" s="1" t="str">
        <f aca="false">Transactions!G127</f>
        <v>Electronics</v>
      </c>
      <c r="H127" s="1" t="n">
        <f aca="false">IF(COUNTIFS($B$2:$B$1489,B127,$C$2:$C$1489,C127,$D$2:$D$1489,D127)&gt;6,1,0)</f>
        <v>0</v>
      </c>
      <c r="I127" s="1" t="n">
        <f aca="false">IF(AND(F127="Wire",E127&gt;=1000,MOD(E127,1000)=0),1,0)</f>
        <v>0</v>
      </c>
      <c r="J127" s="1" t="n">
        <f aca="false">IF(AND(F127="ATM",E127&gt;2000,D127&lt;=4),1,0)</f>
        <v>0</v>
      </c>
      <c r="K127" s="1" t="n">
        <f aca="false">IF(COUNTIF('SQL Findings'!$A$4:$A$18,B127)&gt;0,1,0)</f>
        <v>0</v>
      </c>
      <c r="L127" s="1" t="n">
        <f aca="false">SUM(H127:K127)</f>
        <v>0</v>
      </c>
      <c r="M127" s="1" t="str">
        <f aca="false">IF(L127&gt;=2,"High",IF(L127=1,"Medium","Low"))</f>
        <v>Low</v>
      </c>
    </row>
    <row r="128" customFormat="false" ht="15" hidden="false" customHeight="true" outlineLevel="0" collapsed="false">
      <c r="A128" s="1" t="str">
        <f aca="false">Transactions!A128</f>
        <v>TXN500047</v>
      </c>
      <c r="B128" s="1" t="str">
        <f aca="false">Transactions!B128</f>
        <v>ACC1001</v>
      </c>
      <c r="C128" s="1" t="str">
        <f aca="false">Transactions!I128</f>
        <v>2026-01-09</v>
      </c>
      <c r="D128" s="1" t="n">
        <f aca="false">Transactions!J128</f>
        <v>13</v>
      </c>
      <c r="E128" s="1" t="n">
        <f aca="false">Transactions!D128</f>
        <v>44.05</v>
      </c>
      <c r="F128" s="1" t="str">
        <f aca="false">Transactions!H128</f>
        <v>Online</v>
      </c>
      <c r="G128" s="1" t="str">
        <f aca="false">Transactions!G128</f>
        <v>Dining</v>
      </c>
      <c r="H128" s="1" t="n">
        <f aca="false">IF(COUNTIFS($B$2:$B$1489,B128,$C$2:$C$1489,C128,$D$2:$D$1489,D128)&gt;6,1,0)</f>
        <v>0</v>
      </c>
      <c r="I128" s="1" t="n">
        <f aca="false">IF(AND(F128="Wire",E128&gt;=1000,MOD(E128,1000)=0),1,0)</f>
        <v>0</v>
      </c>
      <c r="J128" s="1" t="n">
        <f aca="false">IF(AND(F128="ATM",E128&gt;2000,D128&lt;=4),1,0)</f>
        <v>0</v>
      </c>
      <c r="K128" s="1" t="n">
        <f aca="false">IF(COUNTIF('SQL Findings'!$A$4:$A$18,B128)&gt;0,1,0)</f>
        <v>1</v>
      </c>
      <c r="L128" s="1" t="n">
        <f aca="false">SUM(H128:K128)</f>
        <v>1</v>
      </c>
      <c r="M128" s="1" t="str">
        <f aca="false">IF(L128&gt;=2,"High",IF(L128=1,"Medium","Low"))</f>
        <v>Medium</v>
      </c>
    </row>
    <row r="129" customFormat="false" ht="15" hidden="false" customHeight="true" outlineLevel="0" collapsed="false">
      <c r="A129" s="1" t="str">
        <f aca="false">Transactions!A129</f>
        <v>TXN500354</v>
      </c>
      <c r="B129" s="1" t="str">
        <f aca="false">Transactions!B129</f>
        <v>ACC1015</v>
      </c>
      <c r="C129" s="1" t="str">
        <f aca="false">Transactions!I129</f>
        <v>2026-01-09</v>
      </c>
      <c r="D129" s="1" t="n">
        <f aca="false">Transactions!J129</f>
        <v>15</v>
      </c>
      <c r="E129" s="1" t="n">
        <f aca="false">Transactions!D129</f>
        <v>57.75</v>
      </c>
      <c r="F129" s="1" t="str">
        <f aca="false">Transactions!H129</f>
        <v>Online</v>
      </c>
      <c r="G129" s="1" t="str">
        <f aca="false">Transactions!G129</f>
        <v>Retail</v>
      </c>
      <c r="H129" s="1" t="n">
        <f aca="false">IF(COUNTIFS($B$2:$B$1489,B129,$C$2:$C$1489,C129,$D$2:$D$1489,D129)&gt;6,1,0)</f>
        <v>0</v>
      </c>
      <c r="I129" s="1" t="n">
        <f aca="false">IF(AND(F129="Wire",E129&gt;=1000,MOD(E129,1000)=0),1,0)</f>
        <v>0</v>
      </c>
      <c r="J129" s="1" t="n">
        <f aca="false">IF(AND(F129="ATM",E129&gt;2000,D129&lt;=4),1,0)</f>
        <v>0</v>
      </c>
      <c r="K129" s="1" t="n">
        <f aca="false">IF(COUNTIF('SQL Findings'!$A$4:$A$18,B129)&gt;0,1,0)</f>
        <v>1</v>
      </c>
      <c r="L129" s="1" t="n">
        <f aca="false">SUM(H129:K129)</f>
        <v>1</v>
      </c>
      <c r="M129" s="1" t="str">
        <f aca="false">IF(L129&gt;=2,"High",IF(L129=1,"Medium","Low"))</f>
        <v>Medium</v>
      </c>
    </row>
    <row r="130" customFormat="false" ht="15" hidden="false" customHeight="true" outlineLevel="0" collapsed="false">
      <c r="A130" s="1" t="str">
        <f aca="false">Transactions!A130</f>
        <v>TXN500055</v>
      </c>
      <c r="B130" s="1" t="str">
        <f aca="false">Transactions!B130</f>
        <v>ACC1002</v>
      </c>
      <c r="C130" s="1" t="str">
        <f aca="false">Transactions!I130</f>
        <v>2026-01-09</v>
      </c>
      <c r="D130" s="1" t="n">
        <f aca="false">Transactions!J130</f>
        <v>18</v>
      </c>
      <c r="E130" s="1" t="n">
        <f aca="false">Transactions!D130</f>
        <v>168.66</v>
      </c>
      <c r="F130" s="1" t="str">
        <f aca="false">Transactions!H130</f>
        <v>POS</v>
      </c>
      <c r="G130" s="1" t="str">
        <f aca="false">Transactions!G130</f>
        <v>Utilities</v>
      </c>
      <c r="H130" s="1" t="n">
        <f aca="false">IF(COUNTIFS($B$2:$B$1489,B130,$C$2:$C$1489,C130,$D$2:$D$1489,D130)&gt;6,1,0)</f>
        <v>0</v>
      </c>
      <c r="I130" s="1" t="n">
        <f aca="false">IF(AND(F130="Wire",E130&gt;=1000,MOD(E130,1000)=0),1,0)</f>
        <v>0</v>
      </c>
      <c r="J130" s="1" t="n">
        <f aca="false">IF(AND(F130="ATM",E130&gt;2000,D130&lt;=4),1,0)</f>
        <v>0</v>
      </c>
      <c r="K130" s="1" t="n">
        <f aca="false">IF(COUNTIF('SQL Findings'!$A$4:$A$18,B130)&gt;0,1,0)</f>
        <v>1</v>
      </c>
      <c r="L130" s="1" t="n">
        <f aca="false">SUM(H130:K130)</f>
        <v>1</v>
      </c>
      <c r="M130" s="1" t="str">
        <f aca="false">IF(L130&gt;=2,"High",IF(L130=1,"Medium","Low"))</f>
        <v>Medium</v>
      </c>
    </row>
    <row r="131" customFormat="false" ht="15" hidden="false" customHeight="true" outlineLevel="0" collapsed="false">
      <c r="A131" s="1" t="str">
        <f aca="false">Transactions!A131</f>
        <v>TXN500076</v>
      </c>
      <c r="B131" s="1" t="str">
        <f aca="false">Transactions!B131</f>
        <v>ACC1003</v>
      </c>
      <c r="C131" s="1" t="str">
        <f aca="false">Transactions!I131</f>
        <v>2026-01-09</v>
      </c>
      <c r="D131" s="1" t="n">
        <f aca="false">Transactions!J131</f>
        <v>22</v>
      </c>
      <c r="E131" s="1" t="n">
        <f aca="false">Transactions!D131</f>
        <v>139.73</v>
      </c>
      <c r="F131" s="1" t="str">
        <f aca="false">Transactions!H131</f>
        <v>ATM</v>
      </c>
      <c r="G131" s="1" t="str">
        <f aca="false">Transactions!G131</f>
        <v>Cash Withdrawal</v>
      </c>
      <c r="H131" s="1" t="n">
        <f aca="false">IF(COUNTIFS($B$2:$B$1489,B131,$C$2:$C$1489,C131,$D$2:$D$1489,D131)&gt;6,1,0)</f>
        <v>0</v>
      </c>
      <c r="I131" s="1" t="n">
        <f aca="false">IF(AND(F131="Wire",E131&gt;=1000,MOD(E131,1000)=0),1,0)</f>
        <v>0</v>
      </c>
      <c r="J131" s="1" t="n">
        <f aca="false">IF(AND(F131="ATM",E131&gt;2000,D131&lt;=4),1,0)</f>
        <v>0</v>
      </c>
      <c r="K131" s="1" t="n">
        <f aca="false">IF(COUNTIF('SQL Findings'!$A$4:$A$18,B131)&gt;0,1,0)</f>
        <v>0</v>
      </c>
      <c r="L131" s="1" t="n">
        <f aca="false">SUM(H131:K131)</f>
        <v>0</v>
      </c>
      <c r="M131" s="1" t="str">
        <f aca="false">IF(L131&gt;=2,"High",IF(L131=1,"Medium","Low"))</f>
        <v>Low</v>
      </c>
    </row>
    <row r="132" customFormat="false" ht="15" hidden="false" customHeight="true" outlineLevel="0" collapsed="false">
      <c r="A132" s="1" t="str">
        <f aca="false">Transactions!A132</f>
        <v>TXN500023</v>
      </c>
      <c r="B132" s="1" t="str">
        <f aca="false">Transactions!B132</f>
        <v>ACC1001</v>
      </c>
      <c r="C132" s="1" t="str">
        <f aca="false">Transactions!I132</f>
        <v>2026-01-09</v>
      </c>
      <c r="D132" s="1" t="n">
        <f aca="false">Transactions!J132</f>
        <v>22</v>
      </c>
      <c r="E132" s="1" t="n">
        <f aca="false">Transactions!D132</f>
        <v>70.86</v>
      </c>
      <c r="F132" s="1" t="str">
        <f aca="false">Transactions!H132</f>
        <v>POS</v>
      </c>
      <c r="G132" s="1" t="str">
        <f aca="false">Transactions!G132</f>
        <v>Travel</v>
      </c>
      <c r="H132" s="1" t="n">
        <f aca="false">IF(COUNTIFS($B$2:$B$1489,B132,$C$2:$C$1489,C132,$D$2:$D$1489,D132)&gt;6,1,0)</f>
        <v>0</v>
      </c>
      <c r="I132" s="1" t="n">
        <f aca="false">IF(AND(F132="Wire",E132&gt;=1000,MOD(E132,1000)=0),1,0)</f>
        <v>0</v>
      </c>
      <c r="J132" s="1" t="n">
        <f aca="false">IF(AND(F132="ATM",E132&gt;2000,D132&lt;=4),1,0)</f>
        <v>0</v>
      </c>
      <c r="K132" s="1" t="n">
        <f aca="false">IF(COUNTIF('SQL Findings'!$A$4:$A$18,B132)&gt;0,1,0)</f>
        <v>1</v>
      </c>
      <c r="L132" s="1" t="n">
        <f aca="false">SUM(H132:K132)</f>
        <v>1</v>
      </c>
      <c r="M132" s="1" t="str">
        <f aca="false">IF(L132&gt;=2,"High",IF(L132=1,"Medium","Low"))</f>
        <v>Medium</v>
      </c>
    </row>
    <row r="133" customFormat="false" ht="15" hidden="false" customHeight="true" outlineLevel="0" collapsed="false">
      <c r="A133" s="1" t="str">
        <f aca="false">Transactions!A133</f>
        <v>TXN500479</v>
      </c>
      <c r="B133" s="1" t="str">
        <f aca="false">Transactions!B133</f>
        <v>ACC1021</v>
      </c>
      <c r="C133" s="1" t="str">
        <f aca="false">Transactions!I133</f>
        <v>2026-01-10</v>
      </c>
      <c r="D133" s="1" t="n">
        <f aca="false">Transactions!J133</f>
        <v>2</v>
      </c>
      <c r="E133" s="1" t="n">
        <f aca="false">Transactions!D133</f>
        <v>1065.28</v>
      </c>
      <c r="F133" s="1" t="str">
        <f aca="false">Transactions!H133</f>
        <v>ATM</v>
      </c>
      <c r="G133" s="1" t="str">
        <f aca="false">Transactions!G133</f>
        <v>Electronics</v>
      </c>
      <c r="H133" s="1" t="n">
        <f aca="false">IF(COUNTIFS($B$2:$B$1489,B133,$C$2:$C$1489,C133,$D$2:$D$1489,D133)&gt;6,1,0)</f>
        <v>0</v>
      </c>
      <c r="I133" s="1" t="n">
        <f aca="false">IF(AND(F133="Wire",E133&gt;=1000,MOD(E133,1000)=0),1,0)</f>
        <v>0</v>
      </c>
      <c r="J133" s="1" t="n">
        <f aca="false">IF(AND(F133="ATM",E133&gt;2000,D133&lt;=4),1,0)</f>
        <v>0</v>
      </c>
      <c r="K133" s="1" t="n">
        <f aca="false">IF(COUNTIF('SQL Findings'!$A$4:$A$18,B133)&gt;0,1,0)</f>
        <v>0</v>
      </c>
      <c r="L133" s="1" t="n">
        <f aca="false">SUM(H133:K133)</f>
        <v>0</v>
      </c>
      <c r="M133" s="1" t="str">
        <f aca="false">IF(L133&gt;=2,"High",IF(L133=1,"Medium","Low"))</f>
        <v>Low</v>
      </c>
    </row>
    <row r="134" customFormat="false" ht="15" hidden="false" customHeight="true" outlineLevel="0" collapsed="false">
      <c r="A134" s="1" t="str">
        <f aca="false">Transactions!A134</f>
        <v>TXN500637</v>
      </c>
      <c r="B134" s="1" t="str">
        <f aca="false">Transactions!B134</f>
        <v>ACC1028</v>
      </c>
      <c r="C134" s="1" t="str">
        <f aca="false">Transactions!I134</f>
        <v>2026-01-10</v>
      </c>
      <c r="D134" s="1" t="n">
        <f aca="false">Transactions!J134</f>
        <v>6</v>
      </c>
      <c r="E134" s="1" t="n">
        <f aca="false">Transactions!D134</f>
        <v>139.89</v>
      </c>
      <c r="F134" s="1" t="str">
        <f aca="false">Transactions!H134</f>
        <v>POS</v>
      </c>
      <c r="G134" s="1" t="str">
        <f aca="false">Transactions!G134</f>
        <v>Online Marketplace</v>
      </c>
      <c r="H134" s="1" t="n">
        <f aca="false">IF(COUNTIFS($B$2:$B$1489,B134,$C$2:$C$1489,C134,$D$2:$D$1489,D134)&gt;6,1,0)</f>
        <v>0</v>
      </c>
      <c r="I134" s="1" t="n">
        <f aca="false">IF(AND(F134="Wire",E134&gt;=1000,MOD(E134,1000)=0),1,0)</f>
        <v>0</v>
      </c>
      <c r="J134" s="1" t="n">
        <f aca="false">IF(AND(F134="ATM",E134&gt;2000,D134&lt;=4),1,0)</f>
        <v>0</v>
      </c>
      <c r="K134" s="1" t="n">
        <f aca="false">IF(COUNTIF('SQL Findings'!$A$4:$A$18,B134)&gt;0,1,0)</f>
        <v>0</v>
      </c>
      <c r="L134" s="1" t="n">
        <f aca="false">SUM(H134:K134)</f>
        <v>0</v>
      </c>
      <c r="M134" s="1" t="str">
        <f aca="false">IF(L134&gt;=2,"High",IF(L134=1,"Medium","Low"))</f>
        <v>Low</v>
      </c>
    </row>
    <row r="135" customFormat="false" ht="15" hidden="false" customHeight="true" outlineLevel="0" collapsed="false">
      <c r="A135" s="1" t="str">
        <f aca="false">Transactions!A135</f>
        <v>TXN500160</v>
      </c>
      <c r="B135" s="1" t="str">
        <f aca="false">Transactions!B135</f>
        <v>ACC1006</v>
      </c>
      <c r="C135" s="1" t="str">
        <f aca="false">Transactions!I135</f>
        <v>2026-01-10</v>
      </c>
      <c r="D135" s="1" t="n">
        <f aca="false">Transactions!J135</f>
        <v>6</v>
      </c>
      <c r="E135" s="1" t="n">
        <f aca="false">Transactions!D135</f>
        <v>120.41</v>
      </c>
      <c r="F135" s="1" t="str">
        <f aca="false">Transactions!H135</f>
        <v>ATM</v>
      </c>
      <c r="G135" s="1" t="str">
        <f aca="false">Transactions!G135</f>
        <v>Online Marketplace</v>
      </c>
      <c r="H135" s="1" t="n">
        <f aca="false">IF(COUNTIFS($B$2:$B$1489,B135,$C$2:$C$1489,C135,$D$2:$D$1489,D135)&gt;6,1,0)</f>
        <v>0</v>
      </c>
      <c r="I135" s="1" t="n">
        <f aca="false">IF(AND(F135="Wire",E135&gt;=1000,MOD(E135,1000)=0),1,0)</f>
        <v>0</v>
      </c>
      <c r="J135" s="1" t="n">
        <f aca="false">IF(AND(F135="ATM",E135&gt;2000,D135&lt;=4),1,0)</f>
        <v>0</v>
      </c>
      <c r="K135" s="1" t="n">
        <f aca="false">IF(COUNTIF('SQL Findings'!$A$4:$A$18,B135)&gt;0,1,0)</f>
        <v>0</v>
      </c>
      <c r="L135" s="1" t="n">
        <f aca="false">SUM(H135:K135)</f>
        <v>0</v>
      </c>
      <c r="M135" s="1" t="str">
        <f aca="false">IF(L135&gt;=2,"High",IF(L135=1,"Medium","Low"))</f>
        <v>Low</v>
      </c>
    </row>
    <row r="136" customFormat="false" ht="15" hidden="false" customHeight="true" outlineLevel="0" collapsed="false">
      <c r="A136" s="1" t="str">
        <f aca="false">Transactions!A136</f>
        <v>TXN500299</v>
      </c>
      <c r="B136" s="1" t="str">
        <f aca="false">Transactions!B136</f>
        <v>ACC1013</v>
      </c>
      <c r="C136" s="1" t="str">
        <f aca="false">Transactions!I136</f>
        <v>2026-01-10</v>
      </c>
      <c r="D136" s="1" t="n">
        <f aca="false">Transactions!J136</f>
        <v>6</v>
      </c>
      <c r="E136" s="1" t="n">
        <f aca="false">Transactions!D136</f>
        <v>138.6</v>
      </c>
      <c r="F136" s="1" t="str">
        <f aca="false">Transactions!H136</f>
        <v>Online</v>
      </c>
      <c r="G136" s="1" t="str">
        <f aca="false">Transactions!G136</f>
        <v>Online Marketplace</v>
      </c>
      <c r="H136" s="1" t="n">
        <f aca="false">IF(COUNTIFS($B$2:$B$1489,B136,$C$2:$C$1489,C136,$D$2:$D$1489,D136)&gt;6,1,0)</f>
        <v>0</v>
      </c>
      <c r="I136" s="1" t="n">
        <f aca="false">IF(AND(F136="Wire",E136&gt;=1000,MOD(E136,1000)=0),1,0)</f>
        <v>0</v>
      </c>
      <c r="J136" s="1" t="n">
        <f aca="false">IF(AND(F136="ATM",E136&gt;2000,D136&lt;=4),1,0)</f>
        <v>0</v>
      </c>
      <c r="K136" s="1" t="n">
        <f aca="false">IF(COUNTIF('SQL Findings'!$A$4:$A$18,B136)&gt;0,1,0)</f>
        <v>0</v>
      </c>
      <c r="L136" s="1" t="n">
        <f aca="false">SUM(H136:K136)</f>
        <v>0</v>
      </c>
      <c r="M136" s="1" t="str">
        <f aca="false">IF(L136&gt;=2,"High",IF(L136=1,"Medium","Low"))</f>
        <v>Low</v>
      </c>
    </row>
    <row r="137" customFormat="false" ht="15" hidden="false" customHeight="true" outlineLevel="0" collapsed="false">
      <c r="A137" s="1" t="str">
        <f aca="false">Transactions!A137</f>
        <v>TXN500741</v>
      </c>
      <c r="B137" s="1" t="str">
        <f aca="false">Transactions!B137</f>
        <v>ACC1031</v>
      </c>
      <c r="C137" s="1" t="str">
        <f aca="false">Transactions!I137</f>
        <v>2026-01-10</v>
      </c>
      <c r="D137" s="1" t="n">
        <f aca="false">Transactions!J137</f>
        <v>7</v>
      </c>
      <c r="E137" s="1" t="n">
        <f aca="false">Transactions!D137</f>
        <v>12.72</v>
      </c>
      <c r="F137" s="1" t="str">
        <f aca="false">Transactions!H137</f>
        <v>ATM</v>
      </c>
      <c r="G137" s="1" t="str">
        <f aca="false">Transactions!G137</f>
        <v>Travel</v>
      </c>
      <c r="H137" s="1" t="n">
        <f aca="false">IF(COUNTIFS($B$2:$B$1489,B137,$C$2:$C$1489,C137,$D$2:$D$1489,D137)&gt;6,1,0)</f>
        <v>0</v>
      </c>
      <c r="I137" s="1" t="n">
        <f aca="false">IF(AND(F137="Wire",E137&gt;=1000,MOD(E137,1000)=0),1,0)</f>
        <v>0</v>
      </c>
      <c r="J137" s="1" t="n">
        <f aca="false">IF(AND(F137="ATM",E137&gt;2000,D137&lt;=4),1,0)</f>
        <v>0</v>
      </c>
      <c r="K137" s="1" t="n">
        <f aca="false">IF(COUNTIF('SQL Findings'!$A$4:$A$18,B137)&gt;0,1,0)</f>
        <v>0</v>
      </c>
      <c r="L137" s="1" t="n">
        <f aca="false">SUM(H137:K137)</f>
        <v>0</v>
      </c>
      <c r="M137" s="1" t="str">
        <f aca="false">IF(L137&gt;=2,"High",IF(L137=1,"Medium","Low"))</f>
        <v>Low</v>
      </c>
    </row>
    <row r="138" customFormat="false" ht="15" hidden="false" customHeight="true" outlineLevel="0" collapsed="false">
      <c r="A138" s="1" t="str">
        <f aca="false">Transactions!A138</f>
        <v>TXN501175</v>
      </c>
      <c r="B138" s="1" t="str">
        <f aca="false">Transactions!B138</f>
        <v>ACC1051</v>
      </c>
      <c r="C138" s="1" t="str">
        <f aca="false">Transactions!I138</f>
        <v>2026-01-10</v>
      </c>
      <c r="D138" s="1" t="n">
        <f aca="false">Transactions!J138</f>
        <v>8</v>
      </c>
      <c r="E138" s="1" t="n">
        <f aca="false">Transactions!D138</f>
        <v>33.83</v>
      </c>
      <c r="F138" s="1" t="str">
        <f aca="false">Transactions!H138</f>
        <v>ATM</v>
      </c>
      <c r="G138" s="1" t="str">
        <f aca="false">Transactions!G138</f>
        <v>Cash Withdrawal</v>
      </c>
      <c r="H138" s="1" t="n">
        <f aca="false">IF(COUNTIFS($B$2:$B$1489,B138,$C$2:$C$1489,C138,$D$2:$D$1489,D138)&gt;6,1,0)</f>
        <v>0</v>
      </c>
      <c r="I138" s="1" t="n">
        <f aca="false">IF(AND(F138="Wire",E138&gt;=1000,MOD(E138,1000)=0),1,0)</f>
        <v>0</v>
      </c>
      <c r="J138" s="1" t="n">
        <f aca="false">IF(AND(F138="ATM",E138&gt;2000,D138&lt;=4),1,0)</f>
        <v>0</v>
      </c>
      <c r="K138" s="1" t="n">
        <f aca="false">IF(COUNTIF('SQL Findings'!$A$4:$A$18,B138)&gt;0,1,0)</f>
        <v>0</v>
      </c>
      <c r="L138" s="1" t="n">
        <f aca="false">SUM(H138:K138)</f>
        <v>0</v>
      </c>
      <c r="M138" s="1" t="str">
        <f aca="false">IF(L138&gt;=2,"High",IF(L138=1,"Medium","Low"))</f>
        <v>Low</v>
      </c>
    </row>
    <row r="139" customFormat="false" ht="15" hidden="false" customHeight="true" outlineLevel="0" collapsed="false">
      <c r="A139" s="1" t="str">
        <f aca="false">Transactions!A139</f>
        <v>TXN500943</v>
      </c>
      <c r="B139" s="1" t="str">
        <f aca="false">Transactions!B139</f>
        <v>ACC1041</v>
      </c>
      <c r="C139" s="1" t="str">
        <f aca="false">Transactions!I139</f>
        <v>2026-01-10</v>
      </c>
      <c r="D139" s="1" t="n">
        <f aca="false">Transactions!J139</f>
        <v>9</v>
      </c>
      <c r="E139" s="1" t="n">
        <f aca="false">Transactions!D139</f>
        <v>119.72</v>
      </c>
      <c r="F139" s="1" t="str">
        <f aca="false">Transactions!H139</f>
        <v>Online</v>
      </c>
      <c r="G139" s="1" t="str">
        <f aca="false">Transactions!G139</f>
        <v>Electronics</v>
      </c>
      <c r="H139" s="1" t="n">
        <f aca="false">IF(COUNTIFS($B$2:$B$1489,B139,$C$2:$C$1489,C139,$D$2:$D$1489,D139)&gt;6,1,0)</f>
        <v>0</v>
      </c>
      <c r="I139" s="1" t="n">
        <f aca="false">IF(AND(F139="Wire",E139&gt;=1000,MOD(E139,1000)=0),1,0)</f>
        <v>0</v>
      </c>
      <c r="J139" s="1" t="n">
        <f aca="false">IF(AND(F139="ATM",E139&gt;2000,D139&lt;=4),1,0)</f>
        <v>0</v>
      </c>
      <c r="K139" s="1" t="n">
        <f aca="false">IF(COUNTIF('SQL Findings'!$A$4:$A$18,B139)&gt;0,1,0)</f>
        <v>1</v>
      </c>
      <c r="L139" s="1" t="n">
        <f aca="false">SUM(H139:K139)</f>
        <v>1</v>
      </c>
      <c r="M139" s="1" t="str">
        <f aca="false">IF(L139&gt;=2,"High",IF(L139=1,"Medium","Low"))</f>
        <v>Medium</v>
      </c>
    </row>
    <row r="140" customFormat="false" ht="15" hidden="false" customHeight="true" outlineLevel="0" collapsed="false">
      <c r="A140" s="1" t="str">
        <f aca="false">Transactions!A140</f>
        <v>TXN500573</v>
      </c>
      <c r="B140" s="1" t="str">
        <f aca="false">Transactions!B140</f>
        <v>ACC1025</v>
      </c>
      <c r="C140" s="1" t="str">
        <f aca="false">Transactions!I140</f>
        <v>2026-01-10</v>
      </c>
      <c r="D140" s="1" t="n">
        <f aca="false">Transactions!J140</f>
        <v>11</v>
      </c>
      <c r="E140" s="1" t="n">
        <f aca="false">Transactions!D140</f>
        <v>89.5</v>
      </c>
      <c r="F140" s="1" t="str">
        <f aca="false">Transactions!H140</f>
        <v>ATM</v>
      </c>
      <c r="G140" s="1" t="str">
        <f aca="false">Transactions!G140</f>
        <v>Online Marketplace</v>
      </c>
      <c r="H140" s="1" t="n">
        <f aca="false">IF(COUNTIFS($B$2:$B$1489,B140,$C$2:$C$1489,C140,$D$2:$D$1489,D140)&gt;6,1,0)</f>
        <v>0</v>
      </c>
      <c r="I140" s="1" t="n">
        <f aca="false">IF(AND(F140="Wire",E140&gt;=1000,MOD(E140,1000)=0),1,0)</f>
        <v>0</v>
      </c>
      <c r="J140" s="1" t="n">
        <f aca="false">IF(AND(F140="ATM",E140&gt;2000,D140&lt;=4),1,0)</f>
        <v>0</v>
      </c>
      <c r="K140" s="1" t="n">
        <f aca="false">IF(COUNTIF('SQL Findings'!$A$4:$A$18,B140)&gt;0,1,0)</f>
        <v>0</v>
      </c>
      <c r="L140" s="1" t="n">
        <f aca="false">SUM(H140:K140)</f>
        <v>0</v>
      </c>
      <c r="M140" s="1" t="str">
        <f aca="false">IF(L140&gt;=2,"High",IF(L140=1,"Medium","Low"))</f>
        <v>Low</v>
      </c>
    </row>
    <row r="141" customFormat="false" ht="15" hidden="false" customHeight="true" outlineLevel="0" collapsed="false">
      <c r="A141" s="1" t="str">
        <f aca="false">Transactions!A141</f>
        <v>TXN500031</v>
      </c>
      <c r="B141" s="1" t="str">
        <f aca="false">Transactions!B141</f>
        <v>ACC1001</v>
      </c>
      <c r="C141" s="1" t="str">
        <f aca="false">Transactions!I141</f>
        <v>2026-01-10</v>
      </c>
      <c r="D141" s="1" t="n">
        <f aca="false">Transactions!J141</f>
        <v>12</v>
      </c>
      <c r="E141" s="1" t="n">
        <f aca="false">Transactions!D141</f>
        <v>38.8</v>
      </c>
      <c r="F141" s="1" t="str">
        <f aca="false">Transactions!H141</f>
        <v>POS</v>
      </c>
      <c r="G141" s="1" t="str">
        <f aca="false">Transactions!G141</f>
        <v>Online Marketplace</v>
      </c>
      <c r="H141" s="1" t="n">
        <f aca="false">IF(COUNTIFS($B$2:$B$1489,B141,$C$2:$C$1489,C141,$D$2:$D$1489,D141)&gt;6,1,0)</f>
        <v>0</v>
      </c>
      <c r="I141" s="1" t="n">
        <f aca="false">IF(AND(F141="Wire",E141&gt;=1000,MOD(E141,1000)=0),1,0)</f>
        <v>0</v>
      </c>
      <c r="J141" s="1" t="n">
        <f aca="false">IF(AND(F141="ATM",E141&gt;2000,D141&lt;=4),1,0)</f>
        <v>0</v>
      </c>
      <c r="K141" s="1" t="n">
        <f aca="false">IF(COUNTIF('SQL Findings'!$A$4:$A$18,B141)&gt;0,1,0)</f>
        <v>1</v>
      </c>
      <c r="L141" s="1" t="n">
        <f aca="false">SUM(H141:K141)</f>
        <v>1</v>
      </c>
      <c r="M141" s="1" t="str">
        <f aca="false">IF(L141&gt;=2,"High",IF(L141=1,"Medium","Low"))</f>
        <v>Medium</v>
      </c>
    </row>
    <row r="142" customFormat="false" ht="15" hidden="false" customHeight="true" outlineLevel="0" collapsed="false">
      <c r="A142" s="1" t="str">
        <f aca="false">Transactions!A142</f>
        <v>TXN500153</v>
      </c>
      <c r="B142" s="1" t="str">
        <f aca="false">Transactions!B142</f>
        <v>ACC1006</v>
      </c>
      <c r="C142" s="1" t="str">
        <f aca="false">Transactions!I142</f>
        <v>2026-01-10</v>
      </c>
      <c r="D142" s="1" t="n">
        <f aca="false">Transactions!J142</f>
        <v>13</v>
      </c>
      <c r="E142" s="1" t="n">
        <f aca="false">Transactions!D142</f>
        <v>36.16</v>
      </c>
      <c r="F142" s="1" t="str">
        <f aca="false">Transactions!H142</f>
        <v>POS</v>
      </c>
      <c r="G142" s="1" t="str">
        <f aca="false">Transactions!G142</f>
        <v>Retail</v>
      </c>
      <c r="H142" s="1" t="n">
        <f aca="false">IF(COUNTIFS($B$2:$B$1489,B142,$C$2:$C$1489,C142,$D$2:$D$1489,D142)&gt;6,1,0)</f>
        <v>0</v>
      </c>
      <c r="I142" s="1" t="n">
        <f aca="false">IF(AND(F142="Wire",E142&gt;=1000,MOD(E142,1000)=0),1,0)</f>
        <v>0</v>
      </c>
      <c r="J142" s="1" t="n">
        <f aca="false">IF(AND(F142="ATM",E142&gt;2000,D142&lt;=4),1,0)</f>
        <v>0</v>
      </c>
      <c r="K142" s="1" t="n">
        <f aca="false">IF(COUNTIF('SQL Findings'!$A$4:$A$18,B142)&gt;0,1,0)</f>
        <v>0</v>
      </c>
      <c r="L142" s="1" t="n">
        <f aca="false">SUM(H142:K142)</f>
        <v>0</v>
      </c>
      <c r="M142" s="1" t="str">
        <f aca="false">IF(L142&gt;=2,"High",IF(L142=1,"Medium","Low"))</f>
        <v>Low</v>
      </c>
    </row>
    <row r="143" customFormat="false" ht="15" hidden="false" customHeight="true" outlineLevel="0" collapsed="false">
      <c r="A143" s="1" t="str">
        <f aca="false">Transactions!A143</f>
        <v>TXN501368</v>
      </c>
      <c r="B143" s="1" t="str">
        <f aca="false">Transactions!B143</f>
        <v>ACC1059</v>
      </c>
      <c r="C143" s="1" t="str">
        <f aca="false">Transactions!I143</f>
        <v>2026-01-10</v>
      </c>
      <c r="D143" s="1" t="n">
        <f aca="false">Transactions!J143</f>
        <v>14</v>
      </c>
      <c r="E143" s="1" t="n">
        <f aca="false">Transactions!D143</f>
        <v>28.79</v>
      </c>
      <c r="F143" s="1" t="str">
        <f aca="false">Transactions!H143</f>
        <v>Online</v>
      </c>
      <c r="G143" s="1" t="str">
        <f aca="false">Transactions!G143</f>
        <v>Utilities</v>
      </c>
      <c r="H143" s="1" t="n">
        <f aca="false">IF(COUNTIFS($B$2:$B$1489,B143,$C$2:$C$1489,C143,$D$2:$D$1489,D143)&gt;6,1,0)</f>
        <v>0</v>
      </c>
      <c r="I143" s="1" t="n">
        <f aca="false">IF(AND(F143="Wire",E143&gt;=1000,MOD(E143,1000)=0),1,0)</f>
        <v>0</v>
      </c>
      <c r="J143" s="1" t="n">
        <f aca="false">IF(AND(F143="ATM",E143&gt;2000,D143&lt;=4),1,0)</f>
        <v>0</v>
      </c>
      <c r="K143" s="1" t="n">
        <f aca="false">IF(COUNTIF('SQL Findings'!$A$4:$A$18,B143)&gt;0,1,0)</f>
        <v>0</v>
      </c>
      <c r="L143" s="1" t="n">
        <f aca="false">SUM(H143:K143)</f>
        <v>0</v>
      </c>
      <c r="M143" s="1" t="str">
        <f aca="false">IF(L143&gt;=2,"High",IF(L143=1,"Medium","Low"))</f>
        <v>Low</v>
      </c>
    </row>
    <row r="144" customFormat="false" ht="15" hidden="false" customHeight="true" outlineLevel="0" collapsed="false">
      <c r="A144" s="1" t="str">
        <f aca="false">Transactions!A144</f>
        <v>TXN500937</v>
      </c>
      <c r="B144" s="1" t="str">
        <f aca="false">Transactions!B144</f>
        <v>ACC1040</v>
      </c>
      <c r="C144" s="1" t="str">
        <f aca="false">Transactions!I144</f>
        <v>2026-01-10</v>
      </c>
      <c r="D144" s="1" t="n">
        <f aca="false">Transactions!J144</f>
        <v>15</v>
      </c>
      <c r="E144" s="1" t="n">
        <f aca="false">Transactions!D144</f>
        <v>26.6</v>
      </c>
      <c r="F144" s="1" t="str">
        <f aca="false">Transactions!H144</f>
        <v>Online</v>
      </c>
      <c r="G144" s="1" t="str">
        <f aca="false">Transactions!G144</f>
        <v>Retail</v>
      </c>
      <c r="H144" s="1" t="n">
        <f aca="false">IF(COUNTIFS($B$2:$B$1489,B144,$C$2:$C$1489,C144,$D$2:$D$1489,D144)&gt;6,1,0)</f>
        <v>0</v>
      </c>
      <c r="I144" s="1" t="n">
        <f aca="false">IF(AND(F144="Wire",E144&gt;=1000,MOD(E144,1000)=0),1,0)</f>
        <v>0</v>
      </c>
      <c r="J144" s="1" t="n">
        <f aca="false">IF(AND(F144="ATM",E144&gt;2000,D144&lt;=4),1,0)</f>
        <v>0</v>
      </c>
      <c r="K144" s="1" t="n">
        <f aca="false">IF(COUNTIF('SQL Findings'!$A$4:$A$18,B144)&gt;0,1,0)</f>
        <v>1</v>
      </c>
      <c r="L144" s="1" t="n">
        <f aca="false">SUM(H144:K144)</f>
        <v>1</v>
      </c>
      <c r="M144" s="1" t="str">
        <f aca="false">IF(L144&gt;=2,"High",IF(L144=1,"Medium","Low"))</f>
        <v>Medium</v>
      </c>
    </row>
    <row r="145" customFormat="false" ht="15" hidden="false" customHeight="true" outlineLevel="0" collapsed="false">
      <c r="A145" s="1" t="str">
        <f aca="false">Transactions!A145</f>
        <v>TXN501160</v>
      </c>
      <c r="B145" s="1" t="str">
        <f aca="false">Transactions!B145</f>
        <v>ACC1051</v>
      </c>
      <c r="C145" s="1" t="str">
        <f aca="false">Transactions!I145</f>
        <v>2026-01-10</v>
      </c>
      <c r="D145" s="1" t="n">
        <f aca="false">Transactions!J145</f>
        <v>15</v>
      </c>
      <c r="E145" s="1" t="n">
        <f aca="false">Transactions!D145</f>
        <v>49.78</v>
      </c>
      <c r="F145" s="1" t="str">
        <f aca="false">Transactions!H145</f>
        <v>POS</v>
      </c>
      <c r="G145" s="1" t="str">
        <f aca="false">Transactions!G145</f>
        <v>Online Marketplace</v>
      </c>
      <c r="H145" s="1" t="n">
        <f aca="false">IF(COUNTIFS($B$2:$B$1489,B145,$C$2:$C$1489,C145,$D$2:$D$1489,D145)&gt;6,1,0)</f>
        <v>0</v>
      </c>
      <c r="I145" s="1" t="n">
        <f aca="false">IF(AND(F145="Wire",E145&gt;=1000,MOD(E145,1000)=0),1,0)</f>
        <v>0</v>
      </c>
      <c r="J145" s="1" t="n">
        <f aca="false">IF(AND(F145="ATM",E145&gt;2000,D145&lt;=4),1,0)</f>
        <v>0</v>
      </c>
      <c r="K145" s="1" t="n">
        <f aca="false">IF(COUNTIF('SQL Findings'!$A$4:$A$18,B145)&gt;0,1,0)</f>
        <v>0</v>
      </c>
      <c r="L145" s="1" t="n">
        <f aca="false">SUM(H145:K145)</f>
        <v>0</v>
      </c>
      <c r="M145" s="1" t="str">
        <f aca="false">IF(L145&gt;=2,"High",IF(L145=1,"Medium","Low"))</f>
        <v>Low</v>
      </c>
    </row>
    <row r="146" customFormat="false" ht="15" hidden="false" customHeight="true" outlineLevel="0" collapsed="false">
      <c r="A146" s="1" t="str">
        <f aca="false">Transactions!A146</f>
        <v>TXN501142</v>
      </c>
      <c r="B146" s="1" t="str">
        <f aca="false">Transactions!B146</f>
        <v>ACC1050</v>
      </c>
      <c r="C146" s="1" t="str">
        <f aca="false">Transactions!I146</f>
        <v>2026-01-10</v>
      </c>
      <c r="D146" s="1" t="n">
        <f aca="false">Transactions!J146</f>
        <v>17</v>
      </c>
      <c r="E146" s="1" t="n">
        <f aca="false">Transactions!D146</f>
        <v>230.01</v>
      </c>
      <c r="F146" s="1" t="str">
        <f aca="false">Transactions!H146</f>
        <v>ATM</v>
      </c>
      <c r="G146" s="1" t="str">
        <f aca="false">Transactions!G146</f>
        <v>Dining</v>
      </c>
      <c r="H146" s="1" t="n">
        <f aca="false">IF(COUNTIFS($B$2:$B$1489,B146,$C$2:$C$1489,C146,$D$2:$D$1489,D146)&gt;6,1,0)</f>
        <v>0</v>
      </c>
      <c r="I146" s="1" t="n">
        <f aca="false">IF(AND(F146="Wire",E146&gt;=1000,MOD(E146,1000)=0),1,0)</f>
        <v>0</v>
      </c>
      <c r="J146" s="1" t="n">
        <f aca="false">IF(AND(F146="ATM",E146&gt;2000,D146&lt;=4),1,0)</f>
        <v>0</v>
      </c>
      <c r="K146" s="1" t="n">
        <f aca="false">IF(COUNTIF('SQL Findings'!$A$4:$A$18,B146)&gt;0,1,0)</f>
        <v>0</v>
      </c>
      <c r="L146" s="1" t="n">
        <f aca="false">SUM(H146:K146)</f>
        <v>0</v>
      </c>
      <c r="M146" s="1" t="str">
        <f aca="false">IF(L146&gt;=2,"High",IF(L146=1,"Medium","Low"))</f>
        <v>Low</v>
      </c>
    </row>
    <row r="147" customFormat="false" ht="15" hidden="false" customHeight="true" outlineLevel="0" collapsed="false">
      <c r="A147" s="1" t="str">
        <f aca="false">Transactions!A147</f>
        <v>TXN500065</v>
      </c>
      <c r="B147" s="1" t="str">
        <f aca="false">Transactions!B147</f>
        <v>ACC1002</v>
      </c>
      <c r="C147" s="1" t="str">
        <f aca="false">Transactions!I147</f>
        <v>2026-01-10</v>
      </c>
      <c r="D147" s="1" t="n">
        <f aca="false">Transactions!J147</f>
        <v>21</v>
      </c>
      <c r="E147" s="1" t="n">
        <f aca="false">Transactions!D147</f>
        <v>138.56</v>
      </c>
      <c r="F147" s="1" t="str">
        <f aca="false">Transactions!H147</f>
        <v>ATM</v>
      </c>
      <c r="G147" s="1" t="str">
        <f aca="false">Transactions!G147</f>
        <v>Travel</v>
      </c>
      <c r="H147" s="1" t="n">
        <f aca="false">IF(COUNTIFS($B$2:$B$1489,B147,$C$2:$C$1489,C147,$D$2:$D$1489,D147)&gt;6,1,0)</f>
        <v>0</v>
      </c>
      <c r="I147" s="1" t="n">
        <f aca="false">IF(AND(F147="Wire",E147&gt;=1000,MOD(E147,1000)=0),1,0)</f>
        <v>0</v>
      </c>
      <c r="J147" s="1" t="n">
        <f aca="false">IF(AND(F147="ATM",E147&gt;2000,D147&lt;=4),1,0)</f>
        <v>0</v>
      </c>
      <c r="K147" s="1" t="n">
        <f aca="false">IF(COUNTIF('SQL Findings'!$A$4:$A$18,B147)&gt;0,1,0)</f>
        <v>1</v>
      </c>
      <c r="L147" s="1" t="n">
        <f aca="false">SUM(H147:K147)</f>
        <v>1</v>
      </c>
      <c r="M147" s="1" t="str">
        <f aca="false">IF(L147&gt;=2,"High",IF(L147=1,"Medium","Low"))</f>
        <v>Medium</v>
      </c>
    </row>
    <row r="148" customFormat="false" ht="15" hidden="false" customHeight="true" outlineLevel="0" collapsed="false">
      <c r="A148" s="1" t="str">
        <f aca="false">Transactions!A148</f>
        <v>TXN501080</v>
      </c>
      <c r="B148" s="1" t="str">
        <f aca="false">Transactions!B148</f>
        <v>ACC1047</v>
      </c>
      <c r="C148" s="1" t="str">
        <f aca="false">Transactions!I148</f>
        <v>2026-01-11</v>
      </c>
      <c r="D148" s="1" t="n">
        <f aca="false">Transactions!J148</f>
        <v>4</v>
      </c>
      <c r="E148" s="1" t="n">
        <f aca="false">Transactions!D148</f>
        <v>143.34</v>
      </c>
      <c r="F148" s="1" t="str">
        <f aca="false">Transactions!H148</f>
        <v>POS</v>
      </c>
      <c r="G148" s="1" t="str">
        <f aca="false">Transactions!G148</f>
        <v>Travel</v>
      </c>
      <c r="H148" s="1" t="n">
        <f aca="false">IF(COUNTIFS($B$2:$B$1489,B148,$C$2:$C$1489,C148,$D$2:$D$1489,D148)&gt;6,1,0)</f>
        <v>0</v>
      </c>
      <c r="I148" s="1" t="n">
        <f aca="false">IF(AND(F148="Wire",E148&gt;=1000,MOD(E148,1000)=0),1,0)</f>
        <v>0</v>
      </c>
      <c r="J148" s="1" t="n">
        <f aca="false">IF(AND(F148="ATM",E148&gt;2000,D148&lt;=4),1,0)</f>
        <v>0</v>
      </c>
      <c r="K148" s="1" t="n">
        <f aca="false">IF(COUNTIF('SQL Findings'!$A$4:$A$18,B148)&gt;0,1,0)</f>
        <v>0</v>
      </c>
      <c r="L148" s="1" t="n">
        <f aca="false">SUM(H148:K148)</f>
        <v>0</v>
      </c>
      <c r="M148" s="1" t="str">
        <f aca="false">IF(L148&gt;=2,"High",IF(L148=1,"Medium","Low"))</f>
        <v>Low</v>
      </c>
    </row>
    <row r="149" customFormat="false" ht="15" hidden="false" customHeight="true" outlineLevel="0" collapsed="false">
      <c r="A149" s="1" t="str">
        <f aca="false">Transactions!A149</f>
        <v>TXN501073</v>
      </c>
      <c r="B149" s="1" t="str">
        <f aca="false">Transactions!B149</f>
        <v>ACC1047</v>
      </c>
      <c r="C149" s="1" t="str">
        <f aca="false">Transactions!I149</f>
        <v>2026-01-11</v>
      </c>
      <c r="D149" s="1" t="n">
        <f aca="false">Transactions!J149</f>
        <v>6</v>
      </c>
      <c r="E149" s="1" t="n">
        <f aca="false">Transactions!D149</f>
        <v>71.46</v>
      </c>
      <c r="F149" s="1" t="str">
        <f aca="false">Transactions!H149</f>
        <v>Online</v>
      </c>
      <c r="G149" s="1" t="str">
        <f aca="false">Transactions!G149</f>
        <v>Cash Withdrawal</v>
      </c>
      <c r="H149" s="1" t="n">
        <f aca="false">IF(COUNTIFS($B$2:$B$1489,B149,$C$2:$C$1489,C149,$D$2:$D$1489,D149)&gt;6,1,0)</f>
        <v>0</v>
      </c>
      <c r="I149" s="1" t="n">
        <f aca="false">IF(AND(F149="Wire",E149&gt;=1000,MOD(E149,1000)=0),1,0)</f>
        <v>0</v>
      </c>
      <c r="J149" s="1" t="n">
        <f aca="false">IF(AND(F149="ATM",E149&gt;2000,D149&lt;=4),1,0)</f>
        <v>0</v>
      </c>
      <c r="K149" s="1" t="n">
        <f aca="false">IF(COUNTIF('SQL Findings'!$A$4:$A$18,B149)&gt;0,1,0)</f>
        <v>0</v>
      </c>
      <c r="L149" s="1" t="n">
        <f aca="false">SUM(H149:K149)</f>
        <v>0</v>
      </c>
      <c r="M149" s="1" t="str">
        <f aca="false">IF(L149&gt;=2,"High",IF(L149=1,"Medium","Low"))</f>
        <v>Low</v>
      </c>
    </row>
    <row r="150" customFormat="false" ht="15" hidden="false" customHeight="true" outlineLevel="0" collapsed="false">
      <c r="A150" s="1" t="str">
        <f aca="false">Transactions!A150</f>
        <v>TXN500105</v>
      </c>
      <c r="B150" s="1" t="str">
        <f aca="false">Transactions!B150</f>
        <v>ACC1004</v>
      </c>
      <c r="C150" s="1" t="str">
        <f aca="false">Transactions!I150</f>
        <v>2026-01-11</v>
      </c>
      <c r="D150" s="1" t="n">
        <f aca="false">Transactions!J150</f>
        <v>6</v>
      </c>
      <c r="E150" s="1" t="n">
        <f aca="false">Transactions!D150</f>
        <v>57.68</v>
      </c>
      <c r="F150" s="1" t="str">
        <f aca="false">Transactions!H150</f>
        <v>ATM</v>
      </c>
      <c r="G150" s="1" t="str">
        <f aca="false">Transactions!G150</f>
        <v>Wire Transfer</v>
      </c>
      <c r="H150" s="1" t="n">
        <f aca="false">IF(COUNTIFS($B$2:$B$1489,B150,$C$2:$C$1489,C150,$D$2:$D$1489,D150)&gt;6,1,0)</f>
        <v>0</v>
      </c>
      <c r="I150" s="1" t="n">
        <f aca="false">IF(AND(F150="Wire",E150&gt;=1000,MOD(E150,1000)=0),1,0)</f>
        <v>0</v>
      </c>
      <c r="J150" s="1" t="n">
        <f aca="false">IF(AND(F150="ATM",E150&gt;2000,D150&lt;=4),1,0)</f>
        <v>0</v>
      </c>
      <c r="K150" s="1" t="n">
        <f aca="false">IF(COUNTIF('SQL Findings'!$A$4:$A$18,B150)&gt;0,1,0)</f>
        <v>1</v>
      </c>
      <c r="L150" s="1" t="n">
        <f aca="false">SUM(H150:K150)</f>
        <v>1</v>
      </c>
      <c r="M150" s="1" t="str">
        <f aca="false">IF(L150&gt;=2,"High",IF(L150=1,"Medium","Low"))</f>
        <v>Medium</v>
      </c>
    </row>
    <row r="151" customFormat="false" ht="15" hidden="false" customHeight="true" outlineLevel="0" collapsed="false">
      <c r="A151" s="1" t="str">
        <f aca="false">Transactions!A151</f>
        <v>TXN501332</v>
      </c>
      <c r="B151" s="1" t="str">
        <f aca="false">Transactions!B151</f>
        <v>ACC1058</v>
      </c>
      <c r="C151" s="1" t="str">
        <f aca="false">Transactions!I151</f>
        <v>2026-01-11</v>
      </c>
      <c r="D151" s="1" t="n">
        <f aca="false">Transactions!J151</f>
        <v>6</v>
      </c>
      <c r="E151" s="1" t="n">
        <f aca="false">Transactions!D151</f>
        <v>199.71</v>
      </c>
      <c r="F151" s="1" t="str">
        <f aca="false">Transactions!H151</f>
        <v>Online</v>
      </c>
      <c r="G151" s="1" t="str">
        <f aca="false">Transactions!G151</f>
        <v>Utilities</v>
      </c>
      <c r="H151" s="1" t="n">
        <f aca="false">IF(COUNTIFS($B$2:$B$1489,B151,$C$2:$C$1489,C151,$D$2:$D$1489,D151)&gt;6,1,0)</f>
        <v>0</v>
      </c>
      <c r="I151" s="1" t="n">
        <f aca="false">IF(AND(F151="Wire",E151&gt;=1000,MOD(E151,1000)=0),1,0)</f>
        <v>0</v>
      </c>
      <c r="J151" s="1" t="n">
        <f aca="false">IF(AND(F151="ATM",E151&gt;2000,D151&lt;=4),1,0)</f>
        <v>0</v>
      </c>
      <c r="K151" s="1" t="n">
        <f aca="false">IF(COUNTIF('SQL Findings'!$A$4:$A$18,B151)&gt;0,1,0)</f>
        <v>0</v>
      </c>
      <c r="L151" s="1" t="n">
        <f aca="false">SUM(H151:K151)</f>
        <v>0</v>
      </c>
      <c r="M151" s="1" t="str">
        <f aca="false">IF(L151&gt;=2,"High",IF(L151=1,"Medium","Low"))</f>
        <v>Low</v>
      </c>
    </row>
    <row r="152" customFormat="false" ht="15" hidden="false" customHeight="true" outlineLevel="0" collapsed="false">
      <c r="A152" s="1" t="str">
        <f aca="false">Transactions!A152</f>
        <v>TXN501456</v>
      </c>
      <c r="B152" s="1" t="str">
        <f aca="false">Transactions!B152</f>
        <v>ACC1055</v>
      </c>
      <c r="C152" s="1" t="str">
        <f aca="false">Transactions!I152</f>
        <v>2026-01-11</v>
      </c>
      <c r="D152" s="1" t="n">
        <f aca="false">Transactions!J152</f>
        <v>8</v>
      </c>
      <c r="E152" s="1" t="n">
        <f aca="false">Transactions!D152</f>
        <v>577.02</v>
      </c>
      <c r="F152" s="1" t="str">
        <f aca="false">Transactions!H152</f>
        <v>POS</v>
      </c>
      <c r="G152" s="1" t="str">
        <f aca="false">Transactions!G152</f>
        <v>Retail</v>
      </c>
      <c r="H152" s="1" t="n">
        <f aca="false">IF(COUNTIFS($B$2:$B$1489,B152,$C$2:$C$1489,C152,$D$2:$D$1489,D152)&gt;6,1,0)</f>
        <v>0</v>
      </c>
      <c r="I152" s="1" t="n">
        <f aca="false">IF(AND(F152="Wire",E152&gt;=1000,MOD(E152,1000)=0),1,0)</f>
        <v>0</v>
      </c>
      <c r="J152" s="1" t="n">
        <f aca="false">IF(AND(F152="ATM",E152&gt;2000,D152&lt;=4),1,0)</f>
        <v>0</v>
      </c>
      <c r="K152" s="1" t="n">
        <f aca="false">IF(COUNTIF('SQL Findings'!$A$4:$A$18,B152)&gt;0,1,0)</f>
        <v>1</v>
      </c>
      <c r="L152" s="1" t="n">
        <f aca="false">SUM(H152:K152)</f>
        <v>1</v>
      </c>
      <c r="M152" s="1" t="str">
        <f aca="false">IF(L152&gt;=2,"High",IF(L152=1,"Medium","Low"))</f>
        <v>Medium</v>
      </c>
    </row>
    <row r="153" customFormat="false" ht="15" hidden="false" customHeight="true" outlineLevel="0" collapsed="false">
      <c r="A153" s="1" t="str">
        <f aca="false">Transactions!A153</f>
        <v>TXN500317</v>
      </c>
      <c r="B153" s="1" t="str">
        <f aca="false">Transactions!B153</f>
        <v>ACC1014</v>
      </c>
      <c r="C153" s="1" t="str">
        <f aca="false">Transactions!I153</f>
        <v>2026-01-11</v>
      </c>
      <c r="D153" s="1" t="n">
        <f aca="false">Transactions!J153</f>
        <v>8</v>
      </c>
      <c r="E153" s="1" t="n">
        <f aca="false">Transactions!D153</f>
        <v>123.19</v>
      </c>
      <c r="F153" s="1" t="str">
        <f aca="false">Transactions!H153</f>
        <v>POS</v>
      </c>
      <c r="G153" s="1" t="str">
        <f aca="false">Transactions!G153</f>
        <v>Cash Withdrawal</v>
      </c>
      <c r="H153" s="1" t="n">
        <f aca="false">IF(COUNTIFS($B$2:$B$1489,B153,$C$2:$C$1489,C153,$D$2:$D$1489,D153)&gt;6,1,0)</f>
        <v>0</v>
      </c>
      <c r="I153" s="1" t="n">
        <f aca="false">IF(AND(F153="Wire",E153&gt;=1000,MOD(E153,1000)=0),1,0)</f>
        <v>0</v>
      </c>
      <c r="J153" s="1" t="n">
        <f aca="false">IF(AND(F153="ATM",E153&gt;2000,D153&lt;=4),1,0)</f>
        <v>0</v>
      </c>
      <c r="K153" s="1" t="n">
        <f aca="false">IF(COUNTIF('SQL Findings'!$A$4:$A$18,B153)&gt;0,1,0)</f>
        <v>1</v>
      </c>
      <c r="L153" s="1" t="n">
        <f aca="false">SUM(H153:K153)</f>
        <v>1</v>
      </c>
      <c r="M153" s="1" t="str">
        <f aca="false">IF(L153&gt;=2,"High",IF(L153=1,"Medium","Low"))</f>
        <v>Medium</v>
      </c>
    </row>
    <row r="154" customFormat="false" ht="15" hidden="false" customHeight="true" outlineLevel="0" collapsed="false">
      <c r="A154" s="1" t="str">
        <f aca="false">Transactions!A154</f>
        <v>TXN500660</v>
      </c>
      <c r="B154" s="1" t="str">
        <f aca="false">Transactions!B154</f>
        <v>ACC1028</v>
      </c>
      <c r="C154" s="1" t="str">
        <f aca="false">Transactions!I154</f>
        <v>2026-01-11</v>
      </c>
      <c r="D154" s="1" t="n">
        <f aca="false">Transactions!J154</f>
        <v>8</v>
      </c>
      <c r="E154" s="1" t="n">
        <f aca="false">Transactions!D154</f>
        <v>58.56</v>
      </c>
      <c r="F154" s="1" t="str">
        <f aca="false">Transactions!H154</f>
        <v>POS</v>
      </c>
      <c r="G154" s="1" t="str">
        <f aca="false">Transactions!G154</f>
        <v>Dining</v>
      </c>
      <c r="H154" s="1" t="n">
        <f aca="false">IF(COUNTIFS($B$2:$B$1489,B154,$C$2:$C$1489,C154,$D$2:$D$1489,D154)&gt;6,1,0)</f>
        <v>0</v>
      </c>
      <c r="I154" s="1" t="n">
        <f aca="false">IF(AND(F154="Wire",E154&gt;=1000,MOD(E154,1000)=0),1,0)</f>
        <v>0</v>
      </c>
      <c r="J154" s="1" t="n">
        <f aca="false">IF(AND(F154="ATM",E154&gt;2000,D154&lt;=4),1,0)</f>
        <v>0</v>
      </c>
      <c r="K154" s="1" t="n">
        <f aca="false">IF(COUNTIF('SQL Findings'!$A$4:$A$18,B154)&gt;0,1,0)</f>
        <v>0</v>
      </c>
      <c r="L154" s="1" t="n">
        <f aca="false">SUM(H154:K154)</f>
        <v>0</v>
      </c>
      <c r="M154" s="1" t="str">
        <f aca="false">IF(L154&gt;=2,"High",IF(L154=1,"Medium","Low"))</f>
        <v>Low</v>
      </c>
    </row>
    <row r="155" customFormat="false" ht="15" hidden="false" customHeight="true" outlineLevel="0" collapsed="false">
      <c r="A155" s="1" t="str">
        <f aca="false">Transactions!A155</f>
        <v>TXN501457</v>
      </c>
      <c r="B155" s="1" t="str">
        <f aca="false">Transactions!B155</f>
        <v>ACC1055</v>
      </c>
      <c r="C155" s="1" t="str">
        <f aca="false">Transactions!I155</f>
        <v>2026-01-11</v>
      </c>
      <c r="D155" s="1" t="n">
        <f aca="false">Transactions!J155</f>
        <v>10</v>
      </c>
      <c r="E155" s="1" t="n">
        <f aca="false">Transactions!D155</f>
        <v>1778.57</v>
      </c>
      <c r="F155" s="1" t="str">
        <f aca="false">Transactions!H155</f>
        <v>ATM</v>
      </c>
      <c r="G155" s="1" t="str">
        <f aca="false">Transactions!G155</f>
        <v>Cash Withdrawal</v>
      </c>
      <c r="H155" s="1" t="n">
        <f aca="false">IF(COUNTIFS($B$2:$B$1489,B155,$C$2:$C$1489,C155,$D$2:$D$1489,D155)&gt;6,1,0)</f>
        <v>0</v>
      </c>
      <c r="I155" s="1" t="n">
        <f aca="false">IF(AND(F155="Wire",E155&gt;=1000,MOD(E155,1000)=0),1,0)</f>
        <v>0</v>
      </c>
      <c r="J155" s="1" t="n">
        <f aca="false">IF(AND(F155="ATM",E155&gt;2000,D155&lt;=4),1,0)</f>
        <v>0</v>
      </c>
      <c r="K155" s="1" t="n">
        <f aca="false">IF(COUNTIF('SQL Findings'!$A$4:$A$18,B155)&gt;0,1,0)</f>
        <v>1</v>
      </c>
      <c r="L155" s="1" t="n">
        <f aca="false">SUM(H155:K155)</f>
        <v>1</v>
      </c>
      <c r="M155" s="1" t="str">
        <f aca="false">IF(L155&gt;=2,"High",IF(L155=1,"Medium","Low"))</f>
        <v>Medium</v>
      </c>
    </row>
    <row r="156" customFormat="false" ht="15" hidden="false" customHeight="true" outlineLevel="0" collapsed="false">
      <c r="A156" s="1" t="str">
        <f aca="false">Transactions!A156</f>
        <v>TXN501172</v>
      </c>
      <c r="B156" s="1" t="str">
        <f aca="false">Transactions!B156</f>
        <v>ACC1051</v>
      </c>
      <c r="C156" s="1" t="str">
        <f aca="false">Transactions!I156</f>
        <v>2026-01-11</v>
      </c>
      <c r="D156" s="1" t="n">
        <f aca="false">Transactions!J156</f>
        <v>10</v>
      </c>
      <c r="E156" s="1" t="n">
        <f aca="false">Transactions!D156</f>
        <v>85.89</v>
      </c>
      <c r="F156" s="1" t="str">
        <f aca="false">Transactions!H156</f>
        <v>POS</v>
      </c>
      <c r="G156" s="1" t="str">
        <f aca="false">Transactions!G156</f>
        <v>Travel</v>
      </c>
      <c r="H156" s="1" t="n">
        <f aca="false">IF(COUNTIFS($B$2:$B$1489,B156,$C$2:$C$1489,C156,$D$2:$D$1489,D156)&gt;6,1,0)</f>
        <v>0</v>
      </c>
      <c r="I156" s="1" t="n">
        <f aca="false">IF(AND(F156="Wire",E156&gt;=1000,MOD(E156,1000)=0),1,0)</f>
        <v>0</v>
      </c>
      <c r="J156" s="1" t="n">
        <f aca="false">IF(AND(F156="ATM",E156&gt;2000,D156&lt;=4),1,0)</f>
        <v>0</v>
      </c>
      <c r="K156" s="1" t="n">
        <f aca="false">IF(COUNTIF('SQL Findings'!$A$4:$A$18,B156)&gt;0,1,0)</f>
        <v>0</v>
      </c>
      <c r="L156" s="1" t="n">
        <f aca="false">SUM(H156:K156)</f>
        <v>0</v>
      </c>
      <c r="M156" s="1" t="str">
        <f aca="false">IF(L156&gt;=2,"High",IF(L156=1,"Medium","Low"))</f>
        <v>Low</v>
      </c>
    </row>
    <row r="157" customFormat="false" ht="15" hidden="false" customHeight="true" outlineLevel="0" collapsed="false">
      <c r="A157" s="1" t="str">
        <f aca="false">Transactions!A157</f>
        <v>TXN500309</v>
      </c>
      <c r="B157" s="1" t="str">
        <f aca="false">Transactions!B157</f>
        <v>ACC1013</v>
      </c>
      <c r="C157" s="1" t="str">
        <f aca="false">Transactions!I157</f>
        <v>2026-01-11</v>
      </c>
      <c r="D157" s="1" t="n">
        <f aca="false">Transactions!J157</f>
        <v>12</v>
      </c>
      <c r="E157" s="1" t="n">
        <f aca="false">Transactions!D157</f>
        <v>109.11</v>
      </c>
      <c r="F157" s="1" t="str">
        <f aca="false">Transactions!H157</f>
        <v>POS</v>
      </c>
      <c r="G157" s="1" t="str">
        <f aca="false">Transactions!G157</f>
        <v>Retail</v>
      </c>
      <c r="H157" s="1" t="n">
        <f aca="false">IF(COUNTIFS($B$2:$B$1489,B157,$C$2:$C$1489,C157,$D$2:$D$1489,D157)&gt;6,1,0)</f>
        <v>0</v>
      </c>
      <c r="I157" s="1" t="n">
        <f aca="false">IF(AND(F157="Wire",E157&gt;=1000,MOD(E157,1000)=0),1,0)</f>
        <v>0</v>
      </c>
      <c r="J157" s="1" t="n">
        <f aca="false">IF(AND(F157="ATM",E157&gt;2000,D157&lt;=4),1,0)</f>
        <v>0</v>
      </c>
      <c r="K157" s="1" t="n">
        <f aca="false">IF(COUNTIF('SQL Findings'!$A$4:$A$18,B157)&gt;0,1,0)</f>
        <v>0</v>
      </c>
      <c r="L157" s="1" t="n">
        <f aca="false">SUM(H157:K157)</f>
        <v>0</v>
      </c>
      <c r="M157" s="1" t="str">
        <f aca="false">IF(L157&gt;=2,"High",IF(L157=1,"Medium","Low"))</f>
        <v>Low</v>
      </c>
    </row>
    <row r="158" customFormat="false" ht="15" hidden="false" customHeight="true" outlineLevel="0" collapsed="false">
      <c r="A158" s="1" t="str">
        <f aca="false">Transactions!A158</f>
        <v>TXN500542</v>
      </c>
      <c r="B158" s="1" t="str">
        <f aca="false">Transactions!B158</f>
        <v>ACC1024</v>
      </c>
      <c r="C158" s="1" t="str">
        <f aca="false">Transactions!I158</f>
        <v>2026-01-11</v>
      </c>
      <c r="D158" s="1" t="n">
        <f aca="false">Transactions!J158</f>
        <v>12</v>
      </c>
      <c r="E158" s="1" t="n">
        <f aca="false">Transactions!D158</f>
        <v>24.13</v>
      </c>
      <c r="F158" s="1" t="str">
        <f aca="false">Transactions!H158</f>
        <v>POS</v>
      </c>
      <c r="G158" s="1" t="str">
        <f aca="false">Transactions!G158</f>
        <v>Retail</v>
      </c>
      <c r="H158" s="1" t="n">
        <f aca="false">IF(COUNTIFS($B$2:$B$1489,B158,$C$2:$C$1489,C158,$D$2:$D$1489,D158)&gt;6,1,0)</f>
        <v>0</v>
      </c>
      <c r="I158" s="1" t="n">
        <f aca="false">IF(AND(F158="Wire",E158&gt;=1000,MOD(E158,1000)=0),1,0)</f>
        <v>0</v>
      </c>
      <c r="J158" s="1" t="n">
        <f aca="false">IF(AND(F158="ATM",E158&gt;2000,D158&lt;=4),1,0)</f>
        <v>0</v>
      </c>
      <c r="K158" s="1" t="n">
        <f aca="false">IF(COUNTIF('SQL Findings'!$A$4:$A$18,B158)&gt;0,1,0)</f>
        <v>1</v>
      </c>
      <c r="L158" s="1" t="n">
        <f aca="false">SUM(H158:K158)</f>
        <v>1</v>
      </c>
      <c r="M158" s="1" t="str">
        <f aca="false">IF(L158&gt;=2,"High",IF(L158=1,"Medium","Low"))</f>
        <v>Medium</v>
      </c>
    </row>
    <row r="159" customFormat="false" ht="15" hidden="false" customHeight="true" outlineLevel="0" collapsed="false">
      <c r="A159" s="1" t="str">
        <f aca="false">Transactions!A159</f>
        <v>TXN500315</v>
      </c>
      <c r="B159" s="1" t="str">
        <f aca="false">Transactions!B159</f>
        <v>ACC1014</v>
      </c>
      <c r="C159" s="1" t="str">
        <f aca="false">Transactions!I159</f>
        <v>2026-01-11</v>
      </c>
      <c r="D159" s="1" t="n">
        <f aca="false">Transactions!J159</f>
        <v>13</v>
      </c>
      <c r="E159" s="1" t="n">
        <f aca="false">Transactions!D159</f>
        <v>215.92</v>
      </c>
      <c r="F159" s="1" t="str">
        <f aca="false">Transactions!H159</f>
        <v>Online</v>
      </c>
      <c r="G159" s="1" t="str">
        <f aca="false">Transactions!G159</f>
        <v>Cash Withdrawal</v>
      </c>
      <c r="H159" s="1" t="n">
        <f aca="false">IF(COUNTIFS($B$2:$B$1489,B159,$C$2:$C$1489,C159,$D$2:$D$1489,D159)&gt;6,1,0)</f>
        <v>0</v>
      </c>
      <c r="I159" s="1" t="n">
        <f aca="false">IF(AND(F159="Wire",E159&gt;=1000,MOD(E159,1000)=0),1,0)</f>
        <v>0</v>
      </c>
      <c r="J159" s="1" t="n">
        <f aca="false">IF(AND(F159="ATM",E159&gt;2000,D159&lt;=4),1,0)</f>
        <v>0</v>
      </c>
      <c r="K159" s="1" t="n">
        <f aca="false">IF(COUNTIF('SQL Findings'!$A$4:$A$18,B159)&gt;0,1,0)</f>
        <v>1</v>
      </c>
      <c r="L159" s="1" t="n">
        <f aca="false">SUM(H159:K159)</f>
        <v>1</v>
      </c>
      <c r="M159" s="1" t="str">
        <f aca="false">IF(L159&gt;=2,"High",IF(L159=1,"Medium","Low"))</f>
        <v>Medium</v>
      </c>
    </row>
    <row r="160" customFormat="false" ht="15" hidden="false" customHeight="true" outlineLevel="0" collapsed="false">
      <c r="A160" s="1" t="str">
        <f aca="false">Transactions!A160</f>
        <v>TXN500532</v>
      </c>
      <c r="B160" s="1" t="str">
        <f aca="false">Transactions!B160</f>
        <v>ACC1023</v>
      </c>
      <c r="C160" s="1" t="str">
        <f aca="false">Transactions!I160</f>
        <v>2026-01-11</v>
      </c>
      <c r="D160" s="1" t="n">
        <f aca="false">Transactions!J160</f>
        <v>14</v>
      </c>
      <c r="E160" s="1" t="n">
        <f aca="false">Transactions!D160</f>
        <v>14.95</v>
      </c>
      <c r="F160" s="1" t="str">
        <f aca="false">Transactions!H160</f>
        <v>POS</v>
      </c>
      <c r="G160" s="1" t="str">
        <f aca="false">Transactions!G160</f>
        <v>Retail</v>
      </c>
      <c r="H160" s="1" t="n">
        <f aca="false">IF(COUNTIFS($B$2:$B$1489,B160,$C$2:$C$1489,C160,$D$2:$D$1489,D160)&gt;6,1,0)</f>
        <v>0</v>
      </c>
      <c r="I160" s="1" t="n">
        <f aca="false">IF(AND(F160="Wire",E160&gt;=1000,MOD(E160,1000)=0),1,0)</f>
        <v>0</v>
      </c>
      <c r="J160" s="1" t="n">
        <f aca="false">IF(AND(F160="ATM",E160&gt;2000,D160&lt;=4),1,0)</f>
        <v>0</v>
      </c>
      <c r="K160" s="1" t="n">
        <f aca="false">IF(COUNTIF('SQL Findings'!$A$4:$A$18,B160)&gt;0,1,0)</f>
        <v>0</v>
      </c>
      <c r="L160" s="1" t="n">
        <f aca="false">SUM(H160:K160)</f>
        <v>0</v>
      </c>
      <c r="M160" s="1" t="str">
        <f aca="false">IF(L160&gt;=2,"High",IF(L160=1,"Medium","Low"))</f>
        <v>Low</v>
      </c>
    </row>
    <row r="161" customFormat="false" ht="15" hidden="false" customHeight="true" outlineLevel="0" collapsed="false">
      <c r="A161" s="1" t="str">
        <f aca="false">Transactions!A161</f>
        <v>TXN501348</v>
      </c>
      <c r="B161" s="1" t="str">
        <f aca="false">Transactions!B161</f>
        <v>ACC1058</v>
      </c>
      <c r="C161" s="1" t="str">
        <f aca="false">Transactions!I161</f>
        <v>2026-01-11</v>
      </c>
      <c r="D161" s="1" t="n">
        <f aca="false">Transactions!J161</f>
        <v>22</v>
      </c>
      <c r="E161" s="1" t="n">
        <f aca="false">Transactions!D161</f>
        <v>154.61</v>
      </c>
      <c r="F161" s="1" t="str">
        <f aca="false">Transactions!H161</f>
        <v>Online</v>
      </c>
      <c r="G161" s="1" t="str">
        <f aca="false">Transactions!G161</f>
        <v>Travel</v>
      </c>
      <c r="H161" s="1" t="n">
        <f aca="false">IF(COUNTIFS($B$2:$B$1489,B161,$C$2:$C$1489,C161,$D$2:$D$1489,D161)&gt;6,1,0)</f>
        <v>0</v>
      </c>
      <c r="I161" s="1" t="n">
        <f aca="false">IF(AND(F161="Wire",E161&gt;=1000,MOD(E161,1000)=0),1,0)</f>
        <v>0</v>
      </c>
      <c r="J161" s="1" t="n">
        <f aca="false">IF(AND(F161="ATM",E161&gt;2000,D161&lt;=4),1,0)</f>
        <v>0</v>
      </c>
      <c r="K161" s="1" t="n">
        <f aca="false">IF(COUNTIF('SQL Findings'!$A$4:$A$18,B161)&gt;0,1,0)</f>
        <v>0</v>
      </c>
      <c r="L161" s="1" t="n">
        <f aca="false">SUM(H161:K161)</f>
        <v>0</v>
      </c>
      <c r="M161" s="1" t="str">
        <f aca="false">IF(L161&gt;=2,"High",IF(L161=1,"Medium","Low"))</f>
        <v>Low</v>
      </c>
    </row>
    <row r="162" customFormat="false" ht="15" hidden="false" customHeight="true" outlineLevel="0" collapsed="false">
      <c r="A162" s="1" t="str">
        <f aca="false">Transactions!A162</f>
        <v>TXN501244</v>
      </c>
      <c r="B162" s="1" t="str">
        <f aca="false">Transactions!B162</f>
        <v>ACC1054</v>
      </c>
      <c r="C162" s="1" t="str">
        <f aca="false">Transactions!I162</f>
        <v>2026-01-12</v>
      </c>
      <c r="D162" s="1" t="n">
        <f aca="false">Transactions!J162</f>
        <v>2</v>
      </c>
      <c r="E162" s="1" t="n">
        <f aca="false">Transactions!D162</f>
        <v>26.75</v>
      </c>
      <c r="F162" s="1" t="str">
        <f aca="false">Transactions!H162</f>
        <v>POS</v>
      </c>
      <c r="G162" s="1" t="str">
        <f aca="false">Transactions!G162</f>
        <v>Travel</v>
      </c>
      <c r="H162" s="1" t="n">
        <f aca="false">IF(COUNTIFS($B$2:$B$1489,B162,$C$2:$C$1489,C162,$D$2:$D$1489,D162)&gt;6,1,0)</f>
        <v>0</v>
      </c>
      <c r="I162" s="1" t="n">
        <f aca="false">IF(AND(F162="Wire",E162&gt;=1000,MOD(E162,1000)=0),1,0)</f>
        <v>0</v>
      </c>
      <c r="J162" s="1" t="n">
        <f aca="false">IF(AND(F162="ATM",E162&gt;2000,D162&lt;=4),1,0)</f>
        <v>0</v>
      </c>
      <c r="K162" s="1" t="n">
        <f aca="false">IF(COUNTIF('SQL Findings'!$A$4:$A$18,B162)&gt;0,1,0)</f>
        <v>0</v>
      </c>
      <c r="L162" s="1" t="n">
        <f aca="false">SUM(H162:K162)</f>
        <v>0</v>
      </c>
      <c r="M162" s="1" t="str">
        <f aca="false">IF(L162&gt;=2,"High",IF(L162=1,"Medium","Low"))</f>
        <v>Low</v>
      </c>
    </row>
    <row r="163" customFormat="false" ht="15" hidden="false" customHeight="true" outlineLevel="0" collapsed="false">
      <c r="A163" s="1" t="str">
        <f aca="false">Transactions!A163</f>
        <v>TXN500141</v>
      </c>
      <c r="B163" s="1" t="str">
        <f aca="false">Transactions!B163</f>
        <v>ACC1006</v>
      </c>
      <c r="C163" s="1" t="str">
        <f aca="false">Transactions!I163</f>
        <v>2026-01-12</v>
      </c>
      <c r="D163" s="1" t="n">
        <f aca="false">Transactions!J163</f>
        <v>8</v>
      </c>
      <c r="E163" s="1" t="n">
        <f aca="false">Transactions!D163</f>
        <v>81.84</v>
      </c>
      <c r="F163" s="1" t="str">
        <f aca="false">Transactions!H163</f>
        <v>Online</v>
      </c>
      <c r="G163" s="1" t="str">
        <f aca="false">Transactions!G163</f>
        <v>Dining</v>
      </c>
      <c r="H163" s="1" t="n">
        <f aca="false">IF(COUNTIFS($B$2:$B$1489,B163,$C$2:$C$1489,C163,$D$2:$D$1489,D163)&gt;6,1,0)</f>
        <v>0</v>
      </c>
      <c r="I163" s="1" t="n">
        <f aca="false">IF(AND(F163="Wire",E163&gt;=1000,MOD(E163,1000)=0),1,0)</f>
        <v>0</v>
      </c>
      <c r="J163" s="1" t="n">
        <f aca="false">IF(AND(F163="ATM",E163&gt;2000,D163&lt;=4),1,0)</f>
        <v>0</v>
      </c>
      <c r="K163" s="1" t="n">
        <f aca="false">IF(COUNTIF('SQL Findings'!$A$4:$A$18,B163)&gt;0,1,0)</f>
        <v>0</v>
      </c>
      <c r="L163" s="1" t="n">
        <f aca="false">SUM(H163:K163)</f>
        <v>0</v>
      </c>
      <c r="M163" s="1" t="str">
        <f aca="false">IF(L163&gt;=2,"High",IF(L163=1,"Medium","Low"))</f>
        <v>Low</v>
      </c>
    </row>
    <row r="164" customFormat="false" ht="15" hidden="false" customHeight="true" outlineLevel="0" collapsed="false">
      <c r="A164" s="1" t="str">
        <f aca="false">Transactions!A164</f>
        <v>TXN501229</v>
      </c>
      <c r="B164" s="1" t="str">
        <f aca="false">Transactions!B164</f>
        <v>ACC1054</v>
      </c>
      <c r="C164" s="1" t="str">
        <f aca="false">Transactions!I164</f>
        <v>2026-01-12</v>
      </c>
      <c r="D164" s="1" t="n">
        <f aca="false">Transactions!J164</f>
        <v>8</v>
      </c>
      <c r="E164" s="1" t="n">
        <f aca="false">Transactions!D164</f>
        <v>158.78</v>
      </c>
      <c r="F164" s="1" t="str">
        <f aca="false">Transactions!H164</f>
        <v>ATM</v>
      </c>
      <c r="G164" s="1" t="str">
        <f aca="false">Transactions!G164</f>
        <v>Travel</v>
      </c>
      <c r="H164" s="1" t="n">
        <f aca="false">IF(COUNTIFS($B$2:$B$1489,B164,$C$2:$C$1489,C164,$D$2:$D$1489,D164)&gt;6,1,0)</f>
        <v>0</v>
      </c>
      <c r="I164" s="1" t="n">
        <f aca="false">IF(AND(F164="Wire",E164&gt;=1000,MOD(E164,1000)=0),1,0)</f>
        <v>0</v>
      </c>
      <c r="J164" s="1" t="n">
        <f aca="false">IF(AND(F164="ATM",E164&gt;2000,D164&lt;=4),1,0)</f>
        <v>0</v>
      </c>
      <c r="K164" s="1" t="n">
        <f aca="false">IF(COUNTIF('SQL Findings'!$A$4:$A$18,B164)&gt;0,1,0)</f>
        <v>0</v>
      </c>
      <c r="L164" s="1" t="n">
        <f aca="false">SUM(H164:K164)</f>
        <v>0</v>
      </c>
      <c r="M164" s="1" t="str">
        <f aca="false">IF(L164&gt;=2,"High",IF(L164=1,"Medium","Low"))</f>
        <v>Low</v>
      </c>
    </row>
    <row r="165" customFormat="false" ht="15" hidden="false" customHeight="true" outlineLevel="0" collapsed="false">
      <c r="A165" s="1" t="str">
        <f aca="false">Transactions!A165</f>
        <v>TXN500177</v>
      </c>
      <c r="B165" s="1" t="str">
        <f aca="false">Transactions!B165</f>
        <v>ACC1007</v>
      </c>
      <c r="C165" s="1" t="str">
        <f aca="false">Transactions!I165</f>
        <v>2026-01-12</v>
      </c>
      <c r="D165" s="1" t="n">
        <f aca="false">Transactions!J165</f>
        <v>9</v>
      </c>
      <c r="E165" s="1" t="n">
        <f aca="false">Transactions!D165</f>
        <v>67.47</v>
      </c>
      <c r="F165" s="1" t="str">
        <f aca="false">Transactions!H165</f>
        <v>Online</v>
      </c>
      <c r="G165" s="1" t="str">
        <f aca="false">Transactions!G165</f>
        <v>Electronics</v>
      </c>
      <c r="H165" s="1" t="n">
        <f aca="false">IF(COUNTIFS($B$2:$B$1489,B165,$C$2:$C$1489,C165,$D$2:$D$1489,D165)&gt;6,1,0)</f>
        <v>0</v>
      </c>
      <c r="I165" s="1" t="n">
        <f aca="false">IF(AND(F165="Wire",E165&gt;=1000,MOD(E165,1000)=0),1,0)</f>
        <v>0</v>
      </c>
      <c r="J165" s="1" t="n">
        <f aca="false">IF(AND(F165="ATM",E165&gt;2000,D165&lt;=4),1,0)</f>
        <v>0</v>
      </c>
      <c r="K165" s="1" t="n">
        <f aca="false">IF(COUNTIF('SQL Findings'!$A$4:$A$18,B165)&gt;0,1,0)</f>
        <v>0</v>
      </c>
      <c r="L165" s="1" t="n">
        <f aca="false">SUM(H165:K165)</f>
        <v>0</v>
      </c>
      <c r="M165" s="1" t="str">
        <f aca="false">IF(L165&gt;=2,"High",IF(L165=1,"Medium","Low"))</f>
        <v>Low</v>
      </c>
    </row>
    <row r="166" customFormat="false" ht="15" hidden="false" customHeight="true" outlineLevel="0" collapsed="false">
      <c r="A166" s="1" t="str">
        <f aca="false">Transactions!A166</f>
        <v>TXN500751</v>
      </c>
      <c r="B166" s="1" t="str">
        <f aca="false">Transactions!B166</f>
        <v>ACC1032</v>
      </c>
      <c r="C166" s="1" t="str">
        <f aca="false">Transactions!I166</f>
        <v>2026-01-12</v>
      </c>
      <c r="D166" s="1" t="n">
        <f aca="false">Transactions!J166</f>
        <v>9</v>
      </c>
      <c r="E166" s="1" t="n">
        <f aca="false">Transactions!D166</f>
        <v>29.05</v>
      </c>
      <c r="F166" s="1" t="str">
        <f aca="false">Transactions!H166</f>
        <v>ATM</v>
      </c>
      <c r="G166" s="1" t="str">
        <f aca="false">Transactions!G166</f>
        <v>Online Marketplace</v>
      </c>
      <c r="H166" s="1" t="n">
        <f aca="false">IF(COUNTIFS($B$2:$B$1489,B166,$C$2:$C$1489,C166,$D$2:$D$1489,D166)&gt;6,1,0)</f>
        <v>0</v>
      </c>
      <c r="I166" s="1" t="n">
        <f aca="false">IF(AND(F166="Wire",E166&gt;=1000,MOD(E166,1000)=0),1,0)</f>
        <v>0</v>
      </c>
      <c r="J166" s="1" t="n">
        <f aca="false">IF(AND(F166="ATM",E166&gt;2000,D166&lt;=4),1,0)</f>
        <v>0</v>
      </c>
      <c r="K166" s="1" t="n">
        <f aca="false">IF(COUNTIF('SQL Findings'!$A$4:$A$18,B166)&gt;0,1,0)</f>
        <v>0</v>
      </c>
      <c r="L166" s="1" t="n">
        <f aca="false">SUM(H166:K166)</f>
        <v>0</v>
      </c>
      <c r="M166" s="1" t="str">
        <f aca="false">IF(L166&gt;=2,"High",IF(L166=1,"Medium","Low"))</f>
        <v>Low</v>
      </c>
    </row>
    <row r="167" customFormat="false" ht="15" hidden="false" customHeight="true" outlineLevel="0" collapsed="false">
      <c r="A167" s="1" t="str">
        <f aca="false">Transactions!A167</f>
        <v>TXN500204</v>
      </c>
      <c r="B167" s="1" t="str">
        <f aca="false">Transactions!B167</f>
        <v>ACC1008</v>
      </c>
      <c r="C167" s="1" t="str">
        <f aca="false">Transactions!I167</f>
        <v>2026-01-12</v>
      </c>
      <c r="D167" s="1" t="n">
        <f aca="false">Transactions!J167</f>
        <v>10</v>
      </c>
      <c r="E167" s="1" t="n">
        <f aca="false">Transactions!D167</f>
        <v>172.16</v>
      </c>
      <c r="F167" s="1" t="str">
        <f aca="false">Transactions!H167</f>
        <v>Online</v>
      </c>
      <c r="G167" s="1" t="str">
        <f aca="false">Transactions!G167</f>
        <v>Electronics</v>
      </c>
      <c r="H167" s="1" t="n">
        <f aca="false">IF(COUNTIFS($B$2:$B$1489,B167,$C$2:$C$1489,C167,$D$2:$D$1489,D167)&gt;6,1,0)</f>
        <v>0</v>
      </c>
      <c r="I167" s="1" t="n">
        <f aca="false">IF(AND(F167="Wire",E167&gt;=1000,MOD(E167,1000)=0),1,0)</f>
        <v>0</v>
      </c>
      <c r="J167" s="1" t="n">
        <f aca="false">IF(AND(F167="ATM",E167&gt;2000,D167&lt;=4),1,0)</f>
        <v>0</v>
      </c>
      <c r="K167" s="1" t="n">
        <f aca="false">IF(COUNTIF('SQL Findings'!$A$4:$A$18,B167)&gt;0,1,0)</f>
        <v>0</v>
      </c>
      <c r="L167" s="1" t="n">
        <f aca="false">SUM(H167:K167)</f>
        <v>0</v>
      </c>
      <c r="M167" s="1" t="str">
        <f aca="false">IF(L167&gt;=2,"High",IF(L167=1,"Medium","Low"))</f>
        <v>Low</v>
      </c>
    </row>
    <row r="168" customFormat="false" ht="15" hidden="false" customHeight="true" outlineLevel="0" collapsed="false">
      <c r="A168" s="1" t="str">
        <f aca="false">Transactions!A168</f>
        <v>TXN500305</v>
      </c>
      <c r="B168" s="1" t="str">
        <f aca="false">Transactions!B168</f>
        <v>ACC1013</v>
      </c>
      <c r="C168" s="1" t="str">
        <f aca="false">Transactions!I168</f>
        <v>2026-01-12</v>
      </c>
      <c r="D168" s="1" t="n">
        <f aca="false">Transactions!J168</f>
        <v>13</v>
      </c>
      <c r="E168" s="1" t="n">
        <f aca="false">Transactions!D168</f>
        <v>65.44</v>
      </c>
      <c r="F168" s="1" t="str">
        <f aca="false">Transactions!H168</f>
        <v>Online</v>
      </c>
      <c r="G168" s="1" t="str">
        <f aca="false">Transactions!G168</f>
        <v>Wire Transfer</v>
      </c>
      <c r="H168" s="1" t="n">
        <f aca="false">IF(COUNTIFS($B$2:$B$1489,B168,$C$2:$C$1489,C168,$D$2:$D$1489,D168)&gt;6,1,0)</f>
        <v>0</v>
      </c>
      <c r="I168" s="1" t="n">
        <f aca="false">IF(AND(F168="Wire",E168&gt;=1000,MOD(E168,1000)=0),1,0)</f>
        <v>0</v>
      </c>
      <c r="J168" s="1" t="n">
        <f aca="false">IF(AND(F168="ATM",E168&gt;2000,D168&lt;=4),1,0)</f>
        <v>0</v>
      </c>
      <c r="K168" s="1" t="n">
        <f aca="false">IF(COUNTIF('SQL Findings'!$A$4:$A$18,B168)&gt;0,1,0)</f>
        <v>0</v>
      </c>
      <c r="L168" s="1" t="n">
        <f aca="false">SUM(H168:K168)</f>
        <v>0</v>
      </c>
      <c r="M168" s="1" t="str">
        <f aca="false">IF(L168&gt;=2,"High",IF(L168=1,"Medium","Low"))</f>
        <v>Low</v>
      </c>
    </row>
    <row r="169" customFormat="false" ht="15" hidden="false" customHeight="true" outlineLevel="0" collapsed="false">
      <c r="A169" s="1" t="str">
        <f aca="false">Transactions!A169</f>
        <v>TXN500633</v>
      </c>
      <c r="B169" s="1" t="str">
        <f aca="false">Transactions!B169</f>
        <v>ACC1027</v>
      </c>
      <c r="C169" s="1" t="str">
        <f aca="false">Transactions!I169</f>
        <v>2026-01-12</v>
      </c>
      <c r="D169" s="1" t="n">
        <f aca="false">Transactions!J169</f>
        <v>14</v>
      </c>
      <c r="E169" s="1" t="n">
        <f aca="false">Transactions!D169</f>
        <v>57.85</v>
      </c>
      <c r="F169" s="1" t="str">
        <f aca="false">Transactions!H169</f>
        <v>Online</v>
      </c>
      <c r="G169" s="1" t="str">
        <f aca="false">Transactions!G169</f>
        <v>Electronics</v>
      </c>
      <c r="H169" s="1" t="n">
        <f aca="false">IF(COUNTIFS($B$2:$B$1489,B169,$C$2:$C$1489,C169,$D$2:$D$1489,D169)&gt;6,1,0)</f>
        <v>0</v>
      </c>
      <c r="I169" s="1" t="n">
        <f aca="false">IF(AND(F169="Wire",E169&gt;=1000,MOD(E169,1000)=0),1,0)</f>
        <v>0</v>
      </c>
      <c r="J169" s="1" t="n">
        <f aca="false">IF(AND(F169="ATM",E169&gt;2000,D169&lt;=4),1,0)</f>
        <v>0</v>
      </c>
      <c r="K169" s="1" t="n">
        <f aca="false">IF(COUNTIF('SQL Findings'!$A$4:$A$18,B169)&gt;0,1,0)</f>
        <v>0</v>
      </c>
      <c r="L169" s="1" t="n">
        <f aca="false">SUM(H169:K169)</f>
        <v>0</v>
      </c>
      <c r="M169" s="1" t="str">
        <f aca="false">IF(L169&gt;=2,"High",IF(L169=1,"Medium","Low"))</f>
        <v>Low</v>
      </c>
    </row>
    <row r="170" customFormat="false" ht="15" hidden="false" customHeight="true" outlineLevel="0" collapsed="false">
      <c r="A170" s="1" t="str">
        <f aca="false">Transactions!A170</f>
        <v>TXN500640</v>
      </c>
      <c r="B170" s="1" t="str">
        <f aca="false">Transactions!B170</f>
        <v>ACC1028</v>
      </c>
      <c r="C170" s="1" t="str">
        <f aca="false">Transactions!I170</f>
        <v>2026-01-12</v>
      </c>
      <c r="D170" s="1" t="n">
        <f aca="false">Transactions!J170</f>
        <v>15</v>
      </c>
      <c r="E170" s="1" t="n">
        <f aca="false">Transactions!D170</f>
        <v>20.79</v>
      </c>
      <c r="F170" s="1" t="str">
        <f aca="false">Transactions!H170</f>
        <v>Online</v>
      </c>
      <c r="G170" s="1" t="str">
        <f aca="false">Transactions!G170</f>
        <v>Electronics</v>
      </c>
      <c r="H170" s="1" t="n">
        <f aca="false">IF(COUNTIFS($B$2:$B$1489,B170,$C$2:$C$1489,C170,$D$2:$D$1489,D170)&gt;6,1,0)</f>
        <v>0</v>
      </c>
      <c r="I170" s="1" t="n">
        <f aca="false">IF(AND(F170="Wire",E170&gt;=1000,MOD(E170,1000)=0),1,0)</f>
        <v>0</v>
      </c>
      <c r="J170" s="1" t="n">
        <f aca="false">IF(AND(F170="ATM",E170&gt;2000,D170&lt;=4),1,0)</f>
        <v>0</v>
      </c>
      <c r="K170" s="1" t="n">
        <f aca="false">IF(COUNTIF('SQL Findings'!$A$4:$A$18,B170)&gt;0,1,0)</f>
        <v>0</v>
      </c>
      <c r="L170" s="1" t="n">
        <f aca="false">SUM(H170:K170)</f>
        <v>0</v>
      </c>
      <c r="M170" s="1" t="str">
        <f aca="false">IF(L170&gt;=2,"High",IF(L170=1,"Medium","Low"))</f>
        <v>Low</v>
      </c>
    </row>
    <row r="171" customFormat="false" ht="15" hidden="false" customHeight="true" outlineLevel="0" collapsed="false">
      <c r="A171" s="1" t="str">
        <f aca="false">Transactions!A171</f>
        <v>TXN500853</v>
      </c>
      <c r="B171" s="1" t="str">
        <f aca="false">Transactions!B171</f>
        <v>ACC1036</v>
      </c>
      <c r="C171" s="1" t="str">
        <f aca="false">Transactions!I171</f>
        <v>2026-01-12</v>
      </c>
      <c r="D171" s="1" t="n">
        <f aca="false">Transactions!J171</f>
        <v>16</v>
      </c>
      <c r="E171" s="1" t="n">
        <f aca="false">Transactions!D171</f>
        <v>37.58</v>
      </c>
      <c r="F171" s="1" t="str">
        <f aca="false">Transactions!H171</f>
        <v>Online</v>
      </c>
      <c r="G171" s="1" t="str">
        <f aca="false">Transactions!G171</f>
        <v>Electronics</v>
      </c>
      <c r="H171" s="1" t="n">
        <f aca="false">IF(COUNTIFS($B$2:$B$1489,B171,$C$2:$C$1489,C171,$D$2:$D$1489,D171)&gt;6,1,0)</f>
        <v>0</v>
      </c>
      <c r="I171" s="1" t="n">
        <f aca="false">IF(AND(F171="Wire",E171&gt;=1000,MOD(E171,1000)=0),1,0)</f>
        <v>0</v>
      </c>
      <c r="J171" s="1" t="n">
        <f aca="false">IF(AND(F171="ATM",E171&gt;2000,D171&lt;=4),1,0)</f>
        <v>0</v>
      </c>
      <c r="K171" s="1" t="n">
        <f aca="false">IF(COUNTIF('SQL Findings'!$A$4:$A$18,B171)&gt;0,1,0)</f>
        <v>0</v>
      </c>
      <c r="L171" s="1" t="n">
        <f aca="false">SUM(H171:K171)</f>
        <v>0</v>
      </c>
      <c r="M171" s="1" t="str">
        <f aca="false">IF(L171&gt;=2,"High",IF(L171=1,"Medium","Low"))</f>
        <v>Low</v>
      </c>
    </row>
    <row r="172" customFormat="false" ht="15" hidden="false" customHeight="true" outlineLevel="0" collapsed="false">
      <c r="A172" s="1" t="str">
        <f aca="false">Transactions!A172</f>
        <v>TXN500742</v>
      </c>
      <c r="B172" s="1" t="str">
        <f aca="false">Transactions!B172</f>
        <v>ACC1031</v>
      </c>
      <c r="C172" s="1" t="str">
        <f aca="false">Transactions!I172</f>
        <v>2026-01-12</v>
      </c>
      <c r="D172" s="1" t="n">
        <f aca="false">Transactions!J172</f>
        <v>17</v>
      </c>
      <c r="E172" s="1" t="n">
        <f aca="false">Transactions!D172</f>
        <v>21.08</v>
      </c>
      <c r="F172" s="1" t="str">
        <f aca="false">Transactions!H172</f>
        <v>Online</v>
      </c>
      <c r="G172" s="1" t="str">
        <f aca="false">Transactions!G172</f>
        <v>Cash Withdrawal</v>
      </c>
      <c r="H172" s="1" t="n">
        <f aca="false">IF(COUNTIFS($B$2:$B$1489,B172,$C$2:$C$1489,C172,$D$2:$D$1489,D172)&gt;6,1,0)</f>
        <v>0</v>
      </c>
      <c r="I172" s="1" t="n">
        <f aca="false">IF(AND(F172="Wire",E172&gt;=1000,MOD(E172,1000)=0),1,0)</f>
        <v>0</v>
      </c>
      <c r="J172" s="1" t="n">
        <f aca="false">IF(AND(F172="ATM",E172&gt;2000,D172&lt;=4),1,0)</f>
        <v>0</v>
      </c>
      <c r="K172" s="1" t="n">
        <f aca="false">IF(COUNTIF('SQL Findings'!$A$4:$A$18,B172)&gt;0,1,0)</f>
        <v>0</v>
      </c>
      <c r="L172" s="1" t="n">
        <f aca="false">SUM(H172:K172)</f>
        <v>0</v>
      </c>
      <c r="M172" s="1" t="str">
        <f aca="false">IF(L172&gt;=2,"High",IF(L172=1,"Medium","Low"))</f>
        <v>Low</v>
      </c>
    </row>
    <row r="173" customFormat="false" ht="15" hidden="false" customHeight="true" outlineLevel="0" collapsed="false">
      <c r="A173" s="1" t="str">
        <f aca="false">Transactions!A173</f>
        <v>TXN500708</v>
      </c>
      <c r="B173" s="1" t="str">
        <f aca="false">Transactions!B173</f>
        <v>ACC1030</v>
      </c>
      <c r="C173" s="1" t="str">
        <f aca="false">Transactions!I173</f>
        <v>2026-01-12</v>
      </c>
      <c r="D173" s="1" t="n">
        <f aca="false">Transactions!J173</f>
        <v>19</v>
      </c>
      <c r="E173" s="1" t="n">
        <f aca="false">Transactions!D173</f>
        <v>323.54</v>
      </c>
      <c r="F173" s="1" t="str">
        <f aca="false">Transactions!H173</f>
        <v>POS</v>
      </c>
      <c r="G173" s="1" t="str">
        <f aca="false">Transactions!G173</f>
        <v>Cash Withdrawal</v>
      </c>
      <c r="H173" s="1" t="n">
        <f aca="false">IF(COUNTIFS($B$2:$B$1489,B173,$C$2:$C$1489,C173,$D$2:$D$1489,D173)&gt;6,1,0)</f>
        <v>0</v>
      </c>
      <c r="I173" s="1" t="n">
        <f aca="false">IF(AND(F173="Wire",E173&gt;=1000,MOD(E173,1000)=0),1,0)</f>
        <v>0</v>
      </c>
      <c r="J173" s="1" t="n">
        <f aca="false">IF(AND(F173="ATM",E173&gt;2000,D173&lt;=4),1,0)</f>
        <v>0</v>
      </c>
      <c r="K173" s="1" t="n">
        <f aca="false">IF(COUNTIF('SQL Findings'!$A$4:$A$18,B173)&gt;0,1,0)</f>
        <v>1</v>
      </c>
      <c r="L173" s="1" t="n">
        <f aca="false">SUM(H173:K173)</f>
        <v>1</v>
      </c>
      <c r="M173" s="1" t="str">
        <f aca="false">IF(L173&gt;=2,"High",IF(L173=1,"Medium","Low"))</f>
        <v>Medium</v>
      </c>
    </row>
    <row r="174" customFormat="false" ht="15" hidden="false" customHeight="true" outlineLevel="0" collapsed="false">
      <c r="A174" s="1" t="str">
        <f aca="false">Transactions!A174</f>
        <v>TXN500852</v>
      </c>
      <c r="B174" s="1" t="str">
        <f aca="false">Transactions!B174</f>
        <v>ACC1036</v>
      </c>
      <c r="C174" s="1" t="str">
        <f aca="false">Transactions!I174</f>
        <v>2026-01-12</v>
      </c>
      <c r="D174" s="1" t="n">
        <f aca="false">Transactions!J174</f>
        <v>19</v>
      </c>
      <c r="E174" s="1" t="n">
        <f aca="false">Transactions!D174</f>
        <v>40.45</v>
      </c>
      <c r="F174" s="1" t="str">
        <f aca="false">Transactions!H174</f>
        <v>POS</v>
      </c>
      <c r="G174" s="1" t="str">
        <f aca="false">Transactions!G174</f>
        <v>Online Marketplace</v>
      </c>
      <c r="H174" s="1" t="n">
        <f aca="false">IF(COUNTIFS($B$2:$B$1489,B174,$C$2:$C$1489,C174,$D$2:$D$1489,D174)&gt;6,1,0)</f>
        <v>0</v>
      </c>
      <c r="I174" s="1" t="n">
        <f aca="false">IF(AND(F174="Wire",E174&gt;=1000,MOD(E174,1000)=0),1,0)</f>
        <v>0</v>
      </c>
      <c r="J174" s="1" t="n">
        <f aca="false">IF(AND(F174="ATM",E174&gt;2000,D174&lt;=4),1,0)</f>
        <v>0</v>
      </c>
      <c r="K174" s="1" t="n">
        <f aca="false">IF(COUNTIF('SQL Findings'!$A$4:$A$18,B174)&gt;0,1,0)</f>
        <v>0</v>
      </c>
      <c r="L174" s="1" t="n">
        <f aca="false">SUM(H174:K174)</f>
        <v>0</v>
      </c>
      <c r="M174" s="1" t="str">
        <f aca="false">IF(L174&gt;=2,"High",IF(L174=1,"Medium","Low"))</f>
        <v>Low</v>
      </c>
    </row>
    <row r="175" customFormat="false" ht="15" hidden="false" customHeight="true" outlineLevel="0" collapsed="false">
      <c r="A175" s="1" t="str">
        <f aca="false">Transactions!A175</f>
        <v>TXN500334</v>
      </c>
      <c r="B175" s="1" t="str">
        <f aca="false">Transactions!B175</f>
        <v>ACC1014</v>
      </c>
      <c r="C175" s="1" t="str">
        <f aca="false">Transactions!I175</f>
        <v>2026-01-12</v>
      </c>
      <c r="D175" s="1" t="n">
        <f aca="false">Transactions!J175</f>
        <v>21</v>
      </c>
      <c r="E175" s="1" t="n">
        <f aca="false">Transactions!D175</f>
        <v>36.25</v>
      </c>
      <c r="F175" s="1" t="str">
        <f aca="false">Transactions!H175</f>
        <v>Online</v>
      </c>
      <c r="G175" s="1" t="str">
        <f aca="false">Transactions!G175</f>
        <v>Online Marketplace</v>
      </c>
      <c r="H175" s="1" t="n">
        <f aca="false">IF(COUNTIFS($B$2:$B$1489,B175,$C$2:$C$1489,C175,$D$2:$D$1489,D175)&gt;6,1,0)</f>
        <v>0</v>
      </c>
      <c r="I175" s="1" t="n">
        <f aca="false">IF(AND(F175="Wire",E175&gt;=1000,MOD(E175,1000)=0),1,0)</f>
        <v>0</v>
      </c>
      <c r="J175" s="1" t="n">
        <f aca="false">IF(AND(F175="ATM",E175&gt;2000,D175&lt;=4),1,0)</f>
        <v>0</v>
      </c>
      <c r="K175" s="1" t="n">
        <f aca="false">IF(COUNTIF('SQL Findings'!$A$4:$A$18,B175)&gt;0,1,0)</f>
        <v>1</v>
      </c>
      <c r="L175" s="1" t="n">
        <f aca="false">SUM(H175:K175)</f>
        <v>1</v>
      </c>
      <c r="M175" s="1" t="str">
        <f aca="false">IF(L175&gt;=2,"High",IF(L175=1,"Medium","Low"))</f>
        <v>Medium</v>
      </c>
    </row>
    <row r="176" customFormat="false" ht="15" hidden="false" customHeight="true" outlineLevel="0" collapsed="false">
      <c r="A176" s="1" t="str">
        <f aca="false">Transactions!A176</f>
        <v>TXN501143</v>
      </c>
      <c r="B176" s="1" t="str">
        <f aca="false">Transactions!B176</f>
        <v>ACC1050</v>
      </c>
      <c r="C176" s="1" t="str">
        <f aca="false">Transactions!I176</f>
        <v>2026-01-13</v>
      </c>
      <c r="D176" s="1" t="n">
        <f aca="false">Transactions!J176</f>
        <v>4</v>
      </c>
      <c r="E176" s="1" t="n">
        <f aca="false">Transactions!D176</f>
        <v>58.26</v>
      </c>
      <c r="F176" s="1" t="str">
        <f aca="false">Transactions!H176</f>
        <v>POS</v>
      </c>
      <c r="G176" s="1" t="str">
        <f aca="false">Transactions!G176</f>
        <v>Wire Transfer</v>
      </c>
      <c r="H176" s="1" t="n">
        <f aca="false">IF(COUNTIFS($B$2:$B$1489,B176,$C$2:$C$1489,C176,$D$2:$D$1489,D176)&gt;6,1,0)</f>
        <v>0</v>
      </c>
      <c r="I176" s="1" t="n">
        <f aca="false">IF(AND(F176="Wire",E176&gt;=1000,MOD(E176,1000)=0),1,0)</f>
        <v>0</v>
      </c>
      <c r="J176" s="1" t="n">
        <f aca="false">IF(AND(F176="ATM",E176&gt;2000,D176&lt;=4),1,0)</f>
        <v>0</v>
      </c>
      <c r="K176" s="1" t="n">
        <f aca="false">IF(COUNTIF('SQL Findings'!$A$4:$A$18,B176)&gt;0,1,0)</f>
        <v>0</v>
      </c>
      <c r="L176" s="1" t="n">
        <f aca="false">SUM(H176:K176)</f>
        <v>0</v>
      </c>
      <c r="M176" s="1" t="str">
        <f aca="false">IF(L176&gt;=2,"High",IF(L176=1,"Medium","Low"))</f>
        <v>Low</v>
      </c>
    </row>
    <row r="177" customFormat="false" ht="15" hidden="false" customHeight="true" outlineLevel="0" collapsed="false">
      <c r="A177" s="1" t="str">
        <f aca="false">Transactions!A177</f>
        <v>TXN500646</v>
      </c>
      <c r="B177" s="1" t="str">
        <f aca="false">Transactions!B177</f>
        <v>ACC1028</v>
      </c>
      <c r="C177" s="1" t="str">
        <f aca="false">Transactions!I177</f>
        <v>2026-01-13</v>
      </c>
      <c r="D177" s="1" t="n">
        <f aca="false">Transactions!J177</f>
        <v>6</v>
      </c>
      <c r="E177" s="1" t="n">
        <f aca="false">Transactions!D177</f>
        <v>52.17</v>
      </c>
      <c r="F177" s="1" t="str">
        <f aca="false">Transactions!H177</f>
        <v>Online</v>
      </c>
      <c r="G177" s="1" t="str">
        <f aca="false">Transactions!G177</f>
        <v>Wire Transfer</v>
      </c>
      <c r="H177" s="1" t="n">
        <f aca="false">IF(COUNTIFS($B$2:$B$1489,B177,$C$2:$C$1489,C177,$D$2:$D$1489,D177)&gt;6,1,0)</f>
        <v>0</v>
      </c>
      <c r="I177" s="1" t="n">
        <f aca="false">IF(AND(F177="Wire",E177&gt;=1000,MOD(E177,1000)=0),1,0)</f>
        <v>0</v>
      </c>
      <c r="J177" s="1" t="n">
        <f aca="false">IF(AND(F177="ATM",E177&gt;2000,D177&lt;=4),1,0)</f>
        <v>0</v>
      </c>
      <c r="K177" s="1" t="n">
        <f aca="false">IF(COUNTIF('SQL Findings'!$A$4:$A$18,B177)&gt;0,1,0)</f>
        <v>0</v>
      </c>
      <c r="L177" s="1" t="n">
        <f aca="false">SUM(H177:K177)</f>
        <v>0</v>
      </c>
      <c r="M177" s="1" t="str">
        <f aca="false">IF(L177&gt;=2,"High",IF(L177=1,"Medium","Low"))</f>
        <v>Low</v>
      </c>
    </row>
    <row r="178" customFormat="false" ht="15" hidden="false" customHeight="true" outlineLevel="0" collapsed="false">
      <c r="A178" s="1" t="str">
        <f aca="false">Transactions!A178</f>
        <v>TXN500721</v>
      </c>
      <c r="B178" s="1" t="str">
        <f aca="false">Transactions!B178</f>
        <v>ACC1031</v>
      </c>
      <c r="C178" s="1" t="str">
        <f aca="false">Transactions!I178</f>
        <v>2026-01-13</v>
      </c>
      <c r="D178" s="1" t="n">
        <f aca="false">Transactions!J178</f>
        <v>7</v>
      </c>
      <c r="E178" s="1" t="n">
        <f aca="false">Transactions!D178</f>
        <v>87.97</v>
      </c>
      <c r="F178" s="1" t="str">
        <f aca="false">Transactions!H178</f>
        <v>ATM</v>
      </c>
      <c r="G178" s="1" t="str">
        <f aca="false">Transactions!G178</f>
        <v>Utilities</v>
      </c>
      <c r="H178" s="1" t="n">
        <f aca="false">IF(COUNTIFS($B$2:$B$1489,B178,$C$2:$C$1489,C178,$D$2:$D$1489,D178)&gt;6,1,0)</f>
        <v>0</v>
      </c>
      <c r="I178" s="1" t="n">
        <f aca="false">IF(AND(F178="Wire",E178&gt;=1000,MOD(E178,1000)=0),1,0)</f>
        <v>0</v>
      </c>
      <c r="J178" s="1" t="n">
        <f aca="false">IF(AND(F178="ATM",E178&gt;2000,D178&lt;=4),1,0)</f>
        <v>0</v>
      </c>
      <c r="K178" s="1" t="n">
        <f aca="false">IF(COUNTIF('SQL Findings'!$A$4:$A$18,B178)&gt;0,1,0)</f>
        <v>0</v>
      </c>
      <c r="L178" s="1" t="n">
        <f aca="false">SUM(H178:K178)</f>
        <v>0</v>
      </c>
      <c r="M178" s="1" t="str">
        <f aca="false">IF(L178&gt;=2,"High",IF(L178=1,"Medium","Low"))</f>
        <v>Low</v>
      </c>
    </row>
    <row r="179" customFormat="false" ht="15" hidden="false" customHeight="true" outlineLevel="0" collapsed="false">
      <c r="A179" s="1" t="str">
        <f aca="false">Transactions!A179</f>
        <v>TXN501358</v>
      </c>
      <c r="B179" s="1" t="str">
        <f aca="false">Transactions!B179</f>
        <v>ACC1059</v>
      </c>
      <c r="C179" s="1" t="str">
        <f aca="false">Transactions!I179</f>
        <v>2026-01-13</v>
      </c>
      <c r="D179" s="1" t="n">
        <f aca="false">Transactions!J179</f>
        <v>8</v>
      </c>
      <c r="E179" s="1" t="n">
        <f aca="false">Transactions!D179</f>
        <v>94.88</v>
      </c>
      <c r="F179" s="1" t="str">
        <f aca="false">Transactions!H179</f>
        <v>Online</v>
      </c>
      <c r="G179" s="1" t="str">
        <f aca="false">Transactions!G179</f>
        <v>Wire Transfer</v>
      </c>
      <c r="H179" s="1" t="n">
        <f aca="false">IF(COUNTIFS($B$2:$B$1489,B179,$C$2:$C$1489,C179,$D$2:$D$1489,D179)&gt;6,1,0)</f>
        <v>0</v>
      </c>
      <c r="I179" s="1" t="n">
        <f aca="false">IF(AND(F179="Wire",E179&gt;=1000,MOD(E179,1000)=0),1,0)</f>
        <v>0</v>
      </c>
      <c r="J179" s="1" t="n">
        <f aca="false">IF(AND(F179="ATM",E179&gt;2000,D179&lt;=4),1,0)</f>
        <v>0</v>
      </c>
      <c r="K179" s="1" t="n">
        <f aca="false">IF(COUNTIF('SQL Findings'!$A$4:$A$18,B179)&gt;0,1,0)</f>
        <v>0</v>
      </c>
      <c r="L179" s="1" t="n">
        <f aca="false">SUM(H179:K179)</f>
        <v>0</v>
      </c>
      <c r="M179" s="1" t="str">
        <f aca="false">IF(L179&gt;=2,"High",IF(L179=1,"Medium","Low"))</f>
        <v>Low</v>
      </c>
    </row>
    <row r="180" customFormat="false" ht="15" hidden="false" customHeight="true" outlineLevel="0" collapsed="false">
      <c r="A180" s="1" t="str">
        <f aca="false">Transactions!A180</f>
        <v>TXN500001</v>
      </c>
      <c r="B180" s="1" t="str">
        <f aca="false">Transactions!B180</f>
        <v>ACC1000</v>
      </c>
      <c r="C180" s="1" t="str">
        <f aca="false">Transactions!I180</f>
        <v>2026-01-13</v>
      </c>
      <c r="D180" s="1" t="n">
        <f aca="false">Transactions!J180</f>
        <v>10</v>
      </c>
      <c r="E180" s="1" t="n">
        <f aca="false">Transactions!D180</f>
        <v>104.28</v>
      </c>
      <c r="F180" s="1" t="str">
        <f aca="false">Transactions!H180</f>
        <v>POS</v>
      </c>
      <c r="G180" s="1" t="str">
        <f aca="false">Transactions!G180</f>
        <v>Cash Withdrawal</v>
      </c>
      <c r="H180" s="1" t="n">
        <f aca="false">IF(COUNTIFS($B$2:$B$1489,B180,$C$2:$C$1489,C180,$D$2:$D$1489,D180)&gt;6,1,0)</f>
        <v>0</v>
      </c>
      <c r="I180" s="1" t="n">
        <f aca="false">IF(AND(F180="Wire",E180&gt;=1000,MOD(E180,1000)=0),1,0)</f>
        <v>0</v>
      </c>
      <c r="J180" s="1" t="n">
        <f aca="false">IF(AND(F180="ATM",E180&gt;2000,D180&lt;=4),1,0)</f>
        <v>0</v>
      </c>
      <c r="K180" s="1" t="n">
        <f aca="false">IF(COUNTIF('SQL Findings'!$A$4:$A$18,B180)&gt;0,1,0)</f>
        <v>1</v>
      </c>
      <c r="L180" s="1" t="n">
        <f aca="false">SUM(H180:K180)</f>
        <v>1</v>
      </c>
      <c r="M180" s="1" t="str">
        <f aca="false">IF(L180&gt;=2,"High",IF(L180=1,"Medium","Low"))</f>
        <v>Medium</v>
      </c>
    </row>
    <row r="181" customFormat="false" ht="15" hidden="false" customHeight="true" outlineLevel="0" collapsed="false">
      <c r="A181" s="1" t="str">
        <f aca="false">Transactions!A181</f>
        <v>TXN500417</v>
      </c>
      <c r="B181" s="1" t="str">
        <f aca="false">Transactions!B181</f>
        <v>ACC1018</v>
      </c>
      <c r="C181" s="1" t="str">
        <f aca="false">Transactions!I181</f>
        <v>2026-01-13</v>
      </c>
      <c r="D181" s="1" t="n">
        <f aca="false">Transactions!J181</f>
        <v>10</v>
      </c>
      <c r="E181" s="1" t="n">
        <f aca="false">Transactions!D181</f>
        <v>269.36</v>
      </c>
      <c r="F181" s="1" t="str">
        <f aca="false">Transactions!H181</f>
        <v>ATM</v>
      </c>
      <c r="G181" s="1" t="str">
        <f aca="false">Transactions!G181</f>
        <v>Cash Withdrawal</v>
      </c>
      <c r="H181" s="1" t="n">
        <f aca="false">IF(COUNTIFS($B$2:$B$1489,B181,$C$2:$C$1489,C181,$D$2:$D$1489,D181)&gt;6,1,0)</f>
        <v>0</v>
      </c>
      <c r="I181" s="1" t="n">
        <f aca="false">IF(AND(F181="Wire",E181&gt;=1000,MOD(E181,1000)=0),1,0)</f>
        <v>0</v>
      </c>
      <c r="J181" s="1" t="n">
        <f aca="false">IF(AND(F181="ATM",E181&gt;2000,D181&lt;=4),1,0)</f>
        <v>0</v>
      </c>
      <c r="K181" s="1" t="n">
        <f aca="false">IF(COUNTIF('SQL Findings'!$A$4:$A$18,B181)&gt;0,1,0)</f>
        <v>0</v>
      </c>
      <c r="L181" s="1" t="n">
        <f aca="false">SUM(H181:K181)</f>
        <v>0</v>
      </c>
      <c r="M181" s="1" t="str">
        <f aca="false">IF(L181&gt;=2,"High",IF(L181=1,"Medium","Low"))</f>
        <v>Low</v>
      </c>
    </row>
    <row r="182" customFormat="false" ht="15" hidden="false" customHeight="true" outlineLevel="0" collapsed="false">
      <c r="A182" s="1" t="str">
        <f aca="false">Transactions!A182</f>
        <v>TXN501134</v>
      </c>
      <c r="B182" s="1" t="str">
        <f aca="false">Transactions!B182</f>
        <v>ACC1050</v>
      </c>
      <c r="C182" s="1" t="str">
        <f aca="false">Transactions!I182</f>
        <v>2026-01-13</v>
      </c>
      <c r="D182" s="1" t="n">
        <f aca="false">Transactions!J182</f>
        <v>12</v>
      </c>
      <c r="E182" s="1" t="n">
        <f aca="false">Transactions!D182</f>
        <v>100.3</v>
      </c>
      <c r="F182" s="1" t="str">
        <f aca="false">Transactions!H182</f>
        <v>POS</v>
      </c>
      <c r="G182" s="1" t="str">
        <f aca="false">Transactions!G182</f>
        <v>Retail</v>
      </c>
      <c r="H182" s="1" t="n">
        <f aca="false">IF(COUNTIFS($B$2:$B$1489,B182,$C$2:$C$1489,C182,$D$2:$D$1489,D182)&gt;6,1,0)</f>
        <v>0</v>
      </c>
      <c r="I182" s="1" t="n">
        <f aca="false">IF(AND(F182="Wire",E182&gt;=1000,MOD(E182,1000)=0),1,0)</f>
        <v>0</v>
      </c>
      <c r="J182" s="1" t="n">
        <f aca="false">IF(AND(F182="ATM",E182&gt;2000,D182&lt;=4),1,0)</f>
        <v>0</v>
      </c>
      <c r="K182" s="1" t="n">
        <f aca="false">IF(COUNTIF('SQL Findings'!$A$4:$A$18,B182)&gt;0,1,0)</f>
        <v>0</v>
      </c>
      <c r="L182" s="1" t="n">
        <f aca="false">SUM(H182:K182)</f>
        <v>0</v>
      </c>
      <c r="M182" s="1" t="str">
        <f aca="false">IF(L182&gt;=2,"High",IF(L182=1,"Medium","Low"))</f>
        <v>Low</v>
      </c>
    </row>
    <row r="183" customFormat="false" ht="15" hidden="false" customHeight="true" outlineLevel="0" collapsed="false">
      <c r="A183" s="1" t="str">
        <f aca="false">Transactions!A183</f>
        <v>TXN501111</v>
      </c>
      <c r="B183" s="1" t="str">
        <f aca="false">Transactions!B183</f>
        <v>ACC1048</v>
      </c>
      <c r="C183" s="1" t="str">
        <f aca="false">Transactions!I183</f>
        <v>2026-01-13</v>
      </c>
      <c r="D183" s="1" t="n">
        <f aca="false">Transactions!J183</f>
        <v>12</v>
      </c>
      <c r="E183" s="1" t="n">
        <f aca="false">Transactions!D183</f>
        <v>56.17</v>
      </c>
      <c r="F183" s="1" t="str">
        <f aca="false">Transactions!H183</f>
        <v>Online</v>
      </c>
      <c r="G183" s="1" t="str">
        <f aca="false">Transactions!G183</f>
        <v>Online Marketplace</v>
      </c>
      <c r="H183" s="1" t="n">
        <f aca="false">IF(COUNTIFS($B$2:$B$1489,B183,$C$2:$C$1489,C183,$D$2:$D$1489,D183)&gt;6,1,0)</f>
        <v>0</v>
      </c>
      <c r="I183" s="1" t="n">
        <f aca="false">IF(AND(F183="Wire",E183&gt;=1000,MOD(E183,1000)=0),1,0)</f>
        <v>0</v>
      </c>
      <c r="J183" s="1" t="n">
        <f aca="false">IF(AND(F183="ATM",E183&gt;2000,D183&lt;=4),1,0)</f>
        <v>0</v>
      </c>
      <c r="K183" s="1" t="n">
        <f aca="false">IF(COUNTIF('SQL Findings'!$A$4:$A$18,B183)&gt;0,1,0)</f>
        <v>0</v>
      </c>
      <c r="L183" s="1" t="n">
        <f aca="false">SUM(H183:K183)</f>
        <v>0</v>
      </c>
      <c r="M183" s="1" t="str">
        <f aca="false">IF(L183&gt;=2,"High",IF(L183=1,"Medium","Low"))</f>
        <v>Low</v>
      </c>
    </row>
    <row r="184" customFormat="false" ht="15" hidden="false" customHeight="true" outlineLevel="0" collapsed="false">
      <c r="A184" s="1" t="str">
        <f aca="false">Transactions!A184</f>
        <v>TXN500691</v>
      </c>
      <c r="B184" s="1" t="str">
        <f aca="false">Transactions!B184</f>
        <v>ACC1029</v>
      </c>
      <c r="C184" s="1" t="str">
        <f aca="false">Transactions!I184</f>
        <v>2026-01-13</v>
      </c>
      <c r="D184" s="1" t="n">
        <f aca="false">Transactions!J184</f>
        <v>12</v>
      </c>
      <c r="E184" s="1" t="n">
        <f aca="false">Transactions!D184</f>
        <v>48.19</v>
      </c>
      <c r="F184" s="1" t="str">
        <f aca="false">Transactions!H184</f>
        <v>POS</v>
      </c>
      <c r="G184" s="1" t="str">
        <f aca="false">Transactions!G184</f>
        <v>Wire Transfer</v>
      </c>
      <c r="H184" s="1" t="n">
        <f aca="false">IF(COUNTIFS($B$2:$B$1489,B184,$C$2:$C$1489,C184,$D$2:$D$1489,D184)&gt;6,1,0)</f>
        <v>0</v>
      </c>
      <c r="I184" s="1" t="n">
        <f aca="false">IF(AND(F184="Wire",E184&gt;=1000,MOD(E184,1000)=0),1,0)</f>
        <v>0</v>
      </c>
      <c r="J184" s="1" t="n">
        <f aca="false">IF(AND(F184="ATM",E184&gt;2000,D184&lt;=4),1,0)</f>
        <v>0</v>
      </c>
      <c r="K184" s="1" t="n">
        <f aca="false">IF(COUNTIF('SQL Findings'!$A$4:$A$18,B184)&gt;0,1,0)</f>
        <v>0</v>
      </c>
      <c r="L184" s="1" t="n">
        <f aca="false">SUM(H184:K184)</f>
        <v>0</v>
      </c>
      <c r="M184" s="1" t="str">
        <f aca="false">IF(L184&gt;=2,"High",IF(L184=1,"Medium","Low"))</f>
        <v>Low</v>
      </c>
    </row>
    <row r="185" customFormat="false" ht="15" hidden="false" customHeight="true" outlineLevel="0" collapsed="false">
      <c r="A185" s="1" t="str">
        <f aca="false">Transactions!A185</f>
        <v>TXN501065</v>
      </c>
      <c r="B185" s="1" t="str">
        <f aca="false">Transactions!B185</f>
        <v>ACC1046</v>
      </c>
      <c r="C185" s="1" t="str">
        <f aca="false">Transactions!I185</f>
        <v>2026-01-13</v>
      </c>
      <c r="D185" s="1" t="n">
        <f aca="false">Transactions!J185</f>
        <v>15</v>
      </c>
      <c r="E185" s="1" t="n">
        <f aca="false">Transactions!D185</f>
        <v>48.13</v>
      </c>
      <c r="F185" s="1" t="str">
        <f aca="false">Transactions!H185</f>
        <v>Online</v>
      </c>
      <c r="G185" s="1" t="str">
        <f aca="false">Transactions!G185</f>
        <v>Dining</v>
      </c>
      <c r="H185" s="1" t="n">
        <f aca="false">IF(COUNTIFS($B$2:$B$1489,B185,$C$2:$C$1489,C185,$D$2:$D$1489,D185)&gt;6,1,0)</f>
        <v>0</v>
      </c>
      <c r="I185" s="1" t="n">
        <f aca="false">IF(AND(F185="Wire",E185&gt;=1000,MOD(E185,1000)=0),1,0)</f>
        <v>0</v>
      </c>
      <c r="J185" s="1" t="n">
        <f aca="false">IF(AND(F185="ATM",E185&gt;2000,D185&lt;=4),1,0)</f>
        <v>0</v>
      </c>
      <c r="K185" s="1" t="n">
        <f aca="false">IF(COUNTIF('SQL Findings'!$A$4:$A$18,B185)&gt;0,1,0)</f>
        <v>0</v>
      </c>
      <c r="L185" s="1" t="n">
        <f aca="false">SUM(H185:K185)</f>
        <v>0</v>
      </c>
      <c r="M185" s="1" t="str">
        <f aca="false">IF(L185&gt;=2,"High",IF(L185=1,"Medium","Low"))</f>
        <v>Low</v>
      </c>
    </row>
    <row r="186" customFormat="false" ht="15" hidden="false" customHeight="true" outlineLevel="0" collapsed="false">
      <c r="A186" s="1" t="str">
        <f aca="false">Transactions!A186</f>
        <v>TXN500337</v>
      </c>
      <c r="B186" s="1" t="str">
        <f aca="false">Transactions!B186</f>
        <v>ACC1015</v>
      </c>
      <c r="C186" s="1" t="str">
        <f aca="false">Transactions!I186</f>
        <v>2026-01-13</v>
      </c>
      <c r="D186" s="1" t="n">
        <f aca="false">Transactions!J186</f>
        <v>17</v>
      </c>
      <c r="E186" s="1" t="n">
        <f aca="false">Transactions!D186</f>
        <v>31.72</v>
      </c>
      <c r="F186" s="1" t="str">
        <f aca="false">Transactions!H186</f>
        <v>POS</v>
      </c>
      <c r="G186" s="1" t="str">
        <f aca="false">Transactions!G186</f>
        <v>Cash Withdrawal</v>
      </c>
      <c r="H186" s="1" t="n">
        <f aca="false">IF(COUNTIFS($B$2:$B$1489,B186,$C$2:$C$1489,C186,$D$2:$D$1489,D186)&gt;6,1,0)</f>
        <v>0</v>
      </c>
      <c r="I186" s="1" t="n">
        <f aca="false">IF(AND(F186="Wire",E186&gt;=1000,MOD(E186,1000)=0),1,0)</f>
        <v>0</v>
      </c>
      <c r="J186" s="1" t="n">
        <f aca="false">IF(AND(F186="ATM",E186&gt;2000,D186&lt;=4),1,0)</f>
        <v>0</v>
      </c>
      <c r="K186" s="1" t="n">
        <f aca="false">IF(COUNTIF('SQL Findings'!$A$4:$A$18,B186)&gt;0,1,0)</f>
        <v>1</v>
      </c>
      <c r="L186" s="1" t="n">
        <f aca="false">SUM(H186:K186)</f>
        <v>1</v>
      </c>
      <c r="M186" s="1" t="str">
        <f aca="false">IF(L186&gt;=2,"High",IF(L186=1,"Medium","Low"))</f>
        <v>Medium</v>
      </c>
    </row>
    <row r="187" customFormat="false" ht="15" hidden="false" customHeight="true" outlineLevel="0" collapsed="false">
      <c r="A187" s="1" t="str">
        <f aca="false">Transactions!A187</f>
        <v>TXN500857</v>
      </c>
      <c r="B187" s="1" t="str">
        <f aca="false">Transactions!B187</f>
        <v>ACC1037</v>
      </c>
      <c r="C187" s="1" t="str">
        <f aca="false">Transactions!I187</f>
        <v>2026-01-13</v>
      </c>
      <c r="D187" s="1" t="n">
        <f aca="false">Transactions!J187</f>
        <v>17</v>
      </c>
      <c r="E187" s="1" t="n">
        <f aca="false">Transactions!D187</f>
        <v>31.53</v>
      </c>
      <c r="F187" s="1" t="str">
        <f aca="false">Transactions!H187</f>
        <v>POS</v>
      </c>
      <c r="G187" s="1" t="str">
        <f aca="false">Transactions!G187</f>
        <v>Retail</v>
      </c>
      <c r="H187" s="1" t="n">
        <f aca="false">IF(COUNTIFS($B$2:$B$1489,B187,$C$2:$C$1489,C187,$D$2:$D$1489,D187)&gt;6,1,0)</f>
        <v>0</v>
      </c>
      <c r="I187" s="1" t="n">
        <f aca="false">IF(AND(F187="Wire",E187&gt;=1000,MOD(E187,1000)=0),1,0)</f>
        <v>0</v>
      </c>
      <c r="J187" s="1" t="n">
        <f aca="false">IF(AND(F187="ATM",E187&gt;2000,D187&lt;=4),1,0)</f>
        <v>0</v>
      </c>
      <c r="K187" s="1" t="n">
        <f aca="false">IF(COUNTIF('SQL Findings'!$A$4:$A$18,B187)&gt;0,1,0)</f>
        <v>1</v>
      </c>
      <c r="L187" s="1" t="n">
        <f aca="false">SUM(H187:K187)</f>
        <v>1</v>
      </c>
      <c r="M187" s="1" t="str">
        <f aca="false">IF(L187&gt;=2,"High",IF(L187=1,"Medium","Low"))</f>
        <v>Medium</v>
      </c>
    </row>
    <row r="188" customFormat="false" ht="15" hidden="false" customHeight="true" outlineLevel="0" collapsed="false">
      <c r="A188" s="1" t="str">
        <f aca="false">Transactions!A188</f>
        <v>TXN500221</v>
      </c>
      <c r="B188" s="1" t="str">
        <f aca="false">Transactions!B188</f>
        <v>ACC1009</v>
      </c>
      <c r="C188" s="1" t="str">
        <f aca="false">Transactions!I188</f>
        <v>2026-01-13</v>
      </c>
      <c r="D188" s="1" t="n">
        <f aca="false">Transactions!J188</f>
        <v>19</v>
      </c>
      <c r="E188" s="1" t="n">
        <f aca="false">Transactions!D188</f>
        <v>535.5</v>
      </c>
      <c r="F188" s="1" t="str">
        <f aca="false">Transactions!H188</f>
        <v>Online</v>
      </c>
      <c r="G188" s="1" t="str">
        <f aca="false">Transactions!G188</f>
        <v>Retail</v>
      </c>
      <c r="H188" s="1" t="n">
        <f aca="false">IF(COUNTIFS($B$2:$B$1489,B188,$C$2:$C$1489,C188,$D$2:$D$1489,D188)&gt;6,1,0)</f>
        <v>0</v>
      </c>
      <c r="I188" s="1" t="n">
        <f aca="false">IF(AND(F188="Wire",E188&gt;=1000,MOD(E188,1000)=0),1,0)</f>
        <v>0</v>
      </c>
      <c r="J188" s="1" t="n">
        <f aca="false">IF(AND(F188="ATM",E188&gt;2000,D188&lt;=4),1,0)</f>
        <v>0</v>
      </c>
      <c r="K188" s="1" t="n">
        <f aca="false">IF(COUNTIF('SQL Findings'!$A$4:$A$18,B188)&gt;0,1,0)</f>
        <v>1</v>
      </c>
      <c r="L188" s="1" t="n">
        <f aca="false">SUM(H188:K188)</f>
        <v>1</v>
      </c>
      <c r="M188" s="1" t="str">
        <f aca="false">IF(L188&gt;=2,"High",IF(L188=1,"Medium","Low"))</f>
        <v>Medium</v>
      </c>
    </row>
    <row r="189" customFormat="false" ht="15" hidden="false" customHeight="true" outlineLevel="0" collapsed="false">
      <c r="A189" s="1" t="str">
        <f aca="false">Transactions!A189</f>
        <v>TXN500158</v>
      </c>
      <c r="B189" s="1" t="str">
        <f aca="false">Transactions!B189</f>
        <v>ACC1006</v>
      </c>
      <c r="C189" s="1" t="str">
        <f aca="false">Transactions!I189</f>
        <v>2026-01-13</v>
      </c>
      <c r="D189" s="1" t="n">
        <f aca="false">Transactions!J189</f>
        <v>21</v>
      </c>
      <c r="E189" s="1" t="n">
        <f aca="false">Transactions!D189</f>
        <v>102.15</v>
      </c>
      <c r="F189" s="1" t="str">
        <f aca="false">Transactions!H189</f>
        <v>Online</v>
      </c>
      <c r="G189" s="1" t="str">
        <f aca="false">Transactions!G189</f>
        <v>Dining</v>
      </c>
      <c r="H189" s="1" t="n">
        <f aca="false">IF(COUNTIFS($B$2:$B$1489,B189,$C$2:$C$1489,C189,$D$2:$D$1489,D189)&gt;6,1,0)</f>
        <v>0</v>
      </c>
      <c r="I189" s="1" t="n">
        <f aca="false">IF(AND(F189="Wire",E189&gt;=1000,MOD(E189,1000)=0),1,0)</f>
        <v>0</v>
      </c>
      <c r="J189" s="1" t="n">
        <f aca="false">IF(AND(F189="ATM",E189&gt;2000,D189&lt;=4),1,0)</f>
        <v>0</v>
      </c>
      <c r="K189" s="1" t="n">
        <f aca="false">IF(COUNTIF('SQL Findings'!$A$4:$A$18,B189)&gt;0,1,0)</f>
        <v>0</v>
      </c>
      <c r="L189" s="1" t="n">
        <f aca="false">SUM(H189:K189)</f>
        <v>0</v>
      </c>
      <c r="M189" s="1" t="str">
        <f aca="false">IF(L189&gt;=2,"High",IF(L189=1,"Medium","Low"))</f>
        <v>Low</v>
      </c>
    </row>
    <row r="190" customFormat="false" ht="15" hidden="false" customHeight="true" outlineLevel="0" collapsed="false">
      <c r="A190" s="1" t="str">
        <f aca="false">Transactions!A190</f>
        <v>TXN500241</v>
      </c>
      <c r="B190" s="1" t="str">
        <f aca="false">Transactions!B190</f>
        <v>ACC1010</v>
      </c>
      <c r="C190" s="1" t="str">
        <f aca="false">Transactions!I190</f>
        <v>2026-01-13</v>
      </c>
      <c r="D190" s="1" t="n">
        <f aca="false">Transactions!J190</f>
        <v>23</v>
      </c>
      <c r="E190" s="1" t="n">
        <f aca="false">Transactions!D190</f>
        <v>32.68</v>
      </c>
      <c r="F190" s="1" t="str">
        <f aca="false">Transactions!H190</f>
        <v>POS</v>
      </c>
      <c r="G190" s="1" t="str">
        <f aca="false">Transactions!G190</f>
        <v>Cash Withdrawal</v>
      </c>
      <c r="H190" s="1" t="n">
        <f aca="false">IF(COUNTIFS($B$2:$B$1489,B190,$C$2:$C$1489,C190,$D$2:$D$1489,D190)&gt;6,1,0)</f>
        <v>0</v>
      </c>
      <c r="I190" s="1" t="n">
        <f aca="false">IF(AND(F190="Wire",E190&gt;=1000,MOD(E190,1000)=0),1,0)</f>
        <v>0</v>
      </c>
      <c r="J190" s="1" t="n">
        <f aca="false">IF(AND(F190="ATM",E190&gt;2000,D190&lt;=4),1,0)</f>
        <v>0</v>
      </c>
      <c r="K190" s="1" t="n">
        <f aca="false">IF(COUNTIF('SQL Findings'!$A$4:$A$18,B190)&gt;0,1,0)</f>
        <v>0</v>
      </c>
      <c r="L190" s="1" t="n">
        <f aca="false">SUM(H190:K190)</f>
        <v>0</v>
      </c>
      <c r="M190" s="1" t="str">
        <f aca="false">IF(L190&gt;=2,"High",IF(L190=1,"Medium","Low"))</f>
        <v>Low</v>
      </c>
    </row>
    <row r="191" customFormat="false" ht="15" hidden="false" customHeight="true" outlineLevel="0" collapsed="false">
      <c r="A191" s="1" t="str">
        <f aca="false">Transactions!A191</f>
        <v>TXN500805</v>
      </c>
      <c r="B191" s="1" t="str">
        <f aca="false">Transactions!B191</f>
        <v>ACC1034</v>
      </c>
      <c r="C191" s="1" t="str">
        <f aca="false">Transactions!I191</f>
        <v>2026-01-14</v>
      </c>
      <c r="D191" s="1" t="n">
        <f aca="false">Transactions!J191</f>
        <v>0</v>
      </c>
      <c r="E191" s="1" t="n">
        <f aca="false">Transactions!D191</f>
        <v>45.1</v>
      </c>
      <c r="F191" s="1" t="str">
        <f aca="false">Transactions!H191</f>
        <v>ATM</v>
      </c>
      <c r="G191" s="1" t="str">
        <f aca="false">Transactions!G191</f>
        <v>Cash Withdrawal</v>
      </c>
      <c r="H191" s="1" t="n">
        <f aca="false">IF(COUNTIFS($B$2:$B$1489,B191,$C$2:$C$1489,C191,$D$2:$D$1489,D191)&gt;6,1,0)</f>
        <v>0</v>
      </c>
      <c r="I191" s="1" t="n">
        <f aca="false">IF(AND(F191="Wire",E191&gt;=1000,MOD(E191,1000)=0),1,0)</f>
        <v>0</v>
      </c>
      <c r="J191" s="1" t="n">
        <f aca="false">IF(AND(F191="ATM",E191&gt;2000,D191&lt;=4),1,0)</f>
        <v>0</v>
      </c>
      <c r="K191" s="1" t="n">
        <f aca="false">IF(COUNTIF('SQL Findings'!$A$4:$A$18,B191)&gt;0,1,0)</f>
        <v>0</v>
      </c>
      <c r="L191" s="1" t="n">
        <f aca="false">SUM(H191:K191)</f>
        <v>0</v>
      </c>
      <c r="M191" s="1" t="str">
        <f aca="false">IF(L191&gt;=2,"High",IF(L191=1,"Medium","Low"))</f>
        <v>Low</v>
      </c>
    </row>
    <row r="192" customFormat="false" ht="15" hidden="false" customHeight="true" outlineLevel="0" collapsed="false">
      <c r="A192" s="1" t="str">
        <f aca="false">Transactions!A192</f>
        <v>TXN500363</v>
      </c>
      <c r="B192" s="1" t="str">
        <f aca="false">Transactions!B192</f>
        <v>ACC1016</v>
      </c>
      <c r="C192" s="1" t="str">
        <f aca="false">Transactions!I192</f>
        <v>2026-01-14</v>
      </c>
      <c r="D192" s="1" t="n">
        <f aca="false">Transactions!J192</f>
        <v>3</v>
      </c>
      <c r="E192" s="1" t="n">
        <f aca="false">Transactions!D192</f>
        <v>60.47</v>
      </c>
      <c r="F192" s="1" t="str">
        <f aca="false">Transactions!H192</f>
        <v>Online</v>
      </c>
      <c r="G192" s="1" t="str">
        <f aca="false">Transactions!G192</f>
        <v>Utilities</v>
      </c>
      <c r="H192" s="1" t="n">
        <f aca="false">IF(COUNTIFS($B$2:$B$1489,B192,$C$2:$C$1489,C192,$D$2:$D$1489,D192)&gt;6,1,0)</f>
        <v>0</v>
      </c>
      <c r="I192" s="1" t="n">
        <f aca="false">IF(AND(F192="Wire",E192&gt;=1000,MOD(E192,1000)=0),1,0)</f>
        <v>0</v>
      </c>
      <c r="J192" s="1" t="n">
        <f aca="false">IF(AND(F192="ATM",E192&gt;2000,D192&lt;=4),1,0)</f>
        <v>0</v>
      </c>
      <c r="K192" s="1" t="n">
        <f aca="false">IF(COUNTIF('SQL Findings'!$A$4:$A$18,B192)&gt;0,1,0)</f>
        <v>0</v>
      </c>
      <c r="L192" s="1" t="n">
        <f aca="false">SUM(H192:K192)</f>
        <v>0</v>
      </c>
      <c r="M192" s="1" t="str">
        <f aca="false">IF(L192&gt;=2,"High",IF(L192=1,"Medium","Low"))</f>
        <v>Low</v>
      </c>
    </row>
    <row r="193" customFormat="false" ht="15" hidden="false" customHeight="true" outlineLevel="0" collapsed="false">
      <c r="A193" s="1" t="str">
        <f aca="false">Transactions!A193</f>
        <v>TXN501046</v>
      </c>
      <c r="B193" s="1" t="str">
        <f aca="false">Transactions!B193</f>
        <v>ACC1045</v>
      </c>
      <c r="C193" s="1" t="str">
        <f aca="false">Transactions!I193</f>
        <v>2026-01-14</v>
      </c>
      <c r="D193" s="1" t="n">
        <f aca="false">Transactions!J193</f>
        <v>5</v>
      </c>
      <c r="E193" s="1" t="n">
        <f aca="false">Transactions!D193</f>
        <v>147.72</v>
      </c>
      <c r="F193" s="1" t="str">
        <f aca="false">Transactions!H193</f>
        <v>ATM</v>
      </c>
      <c r="G193" s="1" t="str">
        <f aca="false">Transactions!G193</f>
        <v>Online Marketplace</v>
      </c>
      <c r="H193" s="1" t="n">
        <f aca="false">IF(COUNTIFS($B$2:$B$1489,B193,$C$2:$C$1489,C193,$D$2:$D$1489,D193)&gt;6,1,0)</f>
        <v>0</v>
      </c>
      <c r="I193" s="1" t="n">
        <f aca="false">IF(AND(F193="Wire",E193&gt;=1000,MOD(E193,1000)=0),1,0)</f>
        <v>0</v>
      </c>
      <c r="J193" s="1" t="n">
        <f aca="false">IF(AND(F193="ATM",E193&gt;2000,D193&lt;=4),1,0)</f>
        <v>0</v>
      </c>
      <c r="K193" s="1" t="n">
        <f aca="false">IF(COUNTIF('SQL Findings'!$A$4:$A$18,B193)&gt;0,1,0)</f>
        <v>0</v>
      </c>
      <c r="L193" s="1" t="n">
        <f aca="false">SUM(H193:K193)</f>
        <v>0</v>
      </c>
      <c r="M193" s="1" t="str">
        <f aca="false">IF(L193&gt;=2,"High",IF(L193=1,"Medium","Low"))</f>
        <v>Low</v>
      </c>
    </row>
    <row r="194" customFormat="false" ht="15" hidden="false" customHeight="true" outlineLevel="0" collapsed="false">
      <c r="A194" s="1" t="str">
        <f aca="false">Transactions!A194</f>
        <v>TXN501210</v>
      </c>
      <c r="B194" s="1" t="str">
        <f aca="false">Transactions!B194</f>
        <v>ACC1053</v>
      </c>
      <c r="C194" s="1" t="str">
        <f aca="false">Transactions!I194</f>
        <v>2026-01-14</v>
      </c>
      <c r="D194" s="1" t="n">
        <f aca="false">Transactions!J194</f>
        <v>6</v>
      </c>
      <c r="E194" s="1" t="n">
        <f aca="false">Transactions!D194</f>
        <v>322.02</v>
      </c>
      <c r="F194" s="1" t="str">
        <f aca="false">Transactions!H194</f>
        <v>ATM</v>
      </c>
      <c r="G194" s="1" t="str">
        <f aca="false">Transactions!G194</f>
        <v>Utilities</v>
      </c>
      <c r="H194" s="1" t="n">
        <f aca="false">IF(COUNTIFS($B$2:$B$1489,B194,$C$2:$C$1489,C194,$D$2:$D$1489,D194)&gt;6,1,0)</f>
        <v>0</v>
      </c>
      <c r="I194" s="1" t="n">
        <f aca="false">IF(AND(F194="Wire",E194&gt;=1000,MOD(E194,1000)=0),1,0)</f>
        <v>0</v>
      </c>
      <c r="J194" s="1" t="n">
        <f aca="false">IF(AND(F194="ATM",E194&gt;2000,D194&lt;=4),1,0)</f>
        <v>0</v>
      </c>
      <c r="K194" s="1" t="n">
        <f aca="false">IF(COUNTIF('SQL Findings'!$A$4:$A$18,B194)&gt;0,1,0)</f>
        <v>0</v>
      </c>
      <c r="L194" s="1" t="n">
        <f aca="false">SUM(H194:K194)</f>
        <v>0</v>
      </c>
      <c r="M194" s="1" t="str">
        <f aca="false">IF(L194&gt;=2,"High",IF(L194=1,"Medium","Low"))</f>
        <v>Low</v>
      </c>
    </row>
    <row r="195" customFormat="false" ht="15" hidden="false" customHeight="true" outlineLevel="0" collapsed="false">
      <c r="A195" s="1" t="str">
        <f aca="false">Transactions!A195</f>
        <v>TXN500696</v>
      </c>
      <c r="B195" s="1" t="str">
        <f aca="false">Transactions!B195</f>
        <v>ACC1030</v>
      </c>
      <c r="C195" s="1" t="str">
        <f aca="false">Transactions!I195</f>
        <v>2026-01-14</v>
      </c>
      <c r="D195" s="1" t="n">
        <f aca="false">Transactions!J195</f>
        <v>6</v>
      </c>
      <c r="E195" s="1" t="n">
        <f aca="false">Transactions!D195</f>
        <v>50.47</v>
      </c>
      <c r="F195" s="1" t="str">
        <f aca="false">Transactions!H195</f>
        <v>Online</v>
      </c>
      <c r="G195" s="1" t="str">
        <f aca="false">Transactions!G195</f>
        <v>Cash Withdrawal</v>
      </c>
      <c r="H195" s="1" t="n">
        <f aca="false">IF(COUNTIFS($B$2:$B$1489,B195,$C$2:$C$1489,C195,$D$2:$D$1489,D195)&gt;6,1,0)</f>
        <v>0</v>
      </c>
      <c r="I195" s="1" t="n">
        <f aca="false">IF(AND(F195="Wire",E195&gt;=1000,MOD(E195,1000)=0),1,0)</f>
        <v>0</v>
      </c>
      <c r="J195" s="1" t="n">
        <f aca="false">IF(AND(F195="ATM",E195&gt;2000,D195&lt;=4),1,0)</f>
        <v>0</v>
      </c>
      <c r="K195" s="1" t="n">
        <f aca="false">IF(COUNTIF('SQL Findings'!$A$4:$A$18,B195)&gt;0,1,0)</f>
        <v>1</v>
      </c>
      <c r="L195" s="1" t="n">
        <f aca="false">SUM(H195:K195)</f>
        <v>1</v>
      </c>
      <c r="M195" s="1" t="str">
        <f aca="false">IF(L195&gt;=2,"High",IF(L195=1,"Medium","Low"))</f>
        <v>Medium</v>
      </c>
    </row>
    <row r="196" customFormat="false" ht="15" hidden="false" customHeight="true" outlineLevel="0" collapsed="false">
      <c r="A196" s="1" t="str">
        <f aca="false">Transactions!A196</f>
        <v>TXN500964</v>
      </c>
      <c r="B196" s="1" t="str">
        <f aca="false">Transactions!B196</f>
        <v>ACC1042</v>
      </c>
      <c r="C196" s="1" t="str">
        <f aca="false">Transactions!I196</f>
        <v>2026-01-14</v>
      </c>
      <c r="D196" s="1" t="n">
        <f aca="false">Transactions!J196</f>
        <v>6</v>
      </c>
      <c r="E196" s="1" t="n">
        <f aca="false">Transactions!D196</f>
        <v>126.23</v>
      </c>
      <c r="F196" s="1" t="str">
        <f aca="false">Transactions!H196</f>
        <v>Online</v>
      </c>
      <c r="G196" s="1" t="str">
        <f aca="false">Transactions!G196</f>
        <v>Electronics</v>
      </c>
      <c r="H196" s="1" t="n">
        <f aca="false">IF(COUNTIFS($B$2:$B$1489,B196,$C$2:$C$1489,C196,$D$2:$D$1489,D196)&gt;6,1,0)</f>
        <v>0</v>
      </c>
      <c r="I196" s="1" t="n">
        <f aca="false">IF(AND(F196="Wire",E196&gt;=1000,MOD(E196,1000)=0),1,0)</f>
        <v>0</v>
      </c>
      <c r="J196" s="1" t="n">
        <f aca="false">IF(AND(F196="ATM",E196&gt;2000,D196&lt;=4),1,0)</f>
        <v>0</v>
      </c>
      <c r="K196" s="1" t="n">
        <f aca="false">IF(COUNTIF('SQL Findings'!$A$4:$A$18,B196)&gt;0,1,0)</f>
        <v>1</v>
      </c>
      <c r="L196" s="1" t="n">
        <f aca="false">SUM(H196:K196)</f>
        <v>1</v>
      </c>
      <c r="M196" s="1" t="str">
        <f aca="false">IF(L196&gt;=2,"High",IF(L196=1,"Medium","Low"))</f>
        <v>Medium</v>
      </c>
    </row>
    <row r="197" customFormat="false" ht="15" hidden="false" customHeight="true" outlineLevel="0" collapsed="false">
      <c r="A197" s="1" t="str">
        <f aca="false">Transactions!A197</f>
        <v>TXN501010</v>
      </c>
      <c r="B197" s="1" t="str">
        <f aca="false">Transactions!B197</f>
        <v>ACC1044</v>
      </c>
      <c r="C197" s="1" t="str">
        <f aca="false">Transactions!I197</f>
        <v>2026-01-14</v>
      </c>
      <c r="D197" s="1" t="n">
        <f aca="false">Transactions!J197</f>
        <v>6</v>
      </c>
      <c r="E197" s="1" t="n">
        <f aca="false">Transactions!D197</f>
        <v>41.19</v>
      </c>
      <c r="F197" s="1" t="str">
        <f aca="false">Transactions!H197</f>
        <v>Online</v>
      </c>
      <c r="G197" s="1" t="str">
        <f aca="false">Transactions!G197</f>
        <v>Utilities</v>
      </c>
      <c r="H197" s="1" t="n">
        <f aca="false">IF(COUNTIFS($B$2:$B$1489,B197,$C$2:$C$1489,C197,$D$2:$D$1489,D197)&gt;6,1,0)</f>
        <v>0</v>
      </c>
      <c r="I197" s="1" t="n">
        <f aca="false">IF(AND(F197="Wire",E197&gt;=1000,MOD(E197,1000)=0),1,0)</f>
        <v>0</v>
      </c>
      <c r="J197" s="1" t="n">
        <f aca="false">IF(AND(F197="ATM",E197&gt;2000,D197&lt;=4),1,0)</f>
        <v>0</v>
      </c>
      <c r="K197" s="1" t="n">
        <f aca="false">IF(COUNTIF('SQL Findings'!$A$4:$A$18,B197)&gt;0,1,0)</f>
        <v>0</v>
      </c>
      <c r="L197" s="1" t="n">
        <f aca="false">SUM(H197:K197)</f>
        <v>0</v>
      </c>
      <c r="M197" s="1" t="str">
        <f aca="false">IF(L197&gt;=2,"High",IF(L197=1,"Medium","Low"))</f>
        <v>Low</v>
      </c>
    </row>
    <row r="198" customFormat="false" ht="15" hidden="false" customHeight="true" outlineLevel="0" collapsed="false">
      <c r="A198" s="1" t="str">
        <f aca="false">Transactions!A198</f>
        <v>TXN501103</v>
      </c>
      <c r="B198" s="1" t="str">
        <f aca="false">Transactions!B198</f>
        <v>ACC1048</v>
      </c>
      <c r="C198" s="1" t="str">
        <f aca="false">Transactions!I198</f>
        <v>2026-01-14</v>
      </c>
      <c r="D198" s="1" t="n">
        <f aca="false">Transactions!J198</f>
        <v>8</v>
      </c>
      <c r="E198" s="1" t="n">
        <f aca="false">Transactions!D198</f>
        <v>436.83</v>
      </c>
      <c r="F198" s="1" t="str">
        <f aca="false">Transactions!H198</f>
        <v>ATM</v>
      </c>
      <c r="G198" s="1" t="str">
        <f aca="false">Transactions!G198</f>
        <v>Online Marketplace</v>
      </c>
      <c r="H198" s="1" t="n">
        <f aca="false">IF(COUNTIFS($B$2:$B$1489,B198,$C$2:$C$1489,C198,$D$2:$D$1489,D198)&gt;6,1,0)</f>
        <v>0</v>
      </c>
      <c r="I198" s="1" t="n">
        <f aca="false">IF(AND(F198="Wire",E198&gt;=1000,MOD(E198,1000)=0),1,0)</f>
        <v>0</v>
      </c>
      <c r="J198" s="1" t="n">
        <f aca="false">IF(AND(F198="ATM",E198&gt;2000,D198&lt;=4),1,0)</f>
        <v>0</v>
      </c>
      <c r="K198" s="1" t="n">
        <f aca="false">IF(COUNTIF('SQL Findings'!$A$4:$A$18,B198)&gt;0,1,0)</f>
        <v>0</v>
      </c>
      <c r="L198" s="1" t="n">
        <f aca="false">SUM(H198:K198)</f>
        <v>0</v>
      </c>
      <c r="M198" s="1" t="str">
        <f aca="false">IF(L198&gt;=2,"High",IF(L198=1,"Medium","Low"))</f>
        <v>Low</v>
      </c>
    </row>
    <row r="199" customFormat="false" ht="15" hidden="false" customHeight="true" outlineLevel="0" collapsed="false">
      <c r="A199" s="1" t="str">
        <f aca="false">Transactions!A199</f>
        <v>TXN501300</v>
      </c>
      <c r="B199" s="1" t="str">
        <f aca="false">Transactions!B199</f>
        <v>ACC1056</v>
      </c>
      <c r="C199" s="1" t="str">
        <f aca="false">Transactions!I199</f>
        <v>2026-01-14</v>
      </c>
      <c r="D199" s="1" t="n">
        <f aca="false">Transactions!J199</f>
        <v>9</v>
      </c>
      <c r="E199" s="1" t="n">
        <f aca="false">Transactions!D199</f>
        <v>89.08</v>
      </c>
      <c r="F199" s="1" t="str">
        <f aca="false">Transactions!H199</f>
        <v>Online</v>
      </c>
      <c r="G199" s="1" t="str">
        <f aca="false">Transactions!G199</f>
        <v>Electronics</v>
      </c>
      <c r="H199" s="1" t="n">
        <f aca="false">IF(COUNTIFS($B$2:$B$1489,B199,$C$2:$C$1489,C199,$D$2:$D$1489,D199)&gt;6,1,0)</f>
        <v>0</v>
      </c>
      <c r="I199" s="1" t="n">
        <f aca="false">IF(AND(F199="Wire",E199&gt;=1000,MOD(E199,1000)=0),1,0)</f>
        <v>0</v>
      </c>
      <c r="J199" s="1" t="n">
        <f aca="false">IF(AND(F199="ATM",E199&gt;2000,D199&lt;=4),1,0)</f>
        <v>0</v>
      </c>
      <c r="K199" s="1" t="n">
        <f aca="false">IF(COUNTIF('SQL Findings'!$A$4:$A$18,B199)&gt;0,1,0)</f>
        <v>0</v>
      </c>
      <c r="L199" s="1" t="n">
        <f aca="false">SUM(H199:K199)</f>
        <v>0</v>
      </c>
      <c r="M199" s="1" t="str">
        <f aca="false">IF(L199&gt;=2,"High",IF(L199=1,"Medium","Low"))</f>
        <v>Low</v>
      </c>
    </row>
    <row r="200" customFormat="false" ht="15" hidden="false" customHeight="true" outlineLevel="0" collapsed="false">
      <c r="A200" s="1" t="str">
        <f aca="false">Transactions!A200</f>
        <v>TXN500130</v>
      </c>
      <c r="B200" s="1" t="str">
        <f aca="false">Transactions!B200</f>
        <v>ACC1005</v>
      </c>
      <c r="C200" s="1" t="str">
        <f aca="false">Transactions!I200</f>
        <v>2026-01-14</v>
      </c>
      <c r="D200" s="1" t="n">
        <f aca="false">Transactions!J200</f>
        <v>10</v>
      </c>
      <c r="E200" s="1" t="n">
        <f aca="false">Transactions!D200</f>
        <v>42.39</v>
      </c>
      <c r="F200" s="1" t="str">
        <f aca="false">Transactions!H200</f>
        <v>ATM</v>
      </c>
      <c r="G200" s="1" t="str">
        <f aca="false">Transactions!G200</f>
        <v>Online Marketplace</v>
      </c>
      <c r="H200" s="1" t="n">
        <f aca="false">IF(COUNTIFS($B$2:$B$1489,B200,$C$2:$C$1489,C200,$D$2:$D$1489,D200)&gt;6,1,0)</f>
        <v>0</v>
      </c>
      <c r="I200" s="1" t="n">
        <f aca="false">IF(AND(F200="Wire",E200&gt;=1000,MOD(E200,1000)=0),1,0)</f>
        <v>0</v>
      </c>
      <c r="J200" s="1" t="n">
        <f aca="false">IF(AND(F200="ATM",E200&gt;2000,D200&lt;=4),1,0)</f>
        <v>0</v>
      </c>
      <c r="K200" s="1" t="n">
        <f aca="false">IF(COUNTIF('SQL Findings'!$A$4:$A$18,B200)&gt;0,1,0)</f>
        <v>0</v>
      </c>
      <c r="L200" s="1" t="n">
        <f aca="false">SUM(H200:K200)</f>
        <v>0</v>
      </c>
      <c r="M200" s="1" t="str">
        <f aca="false">IF(L200&gt;=2,"High",IF(L200=1,"Medium","Low"))</f>
        <v>Low</v>
      </c>
    </row>
    <row r="201" customFormat="false" ht="15" hidden="false" customHeight="true" outlineLevel="0" collapsed="false">
      <c r="A201" s="1" t="str">
        <f aca="false">Transactions!A201</f>
        <v>TXN500412</v>
      </c>
      <c r="B201" s="1" t="str">
        <f aca="false">Transactions!B201</f>
        <v>ACC1018</v>
      </c>
      <c r="C201" s="1" t="str">
        <f aca="false">Transactions!I201</f>
        <v>2026-01-14</v>
      </c>
      <c r="D201" s="1" t="n">
        <f aca="false">Transactions!J201</f>
        <v>10</v>
      </c>
      <c r="E201" s="1" t="n">
        <f aca="false">Transactions!D201</f>
        <v>24.24</v>
      </c>
      <c r="F201" s="1" t="str">
        <f aca="false">Transactions!H201</f>
        <v>ATM</v>
      </c>
      <c r="G201" s="1" t="str">
        <f aca="false">Transactions!G201</f>
        <v>Utilities</v>
      </c>
      <c r="H201" s="1" t="n">
        <f aca="false">IF(COUNTIFS($B$2:$B$1489,B201,$C$2:$C$1489,C201,$D$2:$D$1489,D201)&gt;6,1,0)</f>
        <v>0</v>
      </c>
      <c r="I201" s="1" t="n">
        <f aca="false">IF(AND(F201="Wire",E201&gt;=1000,MOD(E201,1000)=0),1,0)</f>
        <v>0</v>
      </c>
      <c r="J201" s="1" t="n">
        <f aca="false">IF(AND(F201="ATM",E201&gt;2000,D201&lt;=4),1,0)</f>
        <v>0</v>
      </c>
      <c r="K201" s="1" t="n">
        <f aca="false">IF(COUNTIF('SQL Findings'!$A$4:$A$18,B201)&gt;0,1,0)</f>
        <v>0</v>
      </c>
      <c r="L201" s="1" t="n">
        <f aca="false">SUM(H201:K201)</f>
        <v>0</v>
      </c>
      <c r="M201" s="1" t="str">
        <f aca="false">IF(L201&gt;=2,"High",IF(L201=1,"Medium","Low"))</f>
        <v>Low</v>
      </c>
    </row>
    <row r="202" customFormat="false" ht="15" hidden="false" customHeight="true" outlineLevel="0" collapsed="false">
      <c r="A202" s="1" t="str">
        <f aca="false">Transactions!A202</f>
        <v>TXN500807</v>
      </c>
      <c r="B202" s="1" t="str">
        <f aca="false">Transactions!B202</f>
        <v>ACC1034</v>
      </c>
      <c r="C202" s="1" t="str">
        <f aca="false">Transactions!I202</f>
        <v>2026-01-14</v>
      </c>
      <c r="D202" s="1" t="n">
        <f aca="false">Transactions!J202</f>
        <v>11</v>
      </c>
      <c r="E202" s="1" t="n">
        <f aca="false">Transactions!D202</f>
        <v>81.44</v>
      </c>
      <c r="F202" s="1" t="str">
        <f aca="false">Transactions!H202</f>
        <v>ATM</v>
      </c>
      <c r="G202" s="1" t="str">
        <f aca="false">Transactions!G202</f>
        <v>Utilities</v>
      </c>
      <c r="H202" s="1" t="n">
        <f aca="false">IF(COUNTIFS($B$2:$B$1489,B202,$C$2:$C$1489,C202,$D$2:$D$1489,D202)&gt;6,1,0)</f>
        <v>0</v>
      </c>
      <c r="I202" s="1" t="n">
        <f aca="false">IF(AND(F202="Wire",E202&gt;=1000,MOD(E202,1000)=0),1,0)</f>
        <v>0</v>
      </c>
      <c r="J202" s="1" t="n">
        <f aca="false">IF(AND(F202="ATM",E202&gt;2000,D202&lt;=4),1,0)</f>
        <v>0</v>
      </c>
      <c r="K202" s="1" t="n">
        <f aca="false">IF(COUNTIF('SQL Findings'!$A$4:$A$18,B202)&gt;0,1,0)</f>
        <v>0</v>
      </c>
      <c r="L202" s="1" t="n">
        <f aca="false">SUM(H202:K202)</f>
        <v>0</v>
      </c>
      <c r="M202" s="1" t="str">
        <f aca="false">IF(L202&gt;=2,"High",IF(L202=1,"Medium","Low"))</f>
        <v>Low</v>
      </c>
    </row>
    <row r="203" customFormat="false" ht="15" hidden="false" customHeight="true" outlineLevel="0" collapsed="false">
      <c r="A203" s="1" t="str">
        <f aca="false">Transactions!A203</f>
        <v>TXN501221</v>
      </c>
      <c r="B203" s="1" t="str">
        <f aca="false">Transactions!B203</f>
        <v>ACC1053</v>
      </c>
      <c r="C203" s="1" t="str">
        <f aca="false">Transactions!I203</f>
        <v>2026-01-14</v>
      </c>
      <c r="D203" s="1" t="n">
        <f aca="false">Transactions!J203</f>
        <v>11</v>
      </c>
      <c r="E203" s="1" t="n">
        <f aca="false">Transactions!D203</f>
        <v>22.9</v>
      </c>
      <c r="F203" s="1" t="str">
        <f aca="false">Transactions!H203</f>
        <v>POS</v>
      </c>
      <c r="G203" s="1" t="str">
        <f aca="false">Transactions!G203</f>
        <v>Retail</v>
      </c>
      <c r="H203" s="1" t="n">
        <f aca="false">IF(COUNTIFS($B$2:$B$1489,B203,$C$2:$C$1489,C203,$D$2:$D$1489,D203)&gt;6,1,0)</f>
        <v>0</v>
      </c>
      <c r="I203" s="1" t="n">
        <f aca="false">IF(AND(F203="Wire",E203&gt;=1000,MOD(E203,1000)=0),1,0)</f>
        <v>0</v>
      </c>
      <c r="J203" s="1" t="n">
        <f aca="false">IF(AND(F203="ATM",E203&gt;2000,D203&lt;=4),1,0)</f>
        <v>0</v>
      </c>
      <c r="K203" s="1" t="n">
        <f aca="false">IF(COUNTIF('SQL Findings'!$A$4:$A$18,B203)&gt;0,1,0)</f>
        <v>0</v>
      </c>
      <c r="L203" s="1" t="n">
        <f aca="false">SUM(H203:K203)</f>
        <v>0</v>
      </c>
      <c r="M203" s="1" t="str">
        <f aca="false">IF(L203&gt;=2,"High",IF(L203=1,"Medium","Low"))</f>
        <v>Low</v>
      </c>
    </row>
    <row r="204" customFormat="false" ht="15" hidden="false" customHeight="true" outlineLevel="0" collapsed="false">
      <c r="A204" s="1" t="str">
        <f aca="false">Transactions!A204</f>
        <v>TXN501033</v>
      </c>
      <c r="B204" s="1" t="str">
        <f aca="false">Transactions!B204</f>
        <v>ACC1045</v>
      </c>
      <c r="C204" s="1" t="str">
        <f aca="false">Transactions!I204</f>
        <v>2026-01-14</v>
      </c>
      <c r="D204" s="1" t="n">
        <f aca="false">Transactions!J204</f>
        <v>12</v>
      </c>
      <c r="E204" s="1" t="n">
        <f aca="false">Transactions!D204</f>
        <v>95.52</v>
      </c>
      <c r="F204" s="1" t="str">
        <f aca="false">Transactions!H204</f>
        <v>Online</v>
      </c>
      <c r="G204" s="1" t="str">
        <f aca="false">Transactions!G204</f>
        <v>Utilities</v>
      </c>
      <c r="H204" s="1" t="n">
        <f aca="false">IF(COUNTIFS($B$2:$B$1489,B204,$C$2:$C$1489,C204,$D$2:$D$1489,D204)&gt;6,1,0)</f>
        <v>0</v>
      </c>
      <c r="I204" s="1" t="n">
        <f aca="false">IF(AND(F204="Wire",E204&gt;=1000,MOD(E204,1000)=0),1,0)</f>
        <v>0</v>
      </c>
      <c r="J204" s="1" t="n">
        <f aca="false">IF(AND(F204="ATM",E204&gt;2000,D204&lt;=4),1,0)</f>
        <v>0</v>
      </c>
      <c r="K204" s="1" t="n">
        <f aca="false">IF(COUNTIF('SQL Findings'!$A$4:$A$18,B204)&gt;0,1,0)</f>
        <v>0</v>
      </c>
      <c r="L204" s="1" t="n">
        <f aca="false">SUM(H204:K204)</f>
        <v>0</v>
      </c>
      <c r="M204" s="1" t="str">
        <f aca="false">IF(L204&gt;=2,"High",IF(L204=1,"Medium","Low"))</f>
        <v>Low</v>
      </c>
    </row>
    <row r="205" customFormat="false" ht="15" hidden="false" customHeight="true" outlineLevel="0" collapsed="false">
      <c r="A205" s="1" t="str">
        <f aca="false">Transactions!A205</f>
        <v>TXN500268</v>
      </c>
      <c r="B205" s="1" t="str">
        <f aca="false">Transactions!B205</f>
        <v>ACC1011</v>
      </c>
      <c r="C205" s="1" t="str">
        <f aca="false">Transactions!I205</f>
        <v>2026-01-14</v>
      </c>
      <c r="D205" s="1" t="n">
        <f aca="false">Transactions!J205</f>
        <v>13</v>
      </c>
      <c r="E205" s="1" t="n">
        <f aca="false">Transactions!D205</f>
        <v>18.41</v>
      </c>
      <c r="F205" s="1" t="str">
        <f aca="false">Transactions!H205</f>
        <v>ATM</v>
      </c>
      <c r="G205" s="1" t="str">
        <f aca="false">Transactions!G205</f>
        <v>Travel</v>
      </c>
      <c r="H205" s="1" t="n">
        <f aca="false">IF(COUNTIFS($B$2:$B$1489,B205,$C$2:$C$1489,C205,$D$2:$D$1489,D205)&gt;6,1,0)</f>
        <v>0</v>
      </c>
      <c r="I205" s="1" t="n">
        <f aca="false">IF(AND(F205="Wire",E205&gt;=1000,MOD(E205,1000)=0),1,0)</f>
        <v>0</v>
      </c>
      <c r="J205" s="1" t="n">
        <f aca="false">IF(AND(F205="ATM",E205&gt;2000,D205&lt;=4),1,0)</f>
        <v>0</v>
      </c>
      <c r="K205" s="1" t="n">
        <f aca="false">IF(COUNTIF('SQL Findings'!$A$4:$A$18,B205)&gt;0,1,0)</f>
        <v>0</v>
      </c>
      <c r="L205" s="1" t="n">
        <f aca="false">SUM(H205:K205)</f>
        <v>0</v>
      </c>
      <c r="M205" s="1" t="str">
        <f aca="false">IF(L205&gt;=2,"High",IF(L205=1,"Medium","Low"))</f>
        <v>Low</v>
      </c>
    </row>
    <row r="206" customFormat="false" ht="15" hidden="false" customHeight="true" outlineLevel="0" collapsed="false">
      <c r="A206" s="1" t="str">
        <f aca="false">Transactions!A206</f>
        <v>TXN500444</v>
      </c>
      <c r="B206" s="1" t="str">
        <f aca="false">Transactions!B206</f>
        <v>ACC1020</v>
      </c>
      <c r="C206" s="1" t="str">
        <f aca="false">Transactions!I206</f>
        <v>2026-01-14</v>
      </c>
      <c r="D206" s="1" t="n">
        <f aca="false">Transactions!J206</f>
        <v>13</v>
      </c>
      <c r="E206" s="1" t="n">
        <f aca="false">Transactions!D206</f>
        <v>61.55</v>
      </c>
      <c r="F206" s="1" t="str">
        <f aca="false">Transactions!H206</f>
        <v>POS</v>
      </c>
      <c r="G206" s="1" t="str">
        <f aca="false">Transactions!G206</f>
        <v>Dining</v>
      </c>
      <c r="H206" s="1" t="n">
        <f aca="false">IF(COUNTIFS($B$2:$B$1489,B206,$C$2:$C$1489,C206,$D$2:$D$1489,D206)&gt;6,1,0)</f>
        <v>0</v>
      </c>
      <c r="I206" s="1" t="n">
        <f aca="false">IF(AND(F206="Wire",E206&gt;=1000,MOD(E206,1000)=0),1,0)</f>
        <v>0</v>
      </c>
      <c r="J206" s="1" t="n">
        <f aca="false">IF(AND(F206="ATM",E206&gt;2000,D206&lt;=4),1,0)</f>
        <v>0</v>
      </c>
      <c r="K206" s="1" t="n">
        <f aca="false">IF(COUNTIF('SQL Findings'!$A$4:$A$18,B206)&gt;0,1,0)</f>
        <v>0</v>
      </c>
      <c r="L206" s="1" t="n">
        <f aca="false">SUM(H206:K206)</f>
        <v>0</v>
      </c>
      <c r="M206" s="1" t="str">
        <f aca="false">IF(L206&gt;=2,"High",IF(L206=1,"Medium","Low"))</f>
        <v>Low</v>
      </c>
    </row>
    <row r="207" customFormat="false" ht="15" hidden="false" customHeight="true" outlineLevel="0" collapsed="false">
      <c r="A207" s="1" t="str">
        <f aca="false">Transactions!A207</f>
        <v>TXN501308</v>
      </c>
      <c r="B207" s="1" t="str">
        <f aca="false">Transactions!B207</f>
        <v>ACC1057</v>
      </c>
      <c r="C207" s="1" t="str">
        <f aca="false">Transactions!I207</f>
        <v>2026-01-14</v>
      </c>
      <c r="D207" s="1" t="n">
        <f aca="false">Transactions!J207</f>
        <v>14</v>
      </c>
      <c r="E207" s="1" t="n">
        <f aca="false">Transactions!D207</f>
        <v>66.14</v>
      </c>
      <c r="F207" s="1" t="str">
        <f aca="false">Transactions!H207</f>
        <v>Online</v>
      </c>
      <c r="G207" s="1" t="str">
        <f aca="false">Transactions!G207</f>
        <v>Wire Transfer</v>
      </c>
      <c r="H207" s="1" t="n">
        <f aca="false">IF(COUNTIFS($B$2:$B$1489,B207,$C$2:$C$1489,C207,$D$2:$D$1489,D207)&gt;6,1,0)</f>
        <v>0</v>
      </c>
      <c r="I207" s="1" t="n">
        <f aca="false">IF(AND(F207="Wire",E207&gt;=1000,MOD(E207,1000)=0),1,0)</f>
        <v>0</v>
      </c>
      <c r="J207" s="1" t="n">
        <f aca="false">IF(AND(F207="ATM",E207&gt;2000,D207&lt;=4),1,0)</f>
        <v>0</v>
      </c>
      <c r="K207" s="1" t="n">
        <f aca="false">IF(COUNTIF('SQL Findings'!$A$4:$A$18,B207)&gt;0,1,0)</f>
        <v>1</v>
      </c>
      <c r="L207" s="1" t="n">
        <f aca="false">SUM(H207:K207)</f>
        <v>1</v>
      </c>
      <c r="M207" s="1" t="str">
        <f aca="false">IF(L207&gt;=2,"High",IF(L207=1,"Medium","Low"))</f>
        <v>Medium</v>
      </c>
    </row>
    <row r="208" customFormat="false" ht="15" hidden="false" customHeight="true" outlineLevel="0" collapsed="false">
      <c r="A208" s="1" t="str">
        <f aca="false">Transactions!A208</f>
        <v>TXN500059</v>
      </c>
      <c r="B208" s="1" t="str">
        <f aca="false">Transactions!B208</f>
        <v>ACC1002</v>
      </c>
      <c r="C208" s="1" t="str">
        <f aca="false">Transactions!I208</f>
        <v>2026-01-14</v>
      </c>
      <c r="D208" s="1" t="n">
        <f aca="false">Transactions!J208</f>
        <v>15</v>
      </c>
      <c r="E208" s="1" t="n">
        <f aca="false">Transactions!D208</f>
        <v>89.85</v>
      </c>
      <c r="F208" s="1" t="str">
        <f aca="false">Transactions!H208</f>
        <v>Online</v>
      </c>
      <c r="G208" s="1" t="str">
        <f aca="false">Transactions!G208</f>
        <v>Utilities</v>
      </c>
      <c r="H208" s="1" t="n">
        <f aca="false">IF(COUNTIFS($B$2:$B$1489,B208,$C$2:$C$1489,C208,$D$2:$D$1489,D208)&gt;6,1,0)</f>
        <v>0</v>
      </c>
      <c r="I208" s="1" t="n">
        <f aca="false">IF(AND(F208="Wire",E208&gt;=1000,MOD(E208,1000)=0),1,0)</f>
        <v>0</v>
      </c>
      <c r="J208" s="1" t="n">
        <f aca="false">IF(AND(F208="ATM",E208&gt;2000,D208&lt;=4),1,0)</f>
        <v>0</v>
      </c>
      <c r="K208" s="1" t="n">
        <f aca="false">IF(COUNTIF('SQL Findings'!$A$4:$A$18,B208)&gt;0,1,0)</f>
        <v>1</v>
      </c>
      <c r="L208" s="1" t="n">
        <f aca="false">SUM(H208:K208)</f>
        <v>1</v>
      </c>
      <c r="M208" s="1" t="str">
        <f aca="false">IF(L208&gt;=2,"High",IF(L208=1,"Medium","Low"))</f>
        <v>Medium</v>
      </c>
    </row>
    <row r="209" customFormat="false" ht="15" hidden="false" customHeight="true" outlineLevel="0" collapsed="false">
      <c r="A209" s="1" t="str">
        <f aca="false">Transactions!A209</f>
        <v>TXN500593</v>
      </c>
      <c r="B209" s="1" t="str">
        <f aca="false">Transactions!B209</f>
        <v>ACC1026</v>
      </c>
      <c r="C209" s="1" t="str">
        <f aca="false">Transactions!I209</f>
        <v>2026-01-14</v>
      </c>
      <c r="D209" s="1" t="n">
        <f aca="false">Transactions!J209</f>
        <v>16</v>
      </c>
      <c r="E209" s="1" t="n">
        <f aca="false">Transactions!D209</f>
        <v>102.63</v>
      </c>
      <c r="F209" s="1" t="str">
        <f aca="false">Transactions!H209</f>
        <v>Online</v>
      </c>
      <c r="G209" s="1" t="str">
        <f aca="false">Transactions!G209</f>
        <v>Travel</v>
      </c>
      <c r="H209" s="1" t="n">
        <f aca="false">IF(COUNTIFS($B$2:$B$1489,B209,$C$2:$C$1489,C209,$D$2:$D$1489,D209)&gt;6,1,0)</f>
        <v>0</v>
      </c>
      <c r="I209" s="1" t="n">
        <f aca="false">IF(AND(F209="Wire",E209&gt;=1000,MOD(E209,1000)=0),1,0)</f>
        <v>0</v>
      </c>
      <c r="J209" s="1" t="n">
        <f aca="false">IF(AND(F209="ATM",E209&gt;2000,D209&lt;=4),1,0)</f>
        <v>0</v>
      </c>
      <c r="K209" s="1" t="n">
        <f aca="false">IF(COUNTIF('SQL Findings'!$A$4:$A$18,B209)&gt;0,1,0)</f>
        <v>0</v>
      </c>
      <c r="L209" s="1" t="n">
        <f aca="false">SUM(H209:K209)</f>
        <v>0</v>
      </c>
      <c r="M209" s="1" t="str">
        <f aca="false">IF(L209&gt;=2,"High",IF(L209=1,"Medium","Low"))</f>
        <v>Low</v>
      </c>
    </row>
    <row r="210" customFormat="false" ht="15" hidden="false" customHeight="true" outlineLevel="0" collapsed="false">
      <c r="A210" s="1" t="str">
        <f aca="false">Transactions!A210</f>
        <v>TXN500175</v>
      </c>
      <c r="B210" s="1" t="str">
        <f aca="false">Transactions!B210</f>
        <v>ACC1007</v>
      </c>
      <c r="C210" s="1" t="str">
        <f aca="false">Transactions!I210</f>
        <v>2026-01-14</v>
      </c>
      <c r="D210" s="1" t="n">
        <f aca="false">Transactions!J210</f>
        <v>17</v>
      </c>
      <c r="E210" s="1" t="n">
        <f aca="false">Transactions!D210</f>
        <v>85.54</v>
      </c>
      <c r="F210" s="1" t="str">
        <f aca="false">Transactions!H210</f>
        <v>ATM</v>
      </c>
      <c r="G210" s="1" t="str">
        <f aca="false">Transactions!G210</f>
        <v>Wire Transfer</v>
      </c>
      <c r="H210" s="1" t="n">
        <f aca="false">IF(COUNTIFS($B$2:$B$1489,B210,$C$2:$C$1489,C210,$D$2:$D$1489,D210)&gt;6,1,0)</f>
        <v>0</v>
      </c>
      <c r="I210" s="1" t="n">
        <f aca="false">IF(AND(F210="Wire",E210&gt;=1000,MOD(E210,1000)=0),1,0)</f>
        <v>0</v>
      </c>
      <c r="J210" s="1" t="n">
        <f aca="false">IF(AND(F210="ATM",E210&gt;2000,D210&lt;=4),1,0)</f>
        <v>0</v>
      </c>
      <c r="K210" s="1" t="n">
        <f aca="false">IF(COUNTIF('SQL Findings'!$A$4:$A$18,B210)&gt;0,1,0)</f>
        <v>0</v>
      </c>
      <c r="L210" s="1" t="n">
        <f aca="false">SUM(H210:K210)</f>
        <v>0</v>
      </c>
      <c r="M210" s="1" t="str">
        <f aca="false">IF(L210&gt;=2,"High",IF(L210=1,"Medium","Low"))</f>
        <v>Low</v>
      </c>
    </row>
    <row r="211" customFormat="false" ht="15" hidden="false" customHeight="true" outlineLevel="0" collapsed="false">
      <c r="A211" s="1" t="str">
        <f aca="false">Transactions!A211</f>
        <v>TXN500528</v>
      </c>
      <c r="B211" s="1" t="str">
        <f aca="false">Transactions!B211</f>
        <v>ACC1023</v>
      </c>
      <c r="C211" s="1" t="str">
        <f aca="false">Transactions!I211</f>
        <v>2026-01-14</v>
      </c>
      <c r="D211" s="1" t="n">
        <f aca="false">Transactions!J211</f>
        <v>20</v>
      </c>
      <c r="E211" s="1" t="n">
        <f aca="false">Transactions!D211</f>
        <v>69.64</v>
      </c>
      <c r="F211" s="1" t="str">
        <f aca="false">Transactions!H211</f>
        <v>POS</v>
      </c>
      <c r="G211" s="1" t="str">
        <f aca="false">Transactions!G211</f>
        <v>Travel</v>
      </c>
      <c r="H211" s="1" t="n">
        <f aca="false">IF(COUNTIFS($B$2:$B$1489,B211,$C$2:$C$1489,C211,$D$2:$D$1489,D211)&gt;6,1,0)</f>
        <v>0</v>
      </c>
      <c r="I211" s="1" t="n">
        <f aca="false">IF(AND(F211="Wire",E211&gt;=1000,MOD(E211,1000)=0),1,0)</f>
        <v>0</v>
      </c>
      <c r="J211" s="1" t="n">
        <f aca="false">IF(AND(F211="ATM",E211&gt;2000,D211&lt;=4),1,0)</f>
        <v>0</v>
      </c>
      <c r="K211" s="1" t="n">
        <f aca="false">IF(COUNTIF('SQL Findings'!$A$4:$A$18,B211)&gt;0,1,0)</f>
        <v>0</v>
      </c>
      <c r="L211" s="1" t="n">
        <f aca="false">SUM(H211:K211)</f>
        <v>0</v>
      </c>
      <c r="M211" s="1" t="str">
        <f aca="false">IF(L211&gt;=2,"High",IF(L211=1,"Medium","Low"))</f>
        <v>Low</v>
      </c>
    </row>
    <row r="212" customFormat="false" ht="15" hidden="false" customHeight="true" outlineLevel="0" collapsed="false">
      <c r="A212" s="1" t="str">
        <f aca="false">Transactions!A212</f>
        <v>TXN500058</v>
      </c>
      <c r="B212" s="1" t="str">
        <f aca="false">Transactions!B212</f>
        <v>ACC1002</v>
      </c>
      <c r="C212" s="1" t="str">
        <f aca="false">Transactions!I212</f>
        <v>2026-01-14</v>
      </c>
      <c r="D212" s="1" t="n">
        <f aca="false">Transactions!J212</f>
        <v>21</v>
      </c>
      <c r="E212" s="1" t="n">
        <f aca="false">Transactions!D212</f>
        <v>50.49</v>
      </c>
      <c r="F212" s="1" t="str">
        <f aca="false">Transactions!H212</f>
        <v>POS</v>
      </c>
      <c r="G212" s="1" t="str">
        <f aca="false">Transactions!G212</f>
        <v>Utilities</v>
      </c>
      <c r="H212" s="1" t="n">
        <f aca="false">IF(COUNTIFS($B$2:$B$1489,B212,$C$2:$C$1489,C212,$D$2:$D$1489,D212)&gt;6,1,0)</f>
        <v>0</v>
      </c>
      <c r="I212" s="1" t="n">
        <f aca="false">IF(AND(F212="Wire",E212&gt;=1000,MOD(E212,1000)=0),1,0)</f>
        <v>0</v>
      </c>
      <c r="J212" s="1" t="n">
        <f aca="false">IF(AND(F212="ATM",E212&gt;2000,D212&lt;=4),1,0)</f>
        <v>0</v>
      </c>
      <c r="K212" s="1" t="n">
        <f aca="false">IF(COUNTIF('SQL Findings'!$A$4:$A$18,B212)&gt;0,1,0)</f>
        <v>1</v>
      </c>
      <c r="L212" s="1" t="n">
        <f aca="false">SUM(H212:K212)</f>
        <v>1</v>
      </c>
      <c r="M212" s="1" t="str">
        <f aca="false">IF(L212&gt;=2,"High",IF(L212=1,"Medium","Low"))</f>
        <v>Medium</v>
      </c>
    </row>
    <row r="213" customFormat="false" ht="15" hidden="false" customHeight="true" outlineLevel="0" collapsed="false">
      <c r="A213" s="1" t="str">
        <f aca="false">Transactions!A213</f>
        <v>TXN501284</v>
      </c>
      <c r="B213" s="1" t="str">
        <f aca="false">Transactions!B213</f>
        <v>ACC1056</v>
      </c>
      <c r="C213" s="1" t="str">
        <f aca="false">Transactions!I213</f>
        <v>2026-01-15</v>
      </c>
      <c r="D213" s="1" t="n">
        <f aca="false">Transactions!J213</f>
        <v>0</v>
      </c>
      <c r="E213" s="1" t="n">
        <f aca="false">Transactions!D213</f>
        <v>157.75</v>
      </c>
      <c r="F213" s="1" t="str">
        <f aca="false">Transactions!H213</f>
        <v>POS</v>
      </c>
      <c r="G213" s="1" t="str">
        <f aca="false">Transactions!G213</f>
        <v>Electronics</v>
      </c>
      <c r="H213" s="1" t="n">
        <f aca="false">IF(COUNTIFS($B$2:$B$1489,B213,$C$2:$C$1489,C213,$D$2:$D$1489,D213)&gt;6,1,0)</f>
        <v>0</v>
      </c>
      <c r="I213" s="1" t="n">
        <f aca="false">IF(AND(F213="Wire",E213&gt;=1000,MOD(E213,1000)=0),1,0)</f>
        <v>0</v>
      </c>
      <c r="J213" s="1" t="n">
        <f aca="false">IF(AND(F213="ATM",E213&gt;2000,D213&lt;=4),1,0)</f>
        <v>0</v>
      </c>
      <c r="K213" s="1" t="n">
        <f aca="false">IF(COUNTIF('SQL Findings'!$A$4:$A$18,B213)&gt;0,1,0)</f>
        <v>0</v>
      </c>
      <c r="L213" s="1" t="n">
        <f aca="false">SUM(H213:K213)</f>
        <v>0</v>
      </c>
      <c r="M213" s="1" t="str">
        <f aca="false">IF(L213&gt;=2,"High",IF(L213=1,"Medium","Low"))</f>
        <v>Low</v>
      </c>
    </row>
    <row r="214" customFormat="false" ht="15" hidden="false" customHeight="true" outlineLevel="0" collapsed="false">
      <c r="A214" s="1" t="str">
        <f aca="false">Transactions!A214</f>
        <v>TXN500586</v>
      </c>
      <c r="B214" s="1" t="str">
        <f aca="false">Transactions!B214</f>
        <v>ACC1025</v>
      </c>
      <c r="C214" s="1" t="str">
        <f aca="false">Transactions!I214</f>
        <v>2026-01-15</v>
      </c>
      <c r="D214" s="1" t="n">
        <f aca="false">Transactions!J214</f>
        <v>1</v>
      </c>
      <c r="E214" s="1" t="n">
        <f aca="false">Transactions!D214</f>
        <v>83.38</v>
      </c>
      <c r="F214" s="1" t="str">
        <f aca="false">Transactions!H214</f>
        <v>ATM</v>
      </c>
      <c r="G214" s="1" t="str">
        <f aca="false">Transactions!G214</f>
        <v>Electronics</v>
      </c>
      <c r="H214" s="1" t="n">
        <f aca="false">IF(COUNTIFS($B$2:$B$1489,B214,$C$2:$C$1489,C214,$D$2:$D$1489,D214)&gt;6,1,0)</f>
        <v>0</v>
      </c>
      <c r="I214" s="1" t="n">
        <f aca="false">IF(AND(F214="Wire",E214&gt;=1000,MOD(E214,1000)=0),1,0)</f>
        <v>0</v>
      </c>
      <c r="J214" s="1" t="n">
        <f aca="false">IF(AND(F214="ATM",E214&gt;2000,D214&lt;=4),1,0)</f>
        <v>0</v>
      </c>
      <c r="K214" s="1" t="n">
        <f aca="false">IF(COUNTIF('SQL Findings'!$A$4:$A$18,B214)&gt;0,1,0)</f>
        <v>0</v>
      </c>
      <c r="L214" s="1" t="n">
        <f aca="false">SUM(H214:K214)</f>
        <v>0</v>
      </c>
      <c r="M214" s="1" t="str">
        <f aca="false">IF(L214&gt;=2,"High",IF(L214=1,"Medium","Low"))</f>
        <v>Low</v>
      </c>
    </row>
    <row r="215" customFormat="false" ht="15" hidden="false" customHeight="true" outlineLevel="0" collapsed="false">
      <c r="A215" s="1" t="str">
        <f aca="false">Transactions!A215</f>
        <v>TXN500472</v>
      </c>
      <c r="B215" s="1" t="str">
        <f aca="false">Transactions!B215</f>
        <v>ACC1021</v>
      </c>
      <c r="C215" s="1" t="str">
        <f aca="false">Transactions!I215</f>
        <v>2026-01-15</v>
      </c>
      <c r="D215" s="1" t="n">
        <f aca="false">Transactions!J215</f>
        <v>2</v>
      </c>
      <c r="E215" s="1" t="n">
        <f aca="false">Transactions!D215</f>
        <v>8.4</v>
      </c>
      <c r="F215" s="1" t="str">
        <f aca="false">Transactions!H215</f>
        <v>ATM</v>
      </c>
      <c r="G215" s="1" t="str">
        <f aca="false">Transactions!G215</f>
        <v>Dining</v>
      </c>
      <c r="H215" s="1" t="n">
        <f aca="false">IF(COUNTIFS($B$2:$B$1489,B215,$C$2:$C$1489,C215,$D$2:$D$1489,D215)&gt;6,1,0)</f>
        <v>0</v>
      </c>
      <c r="I215" s="1" t="n">
        <f aca="false">IF(AND(F215="Wire",E215&gt;=1000,MOD(E215,1000)=0),1,0)</f>
        <v>0</v>
      </c>
      <c r="J215" s="1" t="n">
        <f aca="false">IF(AND(F215="ATM",E215&gt;2000,D215&lt;=4),1,0)</f>
        <v>0</v>
      </c>
      <c r="K215" s="1" t="n">
        <f aca="false">IF(COUNTIF('SQL Findings'!$A$4:$A$18,B215)&gt;0,1,0)</f>
        <v>0</v>
      </c>
      <c r="L215" s="1" t="n">
        <f aca="false">SUM(H215:K215)</f>
        <v>0</v>
      </c>
      <c r="M215" s="1" t="str">
        <f aca="false">IF(L215&gt;=2,"High",IF(L215=1,"Medium","Low"))</f>
        <v>Low</v>
      </c>
    </row>
    <row r="216" customFormat="false" ht="15" hidden="false" customHeight="true" outlineLevel="0" collapsed="false">
      <c r="A216" s="1" t="str">
        <f aca="false">Transactions!A216</f>
        <v>TXN500953</v>
      </c>
      <c r="B216" s="1" t="str">
        <f aca="false">Transactions!B216</f>
        <v>ACC1041</v>
      </c>
      <c r="C216" s="1" t="str">
        <f aca="false">Transactions!I216</f>
        <v>2026-01-15</v>
      </c>
      <c r="D216" s="1" t="n">
        <f aca="false">Transactions!J216</f>
        <v>6</v>
      </c>
      <c r="E216" s="1" t="n">
        <f aca="false">Transactions!D216</f>
        <v>21.62</v>
      </c>
      <c r="F216" s="1" t="str">
        <f aca="false">Transactions!H216</f>
        <v>ATM</v>
      </c>
      <c r="G216" s="1" t="str">
        <f aca="false">Transactions!G216</f>
        <v>Retail</v>
      </c>
      <c r="H216" s="1" t="n">
        <f aca="false">IF(COUNTIFS($B$2:$B$1489,B216,$C$2:$C$1489,C216,$D$2:$D$1489,D216)&gt;6,1,0)</f>
        <v>0</v>
      </c>
      <c r="I216" s="1" t="n">
        <f aca="false">IF(AND(F216="Wire",E216&gt;=1000,MOD(E216,1000)=0),1,0)</f>
        <v>0</v>
      </c>
      <c r="J216" s="1" t="n">
        <f aca="false">IF(AND(F216="ATM",E216&gt;2000,D216&lt;=4),1,0)</f>
        <v>0</v>
      </c>
      <c r="K216" s="1" t="n">
        <f aca="false">IF(COUNTIF('SQL Findings'!$A$4:$A$18,B216)&gt;0,1,0)</f>
        <v>1</v>
      </c>
      <c r="L216" s="1" t="n">
        <f aca="false">SUM(H216:K216)</f>
        <v>1</v>
      </c>
      <c r="M216" s="1" t="str">
        <f aca="false">IF(L216&gt;=2,"High",IF(L216=1,"Medium","Low"))</f>
        <v>Medium</v>
      </c>
    </row>
    <row r="217" customFormat="false" ht="15" hidden="false" customHeight="true" outlineLevel="0" collapsed="false">
      <c r="A217" s="1" t="str">
        <f aca="false">Transactions!A217</f>
        <v>TXN501468</v>
      </c>
      <c r="B217" s="1" t="str">
        <f aca="false">Transactions!B217</f>
        <v>ACC1048</v>
      </c>
      <c r="C217" s="1" t="str">
        <f aca="false">Transactions!I217</f>
        <v>2026-01-15</v>
      </c>
      <c r="D217" s="1" t="n">
        <f aca="false">Transactions!J217</f>
        <v>10</v>
      </c>
      <c r="E217" s="1" t="n">
        <f aca="false">Transactions!D217</f>
        <v>2000</v>
      </c>
      <c r="F217" s="1" t="str">
        <f aca="false">Transactions!H217</f>
        <v>Wire</v>
      </c>
      <c r="G217" s="1" t="str">
        <f aca="false">Transactions!G217</f>
        <v>Wire Transfer</v>
      </c>
      <c r="H217" s="1" t="n">
        <f aca="false">IF(COUNTIFS($B$2:$B$1489,B217,$C$2:$C$1489,C217,$D$2:$D$1489,D217)&gt;6,1,0)</f>
        <v>0</v>
      </c>
      <c r="I217" s="1" t="n">
        <f aca="false">IF(AND(F217="Wire",E217&gt;=1000,MOD(E217,1000)=0),1,0)</f>
        <v>1</v>
      </c>
      <c r="J217" s="1" t="n">
        <f aca="false">IF(AND(F217="ATM",E217&gt;2000,D217&lt;=4),1,0)</f>
        <v>0</v>
      </c>
      <c r="K217" s="1" t="n">
        <f aca="false">IF(COUNTIF('SQL Findings'!$A$4:$A$18,B217)&gt;0,1,0)</f>
        <v>0</v>
      </c>
      <c r="L217" s="1" t="n">
        <f aca="false">SUM(H217:K217)</f>
        <v>1</v>
      </c>
      <c r="M217" s="1" t="str">
        <f aca="false">IF(L217&gt;=2,"High",IF(L217=1,"Medium","Low"))</f>
        <v>Medium</v>
      </c>
    </row>
    <row r="218" customFormat="false" ht="15" hidden="false" customHeight="true" outlineLevel="0" collapsed="false">
      <c r="A218" s="1" t="str">
        <f aca="false">Transactions!A218</f>
        <v>TXN500291</v>
      </c>
      <c r="B218" s="1" t="str">
        <f aca="false">Transactions!B218</f>
        <v>ACC1012</v>
      </c>
      <c r="C218" s="1" t="str">
        <f aca="false">Transactions!I218</f>
        <v>2026-01-15</v>
      </c>
      <c r="D218" s="1" t="n">
        <f aca="false">Transactions!J218</f>
        <v>10</v>
      </c>
      <c r="E218" s="1" t="n">
        <f aca="false">Transactions!D218</f>
        <v>55.3</v>
      </c>
      <c r="F218" s="1" t="str">
        <f aca="false">Transactions!H218</f>
        <v>ATM</v>
      </c>
      <c r="G218" s="1" t="str">
        <f aca="false">Transactions!G218</f>
        <v>Travel</v>
      </c>
      <c r="H218" s="1" t="n">
        <f aca="false">IF(COUNTIFS($B$2:$B$1489,B218,$C$2:$C$1489,C218,$D$2:$D$1489,D218)&gt;6,1,0)</f>
        <v>0</v>
      </c>
      <c r="I218" s="1" t="n">
        <f aca="false">IF(AND(F218="Wire",E218&gt;=1000,MOD(E218,1000)=0),1,0)</f>
        <v>0</v>
      </c>
      <c r="J218" s="1" t="n">
        <f aca="false">IF(AND(F218="ATM",E218&gt;2000,D218&lt;=4),1,0)</f>
        <v>0</v>
      </c>
      <c r="K218" s="1" t="n">
        <f aca="false">IF(COUNTIF('SQL Findings'!$A$4:$A$18,B218)&gt;0,1,0)</f>
        <v>0</v>
      </c>
      <c r="L218" s="1" t="n">
        <f aca="false">SUM(H218:K218)</f>
        <v>0</v>
      </c>
      <c r="M218" s="1" t="str">
        <f aca="false">IF(L218&gt;=2,"High",IF(L218=1,"Medium","Low"))</f>
        <v>Low</v>
      </c>
    </row>
    <row r="219" customFormat="false" ht="15" hidden="false" customHeight="true" outlineLevel="0" collapsed="false">
      <c r="A219" s="1" t="str">
        <f aca="false">Transactions!A219</f>
        <v>TXN500164</v>
      </c>
      <c r="B219" s="1" t="str">
        <f aca="false">Transactions!B219</f>
        <v>ACC1007</v>
      </c>
      <c r="C219" s="1" t="str">
        <f aca="false">Transactions!I219</f>
        <v>2026-01-15</v>
      </c>
      <c r="D219" s="1" t="n">
        <f aca="false">Transactions!J219</f>
        <v>12</v>
      </c>
      <c r="E219" s="1" t="n">
        <f aca="false">Transactions!D219</f>
        <v>31.86</v>
      </c>
      <c r="F219" s="1" t="str">
        <f aca="false">Transactions!H219</f>
        <v>Online</v>
      </c>
      <c r="G219" s="1" t="str">
        <f aca="false">Transactions!G219</f>
        <v>Travel</v>
      </c>
      <c r="H219" s="1" t="n">
        <f aca="false">IF(COUNTIFS($B$2:$B$1489,B219,$C$2:$C$1489,C219,$D$2:$D$1489,D219)&gt;6,1,0)</f>
        <v>0</v>
      </c>
      <c r="I219" s="1" t="n">
        <f aca="false">IF(AND(F219="Wire",E219&gt;=1000,MOD(E219,1000)=0),1,0)</f>
        <v>0</v>
      </c>
      <c r="J219" s="1" t="n">
        <f aca="false">IF(AND(F219="ATM",E219&gt;2000,D219&lt;=4),1,0)</f>
        <v>0</v>
      </c>
      <c r="K219" s="1" t="n">
        <f aca="false">IF(COUNTIF('SQL Findings'!$A$4:$A$18,B219)&gt;0,1,0)</f>
        <v>0</v>
      </c>
      <c r="L219" s="1" t="n">
        <f aca="false">SUM(H219:K219)</f>
        <v>0</v>
      </c>
      <c r="M219" s="1" t="str">
        <f aca="false">IF(L219&gt;=2,"High",IF(L219=1,"Medium","Low"))</f>
        <v>Low</v>
      </c>
    </row>
    <row r="220" customFormat="false" ht="15" hidden="false" customHeight="true" outlineLevel="0" collapsed="false">
      <c r="A220" s="1" t="str">
        <f aca="false">Transactions!A220</f>
        <v>TXN501345</v>
      </c>
      <c r="B220" s="1" t="str">
        <f aca="false">Transactions!B220</f>
        <v>ACC1058</v>
      </c>
      <c r="C220" s="1" t="str">
        <f aca="false">Transactions!I220</f>
        <v>2026-01-15</v>
      </c>
      <c r="D220" s="1" t="n">
        <f aca="false">Transactions!J220</f>
        <v>13</v>
      </c>
      <c r="E220" s="1" t="n">
        <f aca="false">Transactions!D220</f>
        <v>156.74</v>
      </c>
      <c r="F220" s="1" t="str">
        <f aca="false">Transactions!H220</f>
        <v>ATM</v>
      </c>
      <c r="G220" s="1" t="str">
        <f aca="false">Transactions!G220</f>
        <v>Travel</v>
      </c>
      <c r="H220" s="1" t="n">
        <f aca="false">IF(COUNTIFS($B$2:$B$1489,B220,$C$2:$C$1489,C220,$D$2:$D$1489,D220)&gt;6,1,0)</f>
        <v>0</v>
      </c>
      <c r="I220" s="1" t="n">
        <f aca="false">IF(AND(F220="Wire",E220&gt;=1000,MOD(E220,1000)=0),1,0)</f>
        <v>0</v>
      </c>
      <c r="J220" s="1" t="n">
        <f aca="false">IF(AND(F220="ATM",E220&gt;2000,D220&lt;=4),1,0)</f>
        <v>0</v>
      </c>
      <c r="K220" s="1" t="n">
        <f aca="false">IF(COUNTIF('SQL Findings'!$A$4:$A$18,B220)&gt;0,1,0)</f>
        <v>0</v>
      </c>
      <c r="L220" s="1" t="n">
        <f aca="false">SUM(H220:K220)</f>
        <v>0</v>
      </c>
      <c r="M220" s="1" t="str">
        <f aca="false">IF(L220&gt;=2,"High",IF(L220=1,"Medium","Low"))</f>
        <v>Low</v>
      </c>
    </row>
    <row r="221" customFormat="false" ht="15" hidden="false" customHeight="true" outlineLevel="0" collapsed="false">
      <c r="A221" s="1" t="str">
        <f aca="false">Transactions!A221</f>
        <v>TXN500248</v>
      </c>
      <c r="B221" s="1" t="str">
        <f aca="false">Transactions!B221</f>
        <v>ACC1010</v>
      </c>
      <c r="C221" s="1" t="str">
        <f aca="false">Transactions!I221</f>
        <v>2026-01-15</v>
      </c>
      <c r="D221" s="1" t="n">
        <f aca="false">Transactions!J221</f>
        <v>14</v>
      </c>
      <c r="E221" s="1" t="n">
        <f aca="false">Transactions!D221</f>
        <v>37.04</v>
      </c>
      <c r="F221" s="1" t="str">
        <f aca="false">Transactions!H221</f>
        <v>POS</v>
      </c>
      <c r="G221" s="1" t="str">
        <f aca="false">Transactions!G221</f>
        <v>Travel</v>
      </c>
      <c r="H221" s="1" t="n">
        <f aca="false">IF(COUNTIFS($B$2:$B$1489,B221,$C$2:$C$1489,C221,$D$2:$D$1489,D221)&gt;6,1,0)</f>
        <v>0</v>
      </c>
      <c r="I221" s="1" t="n">
        <f aca="false">IF(AND(F221="Wire",E221&gt;=1000,MOD(E221,1000)=0),1,0)</f>
        <v>0</v>
      </c>
      <c r="J221" s="1" t="n">
        <f aca="false">IF(AND(F221="ATM",E221&gt;2000,D221&lt;=4),1,0)</f>
        <v>0</v>
      </c>
      <c r="K221" s="1" t="n">
        <f aca="false">IF(COUNTIF('SQL Findings'!$A$4:$A$18,B221)&gt;0,1,0)</f>
        <v>0</v>
      </c>
      <c r="L221" s="1" t="n">
        <f aca="false">SUM(H221:K221)</f>
        <v>0</v>
      </c>
      <c r="M221" s="1" t="str">
        <f aca="false">IF(L221&gt;=2,"High",IF(L221=1,"Medium","Low"))</f>
        <v>Low</v>
      </c>
    </row>
    <row r="222" customFormat="false" ht="15" hidden="false" customHeight="true" outlineLevel="0" collapsed="false">
      <c r="A222" s="1" t="str">
        <f aca="false">Transactions!A222</f>
        <v>TXN501260</v>
      </c>
      <c r="B222" s="1" t="str">
        <f aca="false">Transactions!B222</f>
        <v>ACC1055</v>
      </c>
      <c r="C222" s="1" t="str">
        <f aca="false">Transactions!I222</f>
        <v>2026-01-15</v>
      </c>
      <c r="D222" s="1" t="n">
        <f aca="false">Transactions!J222</f>
        <v>14</v>
      </c>
      <c r="E222" s="1" t="n">
        <f aca="false">Transactions!D222</f>
        <v>63.42</v>
      </c>
      <c r="F222" s="1" t="str">
        <f aca="false">Transactions!H222</f>
        <v>ATM</v>
      </c>
      <c r="G222" s="1" t="str">
        <f aca="false">Transactions!G222</f>
        <v>Wire Transfer</v>
      </c>
      <c r="H222" s="1" t="n">
        <f aca="false">IF(COUNTIFS($B$2:$B$1489,B222,$C$2:$C$1489,C222,$D$2:$D$1489,D222)&gt;6,1,0)</f>
        <v>0</v>
      </c>
      <c r="I222" s="1" t="n">
        <f aca="false">IF(AND(F222="Wire",E222&gt;=1000,MOD(E222,1000)=0),1,0)</f>
        <v>0</v>
      </c>
      <c r="J222" s="1" t="n">
        <f aca="false">IF(AND(F222="ATM",E222&gt;2000,D222&lt;=4),1,0)</f>
        <v>0</v>
      </c>
      <c r="K222" s="1" t="n">
        <f aca="false">IF(COUNTIF('SQL Findings'!$A$4:$A$18,B222)&gt;0,1,0)</f>
        <v>1</v>
      </c>
      <c r="L222" s="1" t="n">
        <f aca="false">SUM(H222:K222)</f>
        <v>1</v>
      </c>
      <c r="M222" s="1" t="str">
        <f aca="false">IF(L222&gt;=2,"High",IF(L222=1,"Medium","Low"))</f>
        <v>Medium</v>
      </c>
    </row>
    <row r="223" customFormat="false" ht="15" hidden="false" customHeight="true" outlineLevel="0" collapsed="false">
      <c r="A223" s="1" t="str">
        <f aca="false">Transactions!A223</f>
        <v>TXN500927</v>
      </c>
      <c r="B223" s="1" t="str">
        <f aca="false">Transactions!B223</f>
        <v>ACC1040</v>
      </c>
      <c r="C223" s="1" t="str">
        <f aca="false">Transactions!I223</f>
        <v>2026-01-15</v>
      </c>
      <c r="D223" s="1" t="n">
        <f aca="false">Transactions!J223</f>
        <v>14</v>
      </c>
      <c r="E223" s="1" t="n">
        <f aca="false">Transactions!D223</f>
        <v>40.32</v>
      </c>
      <c r="F223" s="1" t="str">
        <f aca="false">Transactions!H223</f>
        <v>ATM</v>
      </c>
      <c r="G223" s="1" t="str">
        <f aca="false">Transactions!G223</f>
        <v>Dining</v>
      </c>
      <c r="H223" s="1" t="n">
        <f aca="false">IF(COUNTIFS($B$2:$B$1489,B223,$C$2:$C$1489,C223,$D$2:$D$1489,D223)&gt;6,1,0)</f>
        <v>0</v>
      </c>
      <c r="I223" s="1" t="n">
        <f aca="false">IF(AND(F223="Wire",E223&gt;=1000,MOD(E223,1000)=0),1,0)</f>
        <v>0</v>
      </c>
      <c r="J223" s="1" t="n">
        <f aca="false">IF(AND(F223="ATM",E223&gt;2000,D223&lt;=4),1,0)</f>
        <v>0</v>
      </c>
      <c r="K223" s="1" t="n">
        <f aca="false">IF(COUNTIF('SQL Findings'!$A$4:$A$18,B223)&gt;0,1,0)</f>
        <v>1</v>
      </c>
      <c r="L223" s="1" t="n">
        <f aca="false">SUM(H223:K223)</f>
        <v>1</v>
      </c>
      <c r="M223" s="1" t="str">
        <f aca="false">IF(L223&gt;=2,"High",IF(L223=1,"Medium","Low"))</f>
        <v>Medium</v>
      </c>
    </row>
    <row r="224" customFormat="false" ht="15" hidden="false" customHeight="true" outlineLevel="0" collapsed="false">
      <c r="A224" s="1" t="str">
        <f aca="false">Transactions!A224</f>
        <v>TXN500015</v>
      </c>
      <c r="B224" s="1" t="str">
        <f aca="false">Transactions!B224</f>
        <v>ACC1000</v>
      </c>
      <c r="C224" s="1" t="str">
        <f aca="false">Transactions!I224</f>
        <v>2026-01-15</v>
      </c>
      <c r="D224" s="1" t="n">
        <f aca="false">Transactions!J224</f>
        <v>14</v>
      </c>
      <c r="E224" s="1" t="n">
        <f aca="false">Transactions!D224</f>
        <v>14.12</v>
      </c>
      <c r="F224" s="1" t="str">
        <f aca="false">Transactions!H224</f>
        <v>ATM</v>
      </c>
      <c r="G224" s="1" t="str">
        <f aca="false">Transactions!G224</f>
        <v>Utilities</v>
      </c>
      <c r="H224" s="1" t="n">
        <f aca="false">IF(COUNTIFS($B$2:$B$1489,B224,$C$2:$C$1489,C224,$D$2:$D$1489,D224)&gt;6,1,0)</f>
        <v>0</v>
      </c>
      <c r="I224" s="1" t="n">
        <f aca="false">IF(AND(F224="Wire",E224&gt;=1000,MOD(E224,1000)=0),1,0)</f>
        <v>0</v>
      </c>
      <c r="J224" s="1" t="n">
        <f aca="false">IF(AND(F224="ATM",E224&gt;2000,D224&lt;=4),1,0)</f>
        <v>0</v>
      </c>
      <c r="K224" s="1" t="n">
        <f aca="false">IF(COUNTIF('SQL Findings'!$A$4:$A$18,B224)&gt;0,1,0)</f>
        <v>1</v>
      </c>
      <c r="L224" s="1" t="n">
        <f aca="false">SUM(H224:K224)</f>
        <v>1</v>
      </c>
      <c r="M224" s="1" t="str">
        <f aca="false">IF(L224&gt;=2,"High",IF(L224=1,"Medium","Low"))</f>
        <v>Medium</v>
      </c>
    </row>
    <row r="225" customFormat="false" ht="15" hidden="false" customHeight="true" outlineLevel="0" collapsed="false">
      <c r="A225" s="1" t="str">
        <f aca="false">Transactions!A225</f>
        <v>TXN501100</v>
      </c>
      <c r="B225" s="1" t="str">
        <f aca="false">Transactions!B225</f>
        <v>ACC1048</v>
      </c>
      <c r="C225" s="1" t="str">
        <f aca="false">Transactions!I225</f>
        <v>2026-01-15</v>
      </c>
      <c r="D225" s="1" t="n">
        <f aca="false">Transactions!J225</f>
        <v>14</v>
      </c>
      <c r="E225" s="1" t="n">
        <f aca="false">Transactions!D225</f>
        <v>91.09</v>
      </c>
      <c r="F225" s="1" t="str">
        <f aca="false">Transactions!H225</f>
        <v>Online</v>
      </c>
      <c r="G225" s="1" t="str">
        <f aca="false">Transactions!G225</f>
        <v>Online Marketplace</v>
      </c>
      <c r="H225" s="1" t="n">
        <f aca="false">IF(COUNTIFS($B$2:$B$1489,B225,$C$2:$C$1489,C225,$D$2:$D$1489,D225)&gt;6,1,0)</f>
        <v>0</v>
      </c>
      <c r="I225" s="1" t="n">
        <f aca="false">IF(AND(F225="Wire",E225&gt;=1000,MOD(E225,1000)=0),1,0)</f>
        <v>0</v>
      </c>
      <c r="J225" s="1" t="n">
        <f aca="false">IF(AND(F225="ATM",E225&gt;2000,D225&lt;=4),1,0)</f>
        <v>0</v>
      </c>
      <c r="K225" s="1" t="n">
        <f aca="false">IF(COUNTIF('SQL Findings'!$A$4:$A$18,B225)&gt;0,1,0)</f>
        <v>0</v>
      </c>
      <c r="L225" s="1" t="n">
        <f aca="false">SUM(H225:K225)</f>
        <v>0</v>
      </c>
      <c r="M225" s="1" t="str">
        <f aca="false">IF(L225&gt;=2,"High",IF(L225=1,"Medium","Low"))</f>
        <v>Low</v>
      </c>
    </row>
    <row r="226" customFormat="false" ht="15" hidden="false" customHeight="true" outlineLevel="0" collapsed="false">
      <c r="A226" s="1" t="str">
        <f aca="false">Transactions!A226</f>
        <v>TXN500251</v>
      </c>
      <c r="B226" s="1" t="str">
        <f aca="false">Transactions!B226</f>
        <v>ACC1010</v>
      </c>
      <c r="C226" s="1" t="str">
        <f aca="false">Transactions!I226</f>
        <v>2026-01-15</v>
      </c>
      <c r="D226" s="1" t="n">
        <f aca="false">Transactions!J226</f>
        <v>15</v>
      </c>
      <c r="E226" s="1" t="n">
        <f aca="false">Transactions!D226</f>
        <v>21.44</v>
      </c>
      <c r="F226" s="1" t="str">
        <f aca="false">Transactions!H226</f>
        <v>Online</v>
      </c>
      <c r="G226" s="1" t="str">
        <f aca="false">Transactions!G226</f>
        <v>Online Marketplace</v>
      </c>
      <c r="H226" s="1" t="n">
        <f aca="false">IF(COUNTIFS($B$2:$B$1489,B226,$C$2:$C$1489,C226,$D$2:$D$1489,D226)&gt;6,1,0)</f>
        <v>0</v>
      </c>
      <c r="I226" s="1" t="n">
        <f aca="false">IF(AND(F226="Wire",E226&gt;=1000,MOD(E226,1000)=0),1,0)</f>
        <v>0</v>
      </c>
      <c r="J226" s="1" t="n">
        <f aca="false">IF(AND(F226="ATM",E226&gt;2000,D226&lt;=4),1,0)</f>
        <v>0</v>
      </c>
      <c r="K226" s="1" t="n">
        <f aca="false">IF(COUNTIF('SQL Findings'!$A$4:$A$18,B226)&gt;0,1,0)</f>
        <v>0</v>
      </c>
      <c r="L226" s="1" t="n">
        <f aca="false">SUM(H226:K226)</f>
        <v>0</v>
      </c>
      <c r="M226" s="1" t="str">
        <f aca="false">IF(L226&gt;=2,"High",IF(L226=1,"Medium","Low"))</f>
        <v>Low</v>
      </c>
    </row>
    <row r="227" customFormat="false" ht="15" hidden="false" customHeight="true" outlineLevel="0" collapsed="false">
      <c r="A227" s="1" t="str">
        <f aca="false">Transactions!A227</f>
        <v>TXN501034</v>
      </c>
      <c r="B227" s="1" t="str">
        <f aca="false">Transactions!B227</f>
        <v>ACC1045</v>
      </c>
      <c r="C227" s="1" t="str">
        <f aca="false">Transactions!I227</f>
        <v>2026-01-15</v>
      </c>
      <c r="D227" s="1" t="n">
        <f aca="false">Transactions!J227</f>
        <v>16</v>
      </c>
      <c r="E227" s="1" t="n">
        <f aca="false">Transactions!D227</f>
        <v>119.4</v>
      </c>
      <c r="F227" s="1" t="str">
        <f aca="false">Transactions!H227</f>
        <v>ATM</v>
      </c>
      <c r="G227" s="1" t="str">
        <f aca="false">Transactions!G227</f>
        <v>Utilities</v>
      </c>
      <c r="H227" s="1" t="n">
        <f aca="false">IF(COUNTIFS($B$2:$B$1489,B227,$C$2:$C$1489,C227,$D$2:$D$1489,D227)&gt;6,1,0)</f>
        <v>0</v>
      </c>
      <c r="I227" s="1" t="n">
        <f aca="false">IF(AND(F227="Wire",E227&gt;=1000,MOD(E227,1000)=0),1,0)</f>
        <v>0</v>
      </c>
      <c r="J227" s="1" t="n">
        <f aca="false">IF(AND(F227="ATM",E227&gt;2000,D227&lt;=4),1,0)</f>
        <v>0</v>
      </c>
      <c r="K227" s="1" t="n">
        <f aca="false">IF(COUNTIF('SQL Findings'!$A$4:$A$18,B227)&gt;0,1,0)</f>
        <v>0</v>
      </c>
      <c r="L227" s="1" t="n">
        <f aca="false">SUM(H227:K227)</f>
        <v>0</v>
      </c>
      <c r="M227" s="1" t="str">
        <f aca="false">IF(L227&gt;=2,"High",IF(L227=1,"Medium","Low"))</f>
        <v>Low</v>
      </c>
    </row>
    <row r="228" customFormat="false" ht="15" hidden="false" customHeight="true" outlineLevel="0" collapsed="false">
      <c r="A228" s="1" t="str">
        <f aca="false">Transactions!A228</f>
        <v>TXN500902</v>
      </c>
      <c r="B228" s="1" t="str">
        <f aca="false">Transactions!B228</f>
        <v>ACC1039</v>
      </c>
      <c r="C228" s="1" t="str">
        <f aca="false">Transactions!I228</f>
        <v>2026-01-15</v>
      </c>
      <c r="D228" s="1" t="n">
        <f aca="false">Transactions!J228</f>
        <v>16</v>
      </c>
      <c r="E228" s="1" t="n">
        <f aca="false">Transactions!D228</f>
        <v>46.81</v>
      </c>
      <c r="F228" s="1" t="str">
        <f aca="false">Transactions!H228</f>
        <v>ATM</v>
      </c>
      <c r="G228" s="1" t="str">
        <f aca="false">Transactions!G228</f>
        <v>Online Marketplace</v>
      </c>
      <c r="H228" s="1" t="n">
        <f aca="false">IF(COUNTIFS($B$2:$B$1489,B228,$C$2:$C$1489,C228,$D$2:$D$1489,D228)&gt;6,1,0)</f>
        <v>0</v>
      </c>
      <c r="I228" s="1" t="n">
        <f aca="false">IF(AND(F228="Wire",E228&gt;=1000,MOD(E228,1000)=0),1,0)</f>
        <v>0</v>
      </c>
      <c r="J228" s="1" t="n">
        <f aca="false">IF(AND(F228="ATM",E228&gt;2000,D228&lt;=4),1,0)</f>
        <v>0</v>
      </c>
      <c r="K228" s="1" t="n">
        <f aca="false">IF(COUNTIF('SQL Findings'!$A$4:$A$18,B228)&gt;0,1,0)</f>
        <v>0</v>
      </c>
      <c r="L228" s="1" t="n">
        <f aca="false">SUM(H228:K228)</f>
        <v>0</v>
      </c>
      <c r="M228" s="1" t="str">
        <f aca="false">IF(L228&gt;=2,"High",IF(L228=1,"Medium","Low"))</f>
        <v>Low</v>
      </c>
    </row>
    <row r="229" customFormat="false" ht="15" hidden="false" customHeight="true" outlineLevel="0" collapsed="false">
      <c r="A229" s="1" t="str">
        <f aca="false">Transactions!A229</f>
        <v>TXN500344</v>
      </c>
      <c r="B229" s="1" t="str">
        <f aca="false">Transactions!B229</f>
        <v>ACC1015</v>
      </c>
      <c r="C229" s="1" t="str">
        <f aca="false">Transactions!I229</f>
        <v>2026-01-15</v>
      </c>
      <c r="D229" s="1" t="n">
        <f aca="false">Transactions!J229</f>
        <v>17</v>
      </c>
      <c r="E229" s="1" t="n">
        <f aca="false">Transactions!D229</f>
        <v>42.26</v>
      </c>
      <c r="F229" s="1" t="str">
        <f aca="false">Transactions!H229</f>
        <v>ATM</v>
      </c>
      <c r="G229" s="1" t="str">
        <f aca="false">Transactions!G229</f>
        <v>Retail</v>
      </c>
      <c r="H229" s="1" t="n">
        <f aca="false">IF(COUNTIFS($B$2:$B$1489,B229,$C$2:$C$1489,C229,$D$2:$D$1489,D229)&gt;6,1,0)</f>
        <v>0</v>
      </c>
      <c r="I229" s="1" t="n">
        <f aca="false">IF(AND(F229="Wire",E229&gt;=1000,MOD(E229,1000)=0),1,0)</f>
        <v>0</v>
      </c>
      <c r="J229" s="1" t="n">
        <f aca="false">IF(AND(F229="ATM",E229&gt;2000,D229&lt;=4),1,0)</f>
        <v>0</v>
      </c>
      <c r="K229" s="1" t="n">
        <f aca="false">IF(COUNTIF('SQL Findings'!$A$4:$A$18,B229)&gt;0,1,0)</f>
        <v>1</v>
      </c>
      <c r="L229" s="1" t="n">
        <f aca="false">SUM(H229:K229)</f>
        <v>1</v>
      </c>
      <c r="M229" s="1" t="str">
        <f aca="false">IF(L229&gt;=2,"High",IF(L229=1,"Medium","Low"))</f>
        <v>Medium</v>
      </c>
    </row>
    <row r="230" customFormat="false" ht="15" hidden="false" customHeight="true" outlineLevel="0" collapsed="false">
      <c r="A230" s="1" t="str">
        <f aca="false">Transactions!A230</f>
        <v>TXN500582</v>
      </c>
      <c r="B230" s="1" t="str">
        <f aca="false">Transactions!B230</f>
        <v>ACC1025</v>
      </c>
      <c r="C230" s="1" t="str">
        <f aca="false">Transactions!I230</f>
        <v>2026-01-15</v>
      </c>
      <c r="D230" s="1" t="n">
        <f aca="false">Transactions!J230</f>
        <v>17</v>
      </c>
      <c r="E230" s="1" t="n">
        <f aca="false">Transactions!D230</f>
        <v>45.89</v>
      </c>
      <c r="F230" s="1" t="str">
        <f aca="false">Transactions!H230</f>
        <v>Online</v>
      </c>
      <c r="G230" s="1" t="str">
        <f aca="false">Transactions!G230</f>
        <v>Travel</v>
      </c>
      <c r="H230" s="1" t="n">
        <f aca="false">IF(COUNTIFS($B$2:$B$1489,B230,$C$2:$C$1489,C230,$D$2:$D$1489,D230)&gt;6,1,0)</f>
        <v>0</v>
      </c>
      <c r="I230" s="1" t="n">
        <f aca="false">IF(AND(F230="Wire",E230&gt;=1000,MOD(E230,1000)=0),1,0)</f>
        <v>0</v>
      </c>
      <c r="J230" s="1" t="n">
        <f aca="false">IF(AND(F230="ATM",E230&gt;2000,D230&lt;=4),1,0)</f>
        <v>0</v>
      </c>
      <c r="K230" s="1" t="n">
        <f aca="false">IF(COUNTIF('SQL Findings'!$A$4:$A$18,B230)&gt;0,1,0)</f>
        <v>0</v>
      </c>
      <c r="L230" s="1" t="n">
        <f aca="false">SUM(H230:K230)</f>
        <v>0</v>
      </c>
      <c r="M230" s="1" t="str">
        <f aca="false">IF(L230&gt;=2,"High",IF(L230=1,"Medium","Low"))</f>
        <v>Low</v>
      </c>
    </row>
    <row r="231" customFormat="false" ht="15" hidden="false" customHeight="true" outlineLevel="0" collapsed="false">
      <c r="A231" s="1" t="str">
        <f aca="false">Transactions!A231</f>
        <v>TXN500078</v>
      </c>
      <c r="B231" s="1" t="str">
        <f aca="false">Transactions!B231</f>
        <v>ACC1003</v>
      </c>
      <c r="C231" s="1" t="str">
        <f aca="false">Transactions!I231</f>
        <v>2026-01-15</v>
      </c>
      <c r="D231" s="1" t="n">
        <f aca="false">Transactions!J231</f>
        <v>18</v>
      </c>
      <c r="E231" s="1" t="n">
        <f aca="false">Transactions!D231</f>
        <v>50.95</v>
      </c>
      <c r="F231" s="1" t="str">
        <f aca="false">Transactions!H231</f>
        <v>ATM</v>
      </c>
      <c r="G231" s="1" t="str">
        <f aca="false">Transactions!G231</f>
        <v>Travel</v>
      </c>
      <c r="H231" s="1" t="n">
        <f aca="false">IF(COUNTIFS($B$2:$B$1489,B231,$C$2:$C$1489,C231,$D$2:$D$1489,D231)&gt;6,1,0)</f>
        <v>0</v>
      </c>
      <c r="I231" s="1" t="n">
        <f aca="false">IF(AND(F231="Wire",E231&gt;=1000,MOD(E231,1000)=0),1,0)</f>
        <v>0</v>
      </c>
      <c r="J231" s="1" t="n">
        <f aca="false">IF(AND(F231="ATM",E231&gt;2000,D231&lt;=4),1,0)</f>
        <v>0</v>
      </c>
      <c r="K231" s="1" t="n">
        <f aca="false">IF(COUNTIF('SQL Findings'!$A$4:$A$18,B231)&gt;0,1,0)</f>
        <v>0</v>
      </c>
      <c r="L231" s="1" t="n">
        <f aca="false">SUM(H231:K231)</f>
        <v>0</v>
      </c>
      <c r="M231" s="1" t="str">
        <f aca="false">IF(L231&gt;=2,"High",IF(L231=1,"Medium","Low"))</f>
        <v>Low</v>
      </c>
    </row>
    <row r="232" customFormat="false" ht="15" hidden="false" customHeight="true" outlineLevel="0" collapsed="false">
      <c r="A232" s="1" t="str">
        <f aca="false">Transactions!A232</f>
        <v>TXN500568</v>
      </c>
      <c r="B232" s="1" t="str">
        <f aca="false">Transactions!B232</f>
        <v>ACC1025</v>
      </c>
      <c r="C232" s="1" t="str">
        <f aca="false">Transactions!I232</f>
        <v>2026-01-15</v>
      </c>
      <c r="D232" s="1" t="n">
        <f aca="false">Transactions!J232</f>
        <v>20</v>
      </c>
      <c r="E232" s="1" t="n">
        <f aca="false">Transactions!D232</f>
        <v>26.92</v>
      </c>
      <c r="F232" s="1" t="str">
        <f aca="false">Transactions!H232</f>
        <v>ATM</v>
      </c>
      <c r="G232" s="1" t="str">
        <f aca="false">Transactions!G232</f>
        <v>Travel</v>
      </c>
      <c r="H232" s="1" t="n">
        <f aca="false">IF(COUNTIFS($B$2:$B$1489,B232,$C$2:$C$1489,C232,$D$2:$D$1489,D232)&gt;6,1,0)</f>
        <v>0</v>
      </c>
      <c r="I232" s="1" t="n">
        <f aca="false">IF(AND(F232="Wire",E232&gt;=1000,MOD(E232,1000)=0),1,0)</f>
        <v>0</v>
      </c>
      <c r="J232" s="1" t="n">
        <f aca="false">IF(AND(F232="ATM",E232&gt;2000,D232&lt;=4),1,0)</f>
        <v>0</v>
      </c>
      <c r="K232" s="1" t="n">
        <f aca="false">IF(COUNTIF('SQL Findings'!$A$4:$A$18,B232)&gt;0,1,0)</f>
        <v>0</v>
      </c>
      <c r="L232" s="1" t="n">
        <f aca="false">SUM(H232:K232)</f>
        <v>0</v>
      </c>
      <c r="M232" s="1" t="str">
        <f aca="false">IF(L232&gt;=2,"High",IF(L232=1,"Medium","Low"))</f>
        <v>Low</v>
      </c>
    </row>
    <row r="233" customFormat="false" ht="15" hidden="false" customHeight="true" outlineLevel="0" collapsed="false">
      <c r="A233" s="1" t="str">
        <f aca="false">Transactions!A233</f>
        <v>TXN500704</v>
      </c>
      <c r="B233" s="1" t="str">
        <f aca="false">Transactions!B233</f>
        <v>ACC1030</v>
      </c>
      <c r="C233" s="1" t="str">
        <f aca="false">Transactions!I233</f>
        <v>2026-01-16</v>
      </c>
      <c r="D233" s="1" t="n">
        <f aca="false">Transactions!J233</f>
        <v>0</v>
      </c>
      <c r="E233" s="1" t="n">
        <f aca="false">Transactions!D233</f>
        <v>18.77</v>
      </c>
      <c r="F233" s="1" t="str">
        <f aca="false">Transactions!H233</f>
        <v>POS</v>
      </c>
      <c r="G233" s="1" t="str">
        <f aca="false">Transactions!G233</f>
        <v>Dining</v>
      </c>
      <c r="H233" s="1" t="n">
        <f aca="false">IF(COUNTIFS($B$2:$B$1489,B233,$C$2:$C$1489,C233,$D$2:$D$1489,D233)&gt;6,1,0)</f>
        <v>0</v>
      </c>
      <c r="I233" s="1" t="n">
        <f aca="false">IF(AND(F233="Wire",E233&gt;=1000,MOD(E233,1000)=0),1,0)</f>
        <v>0</v>
      </c>
      <c r="J233" s="1" t="n">
        <f aca="false">IF(AND(F233="ATM",E233&gt;2000,D233&lt;=4),1,0)</f>
        <v>0</v>
      </c>
      <c r="K233" s="1" t="n">
        <f aca="false">IF(COUNTIF('SQL Findings'!$A$4:$A$18,B233)&gt;0,1,0)</f>
        <v>1</v>
      </c>
      <c r="L233" s="1" t="n">
        <f aca="false">SUM(H233:K233)</f>
        <v>1</v>
      </c>
      <c r="M233" s="1" t="str">
        <f aca="false">IF(L233&gt;=2,"High",IF(L233=1,"Medium","Low"))</f>
        <v>Medium</v>
      </c>
    </row>
    <row r="234" customFormat="false" ht="15" hidden="false" customHeight="true" outlineLevel="0" collapsed="false">
      <c r="A234" s="1" t="str">
        <f aca="false">Transactions!A234</f>
        <v>TXN501230</v>
      </c>
      <c r="B234" s="1" t="str">
        <f aca="false">Transactions!B234</f>
        <v>ACC1054</v>
      </c>
      <c r="C234" s="1" t="str">
        <f aca="false">Transactions!I234</f>
        <v>2026-01-16</v>
      </c>
      <c r="D234" s="1" t="n">
        <f aca="false">Transactions!J234</f>
        <v>4</v>
      </c>
      <c r="E234" s="1" t="n">
        <f aca="false">Transactions!D234</f>
        <v>487.59</v>
      </c>
      <c r="F234" s="1" t="str">
        <f aca="false">Transactions!H234</f>
        <v>ATM</v>
      </c>
      <c r="G234" s="1" t="str">
        <f aca="false">Transactions!G234</f>
        <v>Online Marketplace</v>
      </c>
      <c r="H234" s="1" t="n">
        <f aca="false">IF(COUNTIFS($B$2:$B$1489,B234,$C$2:$C$1489,C234,$D$2:$D$1489,D234)&gt;6,1,0)</f>
        <v>0</v>
      </c>
      <c r="I234" s="1" t="n">
        <f aca="false">IF(AND(F234="Wire",E234&gt;=1000,MOD(E234,1000)=0),1,0)</f>
        <v>0</v>
      </c>
      <c r="J234" s="1" t="n">
        <f aca="false">IF(AND(F234="ATM",E234&gt;2000,D234&lt;=4),1,0)</f>
        <v>0</v>
      </c>
      <c r="K234" s="1" t="n">
        <f aca="false">IF(COUNTIF('SQL Findings'!$A$4:$A$18,B234)&gt;0,1,0)</f>
        <v>0</v>
      </c>
      <c r="L234" s="1" t="n">
        <f aca="false">SUM(H234:K234)</f>
        <v>0</v>
      </c>
      <c r="M234" s="1" t="str">
        <f aca="false">IF(L234&gt;=2,"High",IF(L234=1,"Medium","Low"))</f>
        <v>Low</v>
      </c>
    </row>
    <row r="235" customFormat="false" ht="15" hidden="false" customHeight="true" outlineLevel="0" collapsed="false">
      <c r="A235" s="1" t="str">
        <f aca="false">Transactions!A235</f>
        <v>TXN500266</v>
      </c>
      <c r="B235" s="1" t="str">
        <f aca="false">Transactions!B235</f>
        <v>ACC1011</v>
      </c>
      <c r="C235" s="1" t="str">
        <f aca="false">Transactions!I235</f>
        <v>2026-01-16</v>
      </c>
      <c r="D235" s="1" t="n">
        <f aca="false">Transactions!J235</f>
        <v>10</v>
      </c>
      <c r="E235" s="1" t="n">
        <f aca="false">Transactions!D235</f>
        <v>21.69</v>
      </c>
      <c r="F235" s="1" t="str">
        <f aca="false">Transactions!H235</f>
        <v>ATM</v>
      </c>
      <c r="G235" s="1" t="str">
        <f aca="false">Transactions!G235</f>
        <v>Wire Transfer</v>
      </c>
      <c r="H235" s="1" t="n">
        <f aca="false">IF(COUNTIFS($B$2:$B$1489,B235,$C$2:$C$1489,C235,$D$2:$D$1489,D235)&gt;6,1,0)</f>
        <v>0</v>
      </c>
      <c r="I235" s="1" t="n">
        <f aca="false">IF(AND(F235="Wire",E235&gt;=1000,MOD(E235,1000)=0),1,0)</f>
        <v>0</v>
      </c>
      <c r="J235" s="1" t="n">
        <f aca="false">IF(AND(F235="ATM",E235&gt;2000,D235&lt;=4),1,0)</f>
        <v>0</v>
      </c>
      <c r="K235" s="1" t="n">
        <f aca="false">IF(COUNTIF('SQL Findings'!$A$4:$A$18,B235)&gt;0,1,0)</f>
        <v>0</v>
      </c>
      <c r="L235" s="1" t="n">
        <f aca="false">SUM(H235:K235)</f>
        <v>0</v>
      </c>
      <c r="M235" s="1" t="str">
        <f aca="false">IF(L235&gt;=2,"High",IF(L235=1,"Medium","Low"))</f>
        <v>Low</v>
      </c>
    </row>
    <row r="236" customFormat="false" ht="15" hidden="false" customHeight="true" outlineLevel="0" collapsed="false">
      <c r="A236" s="1" t="str">
        <f aca="false">Transactions!A236</f>
        <v>TXN500155</v>
      </c>
      <c r="B236" s="1" t="str">
        <f aca="false">Transactions!B236</f>
        <v>ACC1006</v>
      </c>
      <c r="C236" s="1" t="str">
        <f aca="false">Transactions!I236</f>
        <v>2026-01-16</v>
      </c>
      <c r="D236" s="1" t="n">
        <f aca="false">Transactions!J236</f>
        <v>12</v>
      </c>
      <c r="E236" s="1" t="n">
        <f aca="false">Transactions!D236</f>
        <v>86.81</v>
      </c>
      <c r="F236" s="1" t="str">
        <f aca="false">Transactions!H236</f>
        <v>ATM</v>
      </c>
      <c r="G236" s="1" t="str">
        <f aca="false">Transactions!G236</f>
        <v>Dining</v>
      </c>
      <c r="H236" s="1" t="n">
        <f aca="false">IF(COUNTIFS($B$2:$B$1489,B236,$C$2:$C$1489,C236,$D$2:$D$1489,D236)&gt;6,1,0)</f>
        <v>0</v>
      </c>
      <c r="I236" s="1" t="n">
        <f aca="false">IF(AND(F236="Wire",E236&gt;=1000,MOD(E236,1000)=0),1,0)</f>
        <v>0</v>
      </c>
      <c r="J236" s="1" t="n">
        <f aca="false">IF(AND(F236="ATM",E236&gt;2000,D236&lt;=4),1,0)</f>
        <v>0</v>
      </c>
      <c r="K236" s="1" t="n">
        <f aca="false">IF(COUNTIF('SQL Findings'!$A$4:$A$18,B236)&gt;0,1,0)</f>
        <v>0</v>
      </c>
      <c r="L236" s="1" t="n">
        <f aca="false">SUM(H236:K236)</f>
        <v>0</v>
      </c>
      <c r="M236" s="1" t="str">
        <f aca="false">IF(L236&gt;=2,"High",IF(L236=1,"Medium","Low"))</f>
        <v>Low</v>
      </c>
    </row>
    <row r="237" customFormat="false" ht="15" hidden="false" customHeight="true" outlineLevel="0" collapsed="false">
      <c r="A237" s="1" t="str">
        <f aca="false">Transactions!A237</f>
        <v>TXN500843</v>
      </c>
      <c r="B237" s="1" t="str">
        <f aca="false">Transactions!B237</f>
        <v>ACC1036</v>
      </c>
      <c r="C237" s="1" t="str">
        <f aca="false">Transactions!I237</f>
        <v>2026-01-16</v>
      </c>
      <c r="D237" s="1" t="n">
        <f aca="false">Transactions!J237</f>
        <v>12</v>
      </c>
      <c r="E237" s="1" t="n">
        <f aca="false">Transactions!D237</f>
        <v>24.28</v>
      </c>
      <c r="F237" s="1" t="str">
        <f aca="false">Transactions!H237</f>
        <v>POS</v>
      </c>
      <c r="G237" s="1" t="str">
        <f aca="false">Transactions!G237</f>
        <v>Travel</v>
      </c>
      <c r="H237" s="1" t="n">
        <f aca="false">IF(COUNTIFS($B$2:$B$1489,B237,$C$2:$C$1489,C237,$D$2:$D$1489,D237)&gt;6,1,0)</f>
        <v>0</v>
      </c>
      <c r="I237" s="1" t="n">
        <f aca="false">IF(AND(F237="Wire",E237&gt;=1000,MOD(E237,1000)=0),1,0)</f>
        <v>0</v>
      </c>
      <c r="J237" s="1" t="n">
        <f aca="false">IF(AND(F237="ATM",E237&gt;2000,D237&lt;=4),1,0)</f>
        <v>0</v>
      </c>
      <c r="K237" s="1" t="n">
        <f aca="false">IF(COUNTIF('SQL Findings'!$A$4:$A$18,B237)&gt;0,1,0)</f>
        <v>0</v>
      </c>
      <c r="L237" s="1" t="n">
        <f aca="false">SUM(H237:K237)</f>
        <v>0</v>
      </c>
      <c r="M237" s="1" t="str">
        <f aca="false">IF(L237&gt;=2,"High",IF(L237=1,"Medium","Low"))</f>
        <v>Low</v>
      </c>
    </row>
    <row r="238" customFormat="false" ht="15" hidden="false" customHeight="true" outlineLevel="0" collapsed="false">
      <c r="A238" s="1" t="str">
        <f aca="false">Transactions!A238</f>
        <v>TXN500697</v>
      </c>
      <c r="B238" s="1" t="str">
        <f aca="false">Transactions!B238</f>
        <v>ACC1030</v>
      </c>
      <c r="C238" s="1" t="str">
        <f aca="false">Transactions!I238</f>
        <v>2026-01-16</v>
      </c>
      <c r="D238" s="1" t="n">
        <f aca="false">Transactions!J238</f>
        <v>12</v>
      </c>
      <c r="E238" s="1" t="n">
        <f aca="false">Transactions!D238</f>
        <v>89.44</v>
      </c>
      <c r="F238" s="1" t="str">
        <f aca="false">Transactions!H238</f>
        <v>Online</v>
      </c>
      <c r="G238" s="1" t="str">
        <f aca="false">Transactions!G238</f>
        <v>Dining</v>
      </c>
      <c r="H238" s="1" t="n">
        <f aca="false">IF(COUNTIFS($B$2:$B$1489,B238,$C$2:$C$1489,C238,$D$2:$D$1489,D238)&gt;6,1,0)</f>
        <v>0</v>
      </c>
      <c r="I238" s="1" t="n">
        <f aca="false">IF(AND(F238="Wire",E238&gt;=1000,MOD(E238,1000)=0),1,0)</f>
        <v>0</v>
      </c>
      <c r="J238" s="1" t="n">
        <f aca="false">IF(AND(F238="ATM",E238&gt;2000,D238&lt;=4),1,0)</f>
        <v>0</v>
      </c>
      <c r="K238" s="1" t="n">
        <f aca="false">IF(COUNTIF('SQL Findings'!$A$4:$A$18,B238)&gt;0,1,0)</f>
        <v>1</v>
      </c>
      <c r="L238" s="1" t="n">
        <f aca="false">SUM(H238:K238)</f>
        <v>1</v>
      </c>
      <c r="M238" s="1" t="str">
        <f aca="false">IF(L238&gt;=2,"High",IF(L238=1,"Medium","Low"))</f>
        <v>Medium</v>
      </c>
    </row>
    <row r="239" customFormat="false" ht="15" hidden="false" customHeight="true" outlineLevel="0" collapsed="false">
      <c r="A239" s="1" t="str">
        <f aca="false">Transactions!A239</f>
        <v>TXN500439</v>
      </c>
      <c r="B239" s="1" t="str">
        <f aca="false">Transactions!B239</f>
        <v>ACC1019</v>
      </c>
      <c r="C239" s="1" t="str">
        <f aca="false">Transactions!I239</f>
        <v>2026-01-16</v>
      </c>
      <c r="D239" s="1" t="n">
        <f aca="false">Transactions!J239</f>
        <v>13</v>
      </c>
      <c r="E239" s="1" t="n">
        <f aca="false">Transactions!D239</f>
        <v>14.4</v>
      </c>
      <c r="F239" s="1" t="str">
        <f aca="false">Transactions!H239</f>
        <v>Online</v>
      </c>
      <c r="G239" s="1" t="str">
        <f aca="false">Transactions!G239</f>
        <v>Wire Transfer</v>
      </c>
      <c r="H239" s="1" t="n">
        <f aca="false">IF(COUNTIFS($B$2:$B$1489,B239,$C$2:$C$1489,C239,$D$2:$D$1489,D239)&gt;6,1,0)</f>
        <v>0</v>
      </c>
      <c r="I239" s="1" t="n">
        <f aca="false">IF(AND(F239="Wire",E239&gt;=1000,MOD(E239,1000)=0),1,0)</f>
        <v>0</v>
      </c>
      <c r="J239" s="1" t="n">
        <f aca="false">IF(AND(F239="ATM",E239&gt;2000,D239&lt;=4),1,0)</f>
        <v>0</v>
      </c>
      <c r="K239" s="1" t="n">
        <f aca="false">IF(COUNTIF('SQL Findings'!$A$4:$A$18,B239)&gt;0,1,0)</f>
        <v>0</v>
      </c>
      <c r="L239" s="1" t="n">
        <f aca="false">SUM(H239:K239)</f>
        <v>0</v>
      </c>
      <c r="M239" s="1" t="str">
        <f aca="false">IF(L239&gt;=2,"High",IF(L239=1,"Medium","Low"))</f>
        <v>Low</v>
      </c>
    </row>
    <row r="240" customFormat="false" ht="15" hidden="false" customHeight="true" outlineLevel="0" collapsed="false">
      <c r="A240" s="1" t="str">
        <f aca="false">Transactions!A240</f>
        <v>TXN501400</v>
      </c>
      <c r="B240" s="1" t="str">
        <f aca="false">Transactions!B240</f>
        <v>ACC1004</v>
      </c>
      <c r="C240" s="1" t="str">
        <f aca="false">Transactions!I240</f>
        <v>2026-01-16</v>
      </c>
      <c r="D240" s="1" t="n">
        <f aca="false">Transactions!J240</f>
        <v>14</v>
      </c>
      <c r="E240" s="1" t="n">
        <f aca="false">Transactions!D240</f>
        <v>141.46</v>
      </c>
      <c r="F240" s="1" t="str">
        <f aca="false">Transactions!H240</f>
        <v>Online</v>
      </c>
      <c r="G240" s="1" t="str">
        <f aca="false">Transactions!G240</f>
        <v>Online Marketplace</v>
      </c>
      <c r="H240" s="1" t="n">
        <f aca="false">IF(COUNTIFS($B$2:$B$1489,B240,$C$2:$C$1489,C240,$D$2:$D$1489,D240)&gt;6,1,0)</f>
        <v>1</v>
      </c>
      <c r="I240" s="1" t="n">
        <f aca="false">IF(AND(F240="Wire",E240&gt;=1000,MOD(E240,1000)=0),1,0)</f>
        <v>0</v>
      </c>
      <c r="J240" s="1" t="n">
        <f aca="false">IF(AND(F240="ATM",E240&gt;2000,D240&lt;=4),1,0)</f>
        <v>0</v>
      </c>
      <c r="K240" s="1" t="n">
        <f aca="false">IF(COUNTIF('SQL Findings'!$A$4:$A$18,B240)&gt;0,1,0)</f>
        <v>1</v>
      </c>
      <c r="L240" s="1" t="n">
        <f aca="false">SUM(H240:K240)</f>
        <v>2</v>
      </c>
      <c r="M240" s="1" t="str">
        <f aca="false">IF(L240&gt;=2,"High",IF(L240=1,"Medium","Low"))</f>
        <v>High</v>
      </c>
    </row>
    <row r="241" customFormat="false" ht="15" hidden="false" customHeight="true" outlineLevel="0" collapsed="false">
      <c r="A241" s="1" t="str">
        <f aca="false">Transactions!A241</f>
        <v>TXN501401</v>
      </c>
      <c r="B241" s="1" t="str">
        <f aca="false">Transactions!B241</f>
        <v>ACC1004</v>
      </c>
      <c r="C241" s="1" t="str">
        <f aca="false">Transactions!I241</f>
        <v>2026-01-16</v>
      </c>
      <c r="D241" s="1" t="n">
        <f aca="false">Transactions!J241</f>
        <v>14</v>
      </c>
      <c r="E241" s="1" t="n">
        <f aca="false">Transactions!D241</f>
        <v>499.69</v>
      </c>
      <c r="F241" s="1" t="str">
        <f aca="false">Transactions!H241</f>
        <v>Online</v>
      </c>
      <c r="G241" s="1" t="str">
        <f aca="false">Transactions!G241</f>
        <v>Online Marketplace</v>
      </c>
      <c r="H241" s="1" t="n">
        <f aca="false">IF(COUNTIFS($B$2:$B$1489,B241,$C$2:$C$1489,C241,$D$2:$D$1489,D241)&gt;6,1,0)</f>
        <v>1</v>
      </c>
      <c r="I241" s="1" t="n">
        <f aca="false">IF(AND(F241="Wire",E241&gt;=1000,MOD(E241,1000)=0),1,0)</f>
        <v>0</v>
      </c>
      <c r="J241" s="1" t="n">
        <f aca="false">IF(AND(F241="ATM",E241&gt;2000,D241&lt;=4),1,0)</f>
        <v>0</v>
      </c>
      <c r="K241" s="1" t="n">
        <f aca="false">IF(COUNTIF('SQL Findings'!$A$4:$A$18,B241)&gt;0,1,0)</f>
        <v>1</v>
      </c>
      <c r="L241" s="1" t="n">
        <f aca="false">SUM(H241:K241)</f>
        <v>2</v>
      </c>
      <c r="M241" s="1" t="str">
        <f aca="false">IF(L241&gt;=2,"High",IF(L241=1,"Medium","Low"))</f>
        <v>High</v>
      </c>
    </row>
    <row r="242" customFormat="false" ht="15" hidden="false" customHeight="true" outlineLevel="0" collapsed="false">
      <c r="A242" s="1" t="str">
        <f aca="false">Transactions!A242</f>
        <v>TXN500185</v>
      </c>
      <c r="B242" s="1" t="str">
        <f aca="false">Transactions!B242</f>
        <v>ACC1007</v>
      </c>
      <c r="C242" s="1" t="str">
        <f aca="false">Transactions!I242</f>
        <v>2026-01-16</v>
      </c>
      <c r="D242" s="1" t="n">
        <f aca="false">Transactions!J242</f>
        <v>14</v>
      </c>
      <c r="E242" s="1" t="n">
        <f aca="false">Transactions!D242</f>
        <v>54.54</v>
      </c>
      <c r="F242" s="1" t="str">
        <f aca="false">Transactions!H242</f>
        <v>ATM</v>
      </c>
      <c r="G242" s="1" t="str">
        <f aca="false">Transactions!G242</f>
        <v>Online Marketplace</v>
      </c>
      <c r="H242" s="1" t="n">
        <f aca="false">IF(COUNTIFS($B$2:$B$1489,B242,$C$2:$C$1489,C242,$D$2:$D$1489,D242)&gt;6,1,0)</f>
        <v>0</v>
      </c>
      <c r="I242" s="1" t="n">
        <f aca="false">IF(AND(F242="Wire",E242&gt;=1000,MOD(E242,1000)=0),1,0)</f>
        <v>0</v>
      </c>
      <c r="J242" s="1" t="n">
        <f aca="false">IF(AND(F242="ATM",E242&gt;2000,D242&lt;=4),1,0)</f>
        <v>0</v>
      </c>
      <c r="K242" s="1" t="n">
        <f aca="false">IF(COUNTIF('SQL Findings'!$A$4:$A$18,B242)&gt;0,1,0)</f>
        <v>0</v>
      </c>
      <c r="L242" s="1" t="n">
        <f aca="false">SUM(H242:K242)</f>
        <v>0</v>
      </c>
      <c r="M242" s="1" t="str">
        <f aca="false">IF(L242&gt;=2,"High",IF(L242=1,"Medium","Low"))</f>
        <v>Low</v>
      </c>
    </row>
    <row r="243" customFormat="false" ht="15" hidden="false" customHeight="true" outlineLevel="0" collapsed="false">
      <c r="A243" s="1" t="str">
        <f aca="false">Transactions!A243</f>
        <v>TXN501402</v>
      </c>
      <c r="B243" s="1" t="str">
        <f aca="false">Transactions!B243</f>
        <v>ACC1004</v>
      </c>
      <c r="C243" s="1" t="str">
        <f aca="false">Transactions!I243</f>
        <v>2026-01-16</v>
      </c>
      <c r="D243" s="1" t="n">
        <f aca="false">Transactions!J243</f>
        <v>14</v>
      </c>
      <c r="E243" s="1" t="n">
        <f aca="false">Transactions!D243</f>
        <v>427</v>
      </c>
      <c r="F243" s="1" t="str">
        <f aca="false">Transactions!H243</f>
        <v>Online</v>
      </c>
      <c r="G243" s="1" t="str">
        <f aca="false">Transactions!G243</f>
        <v>Online Marketplace</v>
      </c>
      <c r="H243" s="1" t="n">
        <f aca="false">IF(COUNTIFS($B$2:$B$1489,B243,$C$2:$C$1489,C243,$D$2:$D$1489,D243)&gt;6,1,0)</f>
        <v>1</v>
      </c>
      <c r="I243" s="1" t="n">
        <f aca="false">IF(AND(F243="Wire",E243&gt;=1000,MOD(E243,1000)=0),1,0)</f>
        <v>0</v>
      </c>
      <c r="J243" s="1" t="n">
        <f aca="false">IF(AND(F243="ATM",E243&gt;2000,D243&lt;=4),1,0)</f>
        <v>0</v>
      </c>
      <c r="K243" s="1" t="n">
        <f aca="false">IF(COUNTIF('SQL Findings'!$A$4:$A$18,B243)&gt;0,1,0)</f>
        <v>1</v>
      </c>
      <c r="L243" s="1" t="n">
        <f aca="false">SUM(H243:K243)</f>
        <v>2</v>
      </c>
      <c r="M243" s="1" t="str">
        <f aca="false">IF(L243&gt;=2,"High",IF(L243=1,"Medium","Low"))</f>
        <v>High</v>
      </c>
    </row>
    <row r="244" customFormat="false" ht="15" hidden="false" customHeight="true" outlineLevel="0" collapsed="false">
      <c r="A244" s="1" t="str">
        <f aca="false">Transactions!A244</f>
        <v>TXN501403</v>
      </c>
      <c r="B244" s="1" t="str">
        <f aca="false">Transactions!B244</f>
        <v>ACC1004</v>
      </c>
      <c r="C244" s="1" t="str">
        <f aca="false">Transactions!I244</f>
        <v>2026-01-16</v>
      </c>
      <c r="D244" s="1" t="n">
        <f aca="false">Transactions!J244</f>
        <v>14</v>
      </c>
      <c r="E244" s="1" t="n">
        <f aca="false">Transactions!D244</f>
        <v>318.35</v>
      </c>
      <c r="F244" s="1" t="str">
        <f aca="false">Transactions!H244</f>
        <v>Online</v>
      </c>
      <c r="G244" s="1" t="str">
        <f aca="false">Transactions!G244</f>
        <v>Online Marketplace</v>
      </c>
      <c r="H244" s="1" t="n">
        <f aca="false">IF(COUNTIFS($B$2:$B$1489,B244,$C$2:$C$1489,C244,$D$2:$D$1489,D244)&gt;6,1,0)</f>
        <v>1</v>
      </c>
      <c r="I244" s="1" t="n">
        <f aca="false">IF(AND(F244="Wire",E244&gt;=1000,MOD(E244,1000)=0),1,0)</f>
        <v>0</v>
      </c>
      <c r="J244" s="1" t="n">
        <f aca="false">IF(AND(F244="ATM",E244&gt;2000,D244&lt;=4),1,0)</f>
        <v>0</v>
      </c>
      <c r="K244" s="1" t="n">
        <f aca="false">IF(COUNTIF('SQL Findings'!$A$4:$A$18,B244)&gt;0,1,0)</f>
        <v>1</v>
      </c>
      <c r="L244" s="1" t="n">
        <f aca="false">SUM(H244:K244)</f>
        <v>2</v>
      </c>
      <c r="M244" s="1" t="str">
        <f aca="false">IF(L244&gt;=2,"High",IF(L244=1,"Medium","Low"))</f>
        <v>High</v>
      </c>
    </row>
    <row r="245" customFormat="false" ht="15" hidden="false" customHeight="true" outlineLevel="0" collapsed="false">
      <c r="A245" s="1" t="str">
        <f aca="false">Transactions!A245</f>
        <v>TXN500794</v>
      </c>
      <c r="B245" s="1" t="str">
        <f aca="false">Transactions!B245</f>
        <v>ACC1034</v>
      </c>
      <c r="C245" s="1" t="str">
        <f aca="false">Transactions!I245</f>
        <v>2026-01-16</v>
      </c>
      <c r="D245" s="1" t="n">
        <f aca="false">Transactions!J245</f>
        <v>14</v>
      </c>
      <c r="E245" s="1" t="n">
        <f aca="false">Transactions!D245</f>
        <v>21.13</v>
      </c>
      <c r="F245" s="1" t="str">
        <f aca="false">Transactions!H245</f>
        <v>Online</v>
      </c>
      <c r="G245" s="1" t="str">
        <f aca="false">Transactions!G245</f>
        <v>Cash Withdrawal</v>
      </c>
      <c r="H245" s="1" t="n">
        <f aca="false">IF(COUNTIFS($B$2:$B$1489,B245,$C$2:$C$1489,C245,$D$2:$D$1489,D245)&gt;6,1,0)</f>
        <v>0</v>
      </c>
      <c r="I245" s="1" t="n">
        <f aca="false">IF(AND(F245="Wire",E245&gt;=1000,MOD(E245,1000)=0),1,0)</f>
        <v>0</v>
      </c>
      <c r="J245" s="1" t="n">
        <f aca="false">IF(AND(F245="ATM",E245&gt;2000,D245&lt;=4),1,0)</f>
        <v>0</v>
      </c>
      <c r="K245" s="1" t="n">
        <f aca="false">IF(COUNTIF('SQL Findings'!$A$4:$A$18,B245)&gt;0,1,0)</f>
        <v>0</v>
      </c>
      <c r="L245" s="1" t="n">
        <f aca="false">SUM(H245:K245)</f>
        <v>0</v>
      </c>
      <c r="M245" s="1" t="str">
        <f aca="false">IF(L245&gt;=2,"High",IF(L245=1,"Medium","Low"))</f>
        <v>Low</v>
      </c>
    </row>
    <row r="246" customFormat="false" ht="15" hidden="false" customHeight="true" outlineLevel="0" collapsed="false">
      <c r="A246" s="1" t="str">
        <f aca="false">Transactions!A246</f>
        <v>TXN500466</v>
      </c>
      <c r="B246" s="1" t="str">
        <f aca="false">Transactions!B246</f>
        <v>ACC1021</v>
      </c>
      <c r="C246" s="1" t="str">
        <f aca="false">Transactions!I246</f>
        <v>2026-01-16</v>
      </c>
      <c r="D246" s="1" t="n">
        <f aca="false">Transactions!J246</f>
        <v>14</v>
      </c>
      <c r="E246" s="1" t="n">
        <f aca="false">Transactions!D246</f>
        <v>54.66</v>
      </c>
      <c r="F246" s="1" t="str">
        <f aca="false">Transactions!H246</f>
        <v>ATM</v>
      </c>
      <c r="G246" s="1" t="str">
        <f aca="false">Transactions!G246</f>
        <v>Cash Withdrawal</v>
      </c>
      <c r="H246" s="1" t="n">
        <f aca="false">IF(COUNTIFS($B$2:$B$1489,B246,$C$2:$C$1489,C246,$D$2:$D$1489,D246)&gt;6,1,0)</f>
        <v>0</v>
      </c>
      <c r="I246" s="1" t="n">
        <f aca="false">IF(AND(F246="Wire",E246&gt;=1000,MOD(E246,1000)=0),1,0)</f>
        <v>0</v>
      </c>
      <c r="J246" s="1" t="n">
        <f aca="false">IF(AND(F246="ATM",E246&gt;2000,D246&lt;=4),1,0)</f>
        <v>0</v>
      </c>
      <c r="K246" s="1" t="n">
        <f aca="false">IF(COUNTIF('SQL Findings'!$A$4:$A$18,B246)&gt;0,1,0)</f>
        <v>0</v>
      </c>
      <c r="L246" s="1" t="n">
        <f aca="false">SUM(H246:K246)</f>
        <v>0</v>
      </c>
      <c r="M246" s="1" t="str">
        <f aca="false">IF(L246&gt;=2,"High",IF(L246=1,"Medium","Low"))</f>
        <v>Low</v>
      </c>
    </row>
    <row r="247" customFormat="false" ht="15" hidden="false" customHeight="true" outlineLevel="0" collapsed="false">
      <c r="A247" s="1" t="str">
        <f aca="false">Transactions!A247</f>
        <v>TXN501404</v>
      </c>
      <c r="B247" s="1" t="str">
        <f aca="false">Transactions!B247</f>
        <v>ACC1004</v>
      </c>
      <c r="C247" s="1" t="str">
        <f aca="false">Transactions!I247</f>
        <v>2026-01-16</v>
      </c>
      <c r="D247" s="1" t="n">
        <f aca="false">Transactions!J247</f>
        <v>14</v>
      </c>
      <c r="E247" s="1" t="n">
        <f aca="false">Transactions!D247</f>
        <v>432.6</v>
      </c>
      <c r="F247" s="1" t="str">
        <f aca="false">Transactions!H247</f>
        <v>Online</v>
      </c>
      <c r="G247" s="1" t="str">
        <f aca="false">Transactions!G247</f>
        <v>Online Marketplace</v>
      </c>
      <c r="H247" s="1" t="n">
        <f aca="false">IF(COUNTIFS($B$2:$B$1489,B247,$C$2:$C$1489,C247,$D$2:$D$1489,D247)&gt;6,1,0)</f>
        <v>1</v>
      </c>
      <c r="I247" s="1" t="n">
        <f aca="false">IF(AND(F247="Wire",E247&gt;=1000,MOD(E247,1000)=0),1,0)</f>
        <v>0</v>
      </c>
      <c r="J247" s="1" t="n">
        <f aca="false">IF(AND(F247="ATM",E247&gt;2000,D247&lt;=4),1,0)</f>
        <v>0</v>
      </c>
      <c r="K247" s="1" t="n">
        <f aca="false">IF(COUNTIF('SQL Findings'!$A$4:$A$18,B247)&gt;0,1,0)</f>
        <v>1</v>
      </c>
      <c r="L247" s="1" t="n">
        <f aca="false">SUM(H247:K247)</f>
        <v>2</v>
      </c>
      <c r="M247" s="1" t="str">
        <f aca="false">IF(L247&gt;=2,"High",IF(L247=1,"Medium","Low"))</f>
        <v>High</v>
      </c>
    </row>
    <row r="248" customFormat="false" ht="15" hidden="false" customHeight="true" outlineLevel="0" collapsed="false">
      <c r="A248" s="1" t="str">
        <f aca="false">Transactions!A248</f>
        <v>TXN501405</v>
      </c>
      <c r="B248" s="1" t="str">
        <f aca="false">Transactions!B248</f>
        <v>ACC1004</v>
      </c>
      <c r="C248" s="1" t="str">
        <f aca="false">Transactions!I248</f>
        <v>2026-01-16</v>
      </c>
      <c r="D248" s="1" t="n">
        <f aca="false">Transactions!J248</f>
        <v>14</v>
      </c>
      <c r="E248" s="1" t="n">
        <f aca="false">Transactions!D248</f>
        <v>534.61</v>
      </c>
      <c r="F248" s="1" t="str">
        <f aca="false">Transactions!H248</f>
        <v>Online</v>
      </c>
      <c r="G248" s="1" t="str">
        <f aca="false">Transactions!G248</f>
        <v>Online Marketplace</v>
      </c>
      <c r="H248" s="1" t="n">
        <f aca="false">IF(COUNTIFS($B$2:$B$1489,B248,$C$2:$C$1489,C248,$D$2:$D$1489,D248)&gt;6,1,0)</f>
        <v>1</v>
      </c>
      <c r="I248" s="1" t="n">
        <f aca="false">IF(AND(F248="Wire",E248&gt;=1000,MOD(E248,1000)=0),1,0)</f>
        <v>0</v>
      </c>
      <c r="J248" s="1" t="n">
        <f aca="false">IF(AND(F248="ATM",E248&gt;2000,D248&lt;=4),1,0)</f>
        <v>0</v>
      </c>
      <c r="K248" s="1" t="n">
        <f aca="false">IF(COUNTIF('SQL Findings'!$A$4:$A$18,B248)&gt;0,1,0)</f>
        <v>1</v>
      </c>
      <c r="L248" s="1" t="n">
        <f aca="false">SUM(H248:K248)</f>
        <v>2</v>
      </c>
      <c r="M248" s="1" t="str">
        <f aca="false">IF(L248&gt;=2,"High",IF(L248=1,"Medium","Low"))</f>
        <v>High</v>
      </c>
    </row>
    <row r="249" customFormat="false" ht="15" hidden="false" customHeight="true" outlineLevel="0" collapsed="false">
      <c r="A249" s="1" t="str">
        <f aca="false">Transactions!A249</f>
        <v>TXN501406</v>
      </c>
      <c r="B249" s="1" t="str">
        <f aca="false">Transactions!B249</f>
        <v>ACC1004</v>
      </c>
      <c r="C249" s="1" t="str">
        <f aca="false">Transactions!I249</f>
        <v>2026-01-16</v>
      </c>
      <c r="D249" s="1" t="n">
        <f aca="false">Transactions!J249</f>
        <v>14</v>
      </c>
      <c r="E249" s="1" t="n">
        <f aca="false">Transactions!D249</f>
        <v>157.46</v>
      </c>
      <c r="F249" s="1" t="str">
        <f aca="false">Transactions!H249</f>
        <v>Online</v>
      </c>
      <c r="G249" s="1" t="str">
        <f aca="false">Transactions!G249</f>
        <v>Online Marketplace</v>
      </c>
      <c r="H249" s="1" t="n">
        <f aca="false">IF(COUNTIFS($B$2:$B$1489,B249,$C$2:$C$1489,C249,$D$2:$D$1489,D249)&gt;6,1,0)</f>
        <v>1</v>
      </c>
      <c r="I249" s="1" t="n">
        <f aca="false">IF(AND(F249="Wire",E249&gt;=1000,MOD(E249,1000)=0),1,0)</f>
        <v>0</v>
      </c>
      <c r="J249" s="1" t="n">
        <f aca="false">IF(AND(F249="ATM",E249&gt;2000,D249&lt;=4),1,0)</f>
        <v>0</v>
      </c>
      <c r="K249" s="1" t="n">
        <f aca="false">IF(COUNTIF('SQL Findings'!$A$4:$A$18,B249)&gt;0,1,0)</f>
        <v>1</v>
      </c>
      <c r="L249" s="1" t="n">
        <f aca="false">SUM(H249:K249)</f>
        <v>2</v>
      </c>
      <c r="M249" s="1" t="str">
        <f aca="false">IF(L249&gt;=2,"High",IF(L249=1,"Medium","Low"))</f>
        <v>High</v>
      </c>
    </row>
    <row r="250" customFormat="false" ht="15" hidden="false" customHeight="true" outlineLevel="0" collapsed="false">
      <c r="A250" s="1" t="str">
        <f aca="false">Transactions!A250</f>
        <v>TXN501407</v>
      </c>
      <c r="B250" s="1" t="str">
        <f aca="false">Transactions!B250</f>
        <v>ACC1004</v>
      </c>
      <c r="C250" s="1" t="str">
        <f aca="false">Transactions!I250</f>
        <v>2026-01-16</v>
      </c>
      <c r="D250" s="1" t="n">
        <f aca="false">Transactions!J250</f>
        <v>14</v>
      </c>
      <c r="E250" s="1" t="n">
        <f aca="false">Transactions!D250</f>
        <v>381.26</v>
      </c>
      <c r="F250" s="1" t="str">
        <f aca="false">Transactions!H250</f>
        <v>Online</v>
      </c>
      <c r="G250" s="1" t="str">
        <f aca="false">Transactions!G250</f>
        <v>Online Marketplace</v>
      </c>
      <c r="H250" s="1" t="n">
        <f aca="false">IF(COUNTIFS($B$2:$B$1489,B250,$C$2:$C$1489,C250,$D$2:$D$1489,D250)&gt;6,1,0)</f>
        <v>1</v>
      </c>
      <c r="I250" s="1" t="n">
        <f aca="false">IF(AND(F250="Wire",E250&gt;=1000,MOD(E250,1000)=0),1,0)</f>
        <v>0</v>
      </c>
      <c r="J250" s="1" t="n">
        <f aca="false">IF(AND(F250="ATM",E250&gt;2000,D250&lt;=4),1,0)</f>
        <v>0</v>
      </c>
      <c r="K250" s="1" t="n">
        <f aca="false">IF(COUNTIF('SQL Findings'!$A$4:$A$18,B250)&gt;0,1,0)</f>
        <v>1</v>
      </c>
      <c r="L250" s="1" t="n">
        <f aca="false">SUM(H250:K250)</f>
        <v>2</v>
      </c>
      <c r="M250" s="1" t="str">
        <f aca="false">IF(L250&gt;=2,"High",IF(L250=1,"Medium","Low"))</f>
        <v>High</v>
      </c>
    </row>
    <row r="251" customFormat="false" ht="15" hidden="false" customHeight="true" outlineLevel="0" collapsed="false">
      <c r="A251" s="1" t="str">
        <f aca="false">Transactions!A251</f>
        <v>TXN501408</v>
      </c>
      <c r="B251" s="1" t="str">
        <f aca="false">Transactions!B251</f>
        <v>ACC1004</v>
      </c>
      <c r="C251" s="1" t="str">
        <f aca="false">Transactions!I251</f>
        <v>2026-01-16</v>
      </c>
      <c r="D251" s="1" t="n">
        <f aca="false">Transactions!J251</f>
        <v>14</v>
      </c>
      <c r="E251" s="1" t="n">
        <f aca="false">Transactions!D251</f>
        <v>560.9</v>
      </c>
      <c r="F251" s="1" t="str">
        <f aca="false">Transactions!H251</f>
        <v>Online</v>
      </c>
      <c r="G251" s="1" t="str">
        <f aca="false">Transactions!G251</f>
        <v>Online Marketplace</v>
      </c>
      <c r="H251" s="1" t="n">
        <f aca="false">IF(COUNTIFS($B$2:$B$1489,B251,$C$2:$C$1489,C251,$D$2:$D$1489,D251)&gt;6,1,0)</f>
        <v>1</v>
      </c>
      <c r="I251" s="1" t="n">
        <f aca="false">IF(AND(F251="Wire",E251&gt;=1000,MOD(E251,1000)=0),1,0)</f>
        <v>0</v>
      </c>
      <c r="J251" s="1" t="n">
        <f aca="false">IF(AND(F251="ATM",E251&gt;2000,D251&lt;=4),1,0)</f>
        <v>0</v>
      </c>
      <c r="K251" s="1" t="n">
        <f aca="false">IF(COUNTIF('SQL Findings'!$A$4:$A$18,B251)&gt;0,1,0)</f>
        <v>1</v>
      </c>
      <c r="L251" s="1" t="n">
        <f aca="false">SUM(H251:K251)</f>
        <v>2</v>
      </c>
      <c r="M251" s="1" t="str">
        <f aca="false">IF(L251&gt;=2,"High",IF(L251=1,"Medium","Low"))</f>
        <v>High</v>
      </c>
    </row>
    <row r="252" customFormat="false" ht="15" hidden="false" customHeight="true" outlineLevel="0" collapsed="false">
      <c r="A252" s="1" t="str">
        <f aca="false">Transactions!A252</f>
        <v>TXN501409</v>
      </c>
      <c r="B252" s="1" t="str">
        <f aca="false">Transactions!B252</f>
        <v>ACC1004</v>
      </c>
      <c r="C252" s="1" t="str">
        <f aca="false">Transactions!I252</f>
        <v>2026-01-16</v>
      </c>
      <c r="D252" s="1" t="n">
        <f aca="false">Transactions!J252</f>
        <v>14</v>
      </c>
      <c r="E252" s="1" t="n">
        <f aca="false">Transactions!D252</f>
        <v>99.18</v>
      </c>
      <c r="F252" s="1" t="str">
        <f aca="false">Transactions!H252</f>
        <v>Online</v>
      </c>
      <c r="G252" s="1" t="str">
        <f aca="false">Transactions!G252</f>
        <v>Online Marketplace</v>
      </c>
      <c r="H252" s="1" t="n">
        <f aca="false">IF(COUNTIFS($B$2:$B$1489,B252,$C$2:$C$1489,C252,$D$2:$D$1489,D252)&gt;6,1,0)</f>
        <v>1</v>
      </c>
      <c r="I252" s="1" t="n">
        <f aca="false">IF(AND(F252="Wire",E252&gt;=1000,MOD(E252,1000)=0),1,0)</f>
        <v>0</v>
      </c>
      <c r="J252" s="1" t="n">
        <f aca="false">IF(AND(F252="ATM",E252&gt;2000,D252&lt;=4),1,0)</f>
        <v>0</v>
      </c>
      <c r="K252" s="1" t="n">
        <f aca="false">IF(COUNTIF('SQL Findings'!$A$4:$A$18,B252)&gt;0,1,0)</f>
        <v>1</v>
      </c>
      <c r="L252" s="1" t="n">
        <f aca="false">SUM(H252:K252)</f>
        <v>2</v>
      </c>
      <c r="M252" s="1" t="str">
        <f aca="false">IF(L252&gt;=2,"High",IF(L252=1,"Medium","Low"))</f>
        <v>High</v>
      </c>
    </row>
    <row r="253" customFormat="false" ht="15" hidden="false" customHeight="true" outlineLevel="0" collapsed="false">
      <c r="A253" s="1" t="str">
        <f aca="false">Transactions!A253</f>
        <v>TXN501053</v>
      </c>
      <c r="B253" s="1" t="str">
        <f aca="false">Transactions!B253</f>
        <v>ACC1045</v>
      </c>
      <c r="C253" s="1" t="str">
        <f aca="false">Transactions!I253</f>
        <v>2026-01-16</v>
      </c>
      <c r="D253" s="1" t="n">
        <f aca="false">Transactions!J253</f>
        <v>15</v>
      </c>
      <c r="E253" s="1" t="n">
        <f aca="false">Transactions!D253</f>
        <v>104.02</v>
      </c>
      <c r="F253" s="1" t="str">
        <f aca="false">Transactions!H253</f>
        <v>ATM</v>
      </c>
      <c r="G253" s="1" t="str">
        <f aca="false">Transactions!G253</f>
        <v>Cash Withdrawal</v>
      </c>
      <c r="H253" s="1" t="n">
        <f aca="false">IF(COUNTIFS($B$2:$B$1489,B253,$C$2:$C$1489,C253,$D$2:$D$1489,D253)&gt;6,1,0)</f>
        <v>0</v>
      </c>
      <c r="I253" s="1" t="n">
        <f aca="false">IF(AND(F253="Wire",E253&gt;=1000,MOD(E253,1000)=0),1,0)</f>
        <v>0</v>
      </c>
      <c r="J253" s="1" t="n">
        <f aca="false">IF(AND(F253="ATM",E253&gt;2000,D253&lt;=4),1,0)</f>
        <v>0</v>
      </c>
      <c r="K253" s="1" t="n">
        <f aca="false">IF(COUNTIF('SQL Findings'!$A$4:$A$18,B253)&gt;0,1,0)</f>
        <v>0</v>
      </c>
      <c r="L253" s="1" t="n">
        <f aca="false">SUM(H253:K253)</f>
        <v>0</v>
      </c>
      <c r="M253" s="1" t="str">
        <f aca="false">IF(L253&gt;=2,"High",IF(L253=1,"Medium","Low"))</f>
        <v>Low</v>
      </c>
    </row>
    <row r="254" customFormat="false" ht="15" hidden="false" customHeight="true" outlineLevel="0" collapsed="false">
      <c r="A254" s="1" t="str">
        <f aca="false">Transactions!A254</f>
        <v>TXN500145</v>
      </c>
      <c r="B254" s="1" t="str">
        <f aca="false">Transactions!B254</f>
        <v>ACC1006</v>
      </c>
      <c r="C254" s="1" t="str">
        <f aca="false">Transactions!I254</f>
        <v>2026-01-16</v>
      </c>
      <c r="D254" s="1" t="n">
        <f aca="false">Transactions!J254</f>
        <v>15</v>
      </c>
      <c r="E254" s="1" t="n">
        <f aca="false">Transactions!D254</f>
        <v>84.26</v>
      </c>
      <c r="F254" s="1" t="str">
        <f aca="false">Transactions!H254</f>
        <v>POS</v>
      </c>
      <c r="G254" s="1" t="str">
        <f aca="false">Transactions!G254</f>
        <v>Travel</v>
      </c>
      <c r="H254" s="1" t="n">
        <f aca="false">IF(COUNTIFS($B$2:$B$1489,B254,$C$2:$C$1489,C254,$D$2:$D$1489,D254)&gt;6,1,0)</f>
        <v>0</v>
      </c>
      <c r="I254" s="1" t="n">
        <f aca="false">IF(AND(F254="Wire",E254&gt;=1000,MOD(E254,1000)=0),1,0)</f>
        <v>0</v>
      </c>
      <c r="J254" s="1" t="n">
        <f aca="false">IF(AND(F254="ATM",E254&gt;2000,D254&lt;=4),1,0)</f>
        <v>0</v>
      </c>
      <c r="K254" s="1" t="n">
        <f aca="false">IF(COUNTIF('SQL Findings'!$A$4:$A$18,B254)&gt;0,1,0)</f>
        <v>0</v>
      </c>
      <c r="L254" s="1" t="n">
        <f aca="false">SUM(H254:K254)</f>
        <v>0</v>
      </c>
      <c r="M254" s="1" t="str">
        <f aca="false">IF(L254&gt;=2,"High",IF(L254=1,"Medium","Low"))</f>
        <v>Low</v>
      </c>
    </row>
    <row r="255" customFormat="false" ht="15" hidden="false" customHeight="true" outlineLevel="0" collapsed="false">
      <c r="A255" s="1" t="str">
        <f aca="false">Transactions!A255</f>
        <v>TXN500668</v>
      </c>
      <c r="B255" s="1" t="str">
        <f aca="false">Transactions!B255</f>
        <v>ACC1029</v>
      </c>
      <c r="C255" s="1" t="str">
        <f aca="false">Transactions!I255</f>
        <v>2026-01-16</v>
      </c>
      <c r="D255" s="1" t="n">
        <f aca="false">Transactions!J255</f>
        <v>16</v>
      </c>
      <c r="E255" s="1" t="n">
        <f aca="false">Transactions!D255</f>
        <v>258.16</v>
      </c>
      <c r="F255" s="1" t="str">
        <f aca="false">Transactions!H255</f>
        <v>Online</v>
      </c>
      <c r="G255" s="1" t="str">
        <f aca="false">Transactions!G255</f>
        <v>Cash Withdrawal</v>
      </c>
      <c r="H255" s="1" t="n">
        <f aca="false">IF(COUNTIFS($B$2:$B$1489,B255,$C$2:$C$1489,C255,$D$2:$D$1489,D255)&gt;6,1,0)</f>
        <v>0</v>
      </c>
      <c r="I255" s="1" t="n">
        <f aca="false">IF(AND(F255="Wire",E255&gt;=1000,MOD(E255,1000)=0),1,0)</f>
        <v>0</v>
      </c>
      <c r="J255" s="1" t="n">
        <f aca="false">IF(AND(F255="ATM",E255&gt;2000,D255&lt;=4),1,0)</f>
        <v>0</v>
      </c>
      <c r="K255" s="1" t="n">
        <f aca="false">IF(COUNTIF('SQL Findings'!$A$4:$A$18,B255)&gt;0,1,0)</f>
        <v>0</v>
      </c>
      <c r="L255" s="1" t="n">
        <f aca="false">SUM(H255:K255)</f>
        <v>0</v>
      </c>
      <c r="M255" s="1" t="str">
        <f aca="false">IF(L255&gt;=2,"High",IF(L255=1,"Medium","Low"))</f>
        <v>Low</v>
      </c>
    </row>
    <row r="256" customFormat="false" ht="15" hidden="false" customHeight="true" outlineLevel="0" collapsed="false">
      <c r="A256" s="1" t="str">
        <f aca="false">Transactions!A256</f>
        <v>TXN500614</v>
      </c>
      <c r="B256" s="1" t="str">
        <f aca="false">Transactions!B256</f>
        <v>ACC1027</v>
      </c>
      <c r="C256" s="1" t="str">
        <f aca="false">Transactions!I256</f>
        <v>2026-01-16</v>
      </c>
      <c r="D256" s="1" t="n">
        <f aca="false">Transactions!J256</f>
        <v>16</v>
      </c>
      <c r="E256" s="1" t="n">
        <f aca="false">Transactions!D256</f>
        <v>24.22</v>
      </c>
      <c r="F256" s="1" t="str">
        <f aca="false">Transactions!H256</f>
        <v>ATM</v>
      </c>
      <c r="G256" s="1" t="str">
        <f aca="false">Transactions!G256</f>
        <v>Dining</v>
      </c>
      <c r="H256" s="1" t="n">
        <f aca="false">IF(COUNTIFS($B$2:$B$1489,B256,$C$2:$C$1489,C256,$D$2:$D$1489,D256)&gt;6,1,0)</f>
        <v>0</v>
      </c>
      <c r="I256" s="1" t="n">
        <f aca="false">IF(AND(F256="Wire",E256&gt;=1000,MOD(E256,1000)=0),1,0)</f>
        <v>0</v>
      </c>
      <c r="J256" s="1" t="n">
        <f aca="false">IF(AND(F256="ATM",E256&gt;2000,D256&lt;=4),1,0)</f>
        <v>0</v>
      </c>
      <c r="K256" s="1" t="n">
        <f aca="false">IF(COUNTIF('SQL Findings'!$A$4:$A$18,B256)&gt;0,1,0)</f>
        <v>0</v>
      </c>
      <c r="L256" s="1" t="n">
        <f aca="false">SUM(H256:K256)</f>
        <v>0</v>
      </c>
      <c r="M256" s="1" t="str">
        <f aca="false">IF(L256&gt;=2,"High",IF(L256=1,"Medium","Low"))</f>
        <v>Low</v>
      </c>
    </row>
    <row r="257" customFormat="false" ht="15" hidden="false" customHeight="true" outlineLevel="0" collapsed="false">
      <c r="A257" s="1" t="str">
        <f aca="false">Transactions!A257</f>
        <v>TXN500048</v>
      </c>
      <c r="B257" s="1" t="str">
        <f aca="false">Transactions!B257</f>
        <v>ACC1001</v>
      </c>
      <c r="C257" s="1" t="str">
        <f aca="false">Transactions!I257</f>
        <v>2026-01-16</v>
      </c>
      <c r="D257" s="1" t="n">
        <f aca="false">Transactions!J257</f>
        <v>21</v>
      </c>
      <c r="E257" s="1" t="n">
        <f aca="false">Transactions!D257</f>
        <v>172.67</v>
      </c>
      <c r="F257" s="1" t="str">
        <f aca="false">Transactions!H257</f>
        <v>ATM</v>
      </c>
      <c r="G257" s="1" t="str">
        <f aca="false">Transactions!G257</f>
        <v>Dining</v>
      </c>
      <c r="H257" s="1" t="n">
        <f aca="false">IF(COUNTIFS($B$2:$B$1489,B257,$C$2:$C$1489,C257,$D$2:$D$1489,D257)&gt;6,1,0)</f>
        <v>0</v>
      </c>
      <c r="I257" s="1" t="n">
        <f aca="false">IF(AND(F257="Wire",E257&gt;=1000,MOD(E257,1000)=0),1,0)</f>
        <v>0</v>
      </c>
      <c r="J257" s="1" t="n">
        <f aca="false">IF(AND(F257="ATM",E257&gt;2000,D257&lt;=4),1,0)</f>
        <v>0</v>
      </c>
      <c r="K257" s="1" t="n">
        <f aca="false">IF(COUNTIF('SQL Findings'!$A$4:$A$18,B257)&gt;0,1,0)</f>
        <v>1</v>
      </c>
      <c r="L257" s="1" t="n">
        <f aca="false">SUM(H257:K257)</f>
        <v>1</v>
      </c>
      <c r="M257" s="1" t="str">
        <f aca="false">IF(L257&gt;=2,"High",IF(L257=1,"Medium","Low"))</f>
        <v>Medium</v>
      </c>
    </row>
    <row r="258" customFormat="false" ht="15" hidden="false" customHeight="true" outlineLevel="0" collapsed="false">
      <c r="A258" s="1" t="str">
        <f aca="false">Transactions!A258</f>
        <v>TXN501288</v>
      </c>
      <c r="B258" s="1" t="str">
        <f aca="false">Transactions!B258</f>
        <v>ACC1056</v>
      </c>
      <c r="C258" s="1" t="str">
        <f aca="false">Transactions!I258</f>
        <v>2026-01-17</v>
      </c>
      <c r="D258" s="1" t="n">
        <f aca="false">Transactions!J258</f>
        <v>1</v>
      </c>
      <c r="E258" s="1" t="n">
        <f aca="false">Transactions!D258</f>
        <v>105.34</v>
      </c>
      <c r="F258" s="1" t="str">
        <f aca="false">Transactions!H258</f>
        <v>POS</v>
      </c>
      <c r="G258" s="1" t="str">
        <f aca="false">Transactions!G258</f>
        <v>Retail</v>
      </c>
      <c r="H258" s="1" t="n">
        <f aca="false">IF(COUNTIFS($B$2:$B$1489,B258,$C$2:$C$1489,C258,$D$2:$D$1489,D258)&gt;6,1,0)</f>
        <v>0</v>
      </c>
      <c r="I258" s="1" t="n">
        <f aca="false">IF(AND(F258="Wire",E258&gt;=1000,MOD(E258,1000)=0),1,0)</f>
        <v>0</v>
      </c>
      <c r="J258" s="1" t="n">
        <f aca="false">IF(AND(F258="ATM",E258&gt;2000,D258&lt;=4),1,0)</f>
        <v>0</v>
      </c>
      <c r="K258" s="1" t="n">
        <f aca="false">IF(COUNTIF('SQL Findings'!$A$4:$A$18,B258)&gt;0,1,0)</f>
        <v>0</v>
      </c>
      <c r="L258" s="1" t="n">
        <f aca="false">SUM(H258:K258)</f>
        <v>0</v>
      </c>
      <c r="M258" s="1" t="str">
        <f aca="false">IF(L258&gt;=2,"High",IF(L258=1,"Medium","Low"))</f>
        <v>Low</v>
      </c>
    </row>
    <row r="259" customFormat="false" ht="15" hidden="false" customHeight="true" outlineLevel="0" collapsed="false">
      <c r="A259" s="1" t="str">
        <f aca="false">Transactions!A259</f>
        <v>TXN500771</v>
      </c>
      <c r="B259" s="1" t="str">
        <f aca="false">Transactions!B259</f>
        <v>ACC1033</v>
      </c>
      <c r="C259" s="1" t="str">
        <f aca="false">Transactions!I259</f>
        <v>2026-01-17</v>
      </c>
      <c r="D259" s="1" t="n">
        <f aca="false">Transactions!J259</f>
        <v>2</v>
      </c>
      <c r="E259" s="1" t="n">
        <f aca="false">Transactions!D259</f>
        <v>126.09</v>
      </c>
      <c r="F259" s="1" t="str">
        <f aca="false">Transactions!H259</f>
        <v>POS</v>
      </c>
      <c r="G259" s="1" t="str">
        <f aca="false">Transactions!G259</f>
        <v>Wire Transfer</v>
      </c>
      <c r="H259" s="1" t="n">
        <f aca="false">IF(COUNTIFS($B$2:$B$1489,B259,$C$2:$C$1489,C259,$D$2:$D$1489,D259)&gt;6,1,0)</f>
        <v>0</v>
      </c>
      <c r="I259" s="1" t="n">
        <f aca="false">IF(AND(F259="Wire",E259&gt;=1000,MOD(E259,1000)=0),1,0)</f>
        <v>0</v>
      </c>
      <c r="J259" s="1" t="n">
        <f aca="false">IF(AND(F259="ATM",E259&gt;2000,D259&lt;=4),1,0)</f>
        <v>0</v>
      </c>
      <c r="K259" s="1" t="n">
        <f aca="false">IF(COUNTIF('SQL Findings'!$A$4:$A$18,B259)&gt;0,1,0)</f>
        <v>0</v>
      </c>
      <c r="L259" s="1" t="n">
        <f aca="false">SUM(H259:K259)</f>
        <v>0</v>
      </c>
      <c r="M259" s="1" t="str">
        <f aca="false">IF(L259&gt;=2,"High",IF(L259=1,"Medium","Low"))</f>
        <v>Low</v>
      </c>
    </row>
    <row r="260" customFormat="false" ht="15" hidden="false" customHeight="true" outlineLevel="0" collapsed="false">
      <c r="A260" s="1" t="str">
        <f aca="false">Transactions!A260</f>
        <v>TXN500067</v>
      </c>
      <c r="B260" s="1" t="str">
        <f aca="false">Transactions!B260</f>
        <v>ACC1002</v>
      </c>
      <c r="C260" s="1" t="str">
        <f aca="false">Transactions!I260</f>
        <v>2026-01-17</v>
      </c>
      <c r="D260" s="1" t="n">
        <f aca="false">Transactions!J260</f>
        <v>2</v>
      </c>
      <c r="E260" s="1" t="n">
        <f aca="false">Transactions!D260</f>
        <v>62.5</v>
      </c>
      <c r="F260" s="1" t="str">
        <f aca="false">Transactions!H260</f>
        <v>Online</v>
      </c>
      <c r="G260" s="1" t="str">
        <f aca="false">Transactions!G260</f>
        <v>Retail</v>
      </c>
      <c r="H260" s="1" t="n">
        <f aca="false">IF(COUNTIFS($B$2:$B$1489,B260,$C$2:$C$1489,C260,$D$2:$D$1489,D260)&gt;6,1,0)</f>
        <v>0</v>
      </c>
      <c r="I260" s="1" t="n">
        <f aca="false">IF(AND(F260="Wire",E260&gt;=1000,MOD(E260,1000)=0),1,0)</f>
        <v>0</v>
      </c>
      <c r="J260" s="1" t="n">
        <f aca="false">IF(AND(F260="ATM",E260&gt;2000,D260&lt;=4),1,0)</f>
        <v>0</v>
      </c>
      <c r="K260" s="1" t="n">
        <f aca="false">IF(COUNTIF('SQL Findings'!$A$4:$A$18,B260)&gt;0,1,0)</f>
        <v>1</v>
      </c>
      <c r="L260" s="1" t="n">
        <f aca="false">SUM(H260:K260)</f>
        <v>1</v>
      </c>
      <c r="M260" s="1" t="str">
        <f aca="false">IF(L260&gt;=2,"High",IF(L260=1,"Medium","Low"))</f>
        <v>Medium</v>
      </c>
    </row>
    <row r="261" customFormat="false" ht="15" hidden="false" customHeight="true" outlineLevel="0" collapsed="false">
      <c r="A261" s="1" t="str">
        <f aca="false">Transactions!A261</f>
        <v>TXN500369</v>
      </c>
      <c r="B261" s="1" t="str">
        <f aca="false">Transactions!B261</f>
        <v>ACC1016</v>
      </c>
      <c r="C261" s="1" t="str">
        <f aca="false">Transactions!I261</f>
        <v>2026-01-17</v>
      </c>
      <c r="D261" s="1" t="n">
        <f aca="false">Transactions!J261</f>
        <v>3</v>
      </c>
      <c r="E261" s="1" t="n">
        <f aca="false">Transactions!D261</f>
        <v>72.81</v>
      </c>
      <c r="F261" s="1" t="str">
        <f aca="false">Transactions!H261</f>
        <v>Online</v>
      </c>
      <c r="G261" s="1" t="str">
        <f aca="false">Transactions!G261</f>
        <v>Cash Withdrawal</v>
      </c>
      <c r="H261" s="1" t="n">
        <f aca="false">IF(COUNTIFS($B$2:$B$1489,B261,$C$2:$C$1489,C261,$D$2:$D$1489,D261)&gt;6,1,0)</f>
        <v>0</v>
      </c>
      <c r="I261" s="1" t="n">
        <f aca="false">IF(AND(F261="Wire",E261&gt;=1000,MOD(E261,1000)=0),1,0)</f>
        <v>0</v>
      </c>
      <c r="J261" s="1" t="n">
        <f aca="false">IF(AND(F261="ATM",E261&gt;2000,D261&lt;=4),1,0)</f>
        <v>0</v>
      </c>
      <c r="K261" s="1" t="n">
        <f aca="false">IF(COUNTIF('SQL Findings'!$A$4:$A$18,B261)&gt;0,1,0)</f>
        <v>0</v>
      </c>
      <c r="L261" s="1" t="n">
        <f aca="false">SUM(H261:K261)</f>
        <v>0</v>
      </c>
      <c r="M261" s="1" t="str">
        <f aca="false">IF(L261&gt;=2,"High",IF(L261=1,"Medium","Low"))</f>
        <v>Low</v>
      </c>
    </row>
    <row r="262" customFormat="false" ht="15" hidden="false" customHeight="true" outlineLevel="0" collapsed="false">
      <c r="A262" s="1" t="str">
        <f aca="false">Transactions!A262</f>
        <v>TXN500552</v>
      </c>
      <c r="B262" s="1" t="str">
        <f aca="false">Transactions!B262</f>
        <v>ACC1024</v>
      </c>
      <c r="C262" s="1" t="str">
        <f aca="false">Transactions!I262</f>
        <v>2026-01-17</v>
      </c>
      <c r="D262" s="1" t="n">
        <f aca="false">Transactions!J262</f>
        <v>4</v>
      </c>
      <c r="E262" s="1" t="n">
        <f aca="false">Transactions!D262</f>
        <v>57.97</v>
      </c>
      <c r="F262" s="1" t="str">
        <f aca="false">Transactions!H262</f>
        <v>ATM</v>
      </c>
      <c r="G262" s="1" t="str">
        <f aca="false">Transactions!G262</f>
        <v>Online Marketplace</v>
      </c>
      <c r="H262" s="1" t="n">
        <f aca="false">IF(COUNTIFS($B$2:$B$1489,B262,$C$2:$C$1489,C262,$D$2:$D$1489,D262)&gt;6,1,0)</f>
        <v>0</v>
      </c>
      <c r="I262" s="1" t="n">
        <f aca="false">IF(AND(F262="Wire",E262&gt;=1000,MOD(E262,1000)=0),1,0)</f>
        <v>0</v>
      </c>
      <c r="J262" s="1" t="n">
        <f aca="false">IF(AND(F262="ATM",E262&gt;2000,D262&lt;=4),1,0)</f>
        <v>0</v>
      </c>
      <c r="K262" s="1" t="n">
        <f aca="false">IF(COUNTIF('SQL Findings'!$A$4:$A$18,B262)&gt;0,1,0)</f>
        <v>1</v>
      </c>
      <c r="L262" s="1" t="n">
        <f aca="false">SUM(H262:K262)</f>
        <v>1</v>
      </c>
      <c r="M262" s="1" t="str">
        <f aca="false">IF(L262&gt;=2,"High",IF(L262=1,"Medium","Low"))</f>
        <v>Medium</v>
      </c>
    </row>
    <row r="263" customFormat="false" ht="15" hidden="false" customHeight="true" outlineLevel="0" collapsed="false">
      <c r="A263" s="1" t="str">
        <f aca="false">Transactions!A263</f>
        <v>TXN501293</v>
      </c>
      <c r="B263" s="1" t="str">
        <f aca="false">Transactions!B263</f>
        <v>ACC1056</v>
      </c>
      <c r="C263" s="1" t="str">
        <f aca="false">Transactions!I263</f>
        <v>2026-01-17</v>
      </c>
      <c r="D263" s="1" t="n">
        <f aca="false">Transactions!J263</f>
        <v>4</v>
      </c>
      <c r="E263" s="1" t="n">
        <f aca="false">Transactions!D263</f>
        <v>66.32</v>
      </c>
      <c r="F263" s="1" t="str">
        <f aca="false">Transactions!H263</f>
        <v>POS</v>
      </c>
      <c r="G263" s="1" t="str">
        <f aca="false">Transactions!G263</f>
        <v>Online Marketplace</v>
      </c>
      <c r="H263" s="1" t="n">
        <f aca="false">IF(COUNTIFS($B$2:$B$1489,B263,$C$2:$C$1489,C263,$D$2:$D$1489,D263)&gt;6,1,0)</f>
        <v>0</v>
      </c>
      <c r="I263" s="1" t="n">
        <f aca="false">IF(AND(F263="Wire",E263&gt;=1000,MOD(E263,1000)=0),1,0)</f>
        <v>0</v>
      </c>
      <c r="J263" s="1" t="n">
        <f aca="false">IF(AND(F263="ATM",E263&gt;2000,D263&lt;=4),1,0)</f>
        <v>0</v>
      </c>
      <c r="K263" s="1" t="n">
        <f aca="false">IF(COUNTIF('SQL Findings'!$A$4:$A$18,B263)&gt;0,1,0)</f>
        <v>0</v>
      </c>
      <c r="L263" s="1" t="n">
        <f aca="false">SUM(H263:K263)</f>
        <v>0</v>
      </c>
      <c r="M263" s="1" t="str">
        <f aca="false">IF(L263&gt;=2,"High",IF(L263=1,"Medium","Low"))</f>
        <v>Low</v>
      </c>
    </row>
    <row r="264" customFormat="false" ht="15" hidden="false" customHeight="true" outlineLevel="0" collapsed="false">
      <c r="A264" s="1" t="str">
        <f aca="false">Transactions!A264</f>
        <v>TXN500620</v>
      </c>
      <c r="B264" s="1" t="str">
        <f aca="false">Transactions!B264</f>
        <v>ACC1027</v>
      </c>
      <c r="C264" s="1" t="str">
        <f aca="false">Transactions!I264</f>
        <v>2026-01-17</v>
      </c>
      <c r="D264" s="1" t="n">
        <f aca="false">Transactions!J264</f>
        <v>7</v>
      </c>
      <c r="E264" s="1" t="n">
        <f aca="false">Transactions!D264</f>
        <v>81.57</v>
      </c>
      <c r="F264" s="1" t="str">
        <f aca="false">Transactions!H264</f>
        <v>POS</v>
      </c>
      <c r="G264" s="1" t="str">
        <f aca="false">Transactions!G264</f>
        <v>Cash Withdrawal</v>
      </c>
      <c r="H264" s="1" t="n">
        <f aca="false">IF(COUNTIFS($B$2:$B$1489,B264,$C$2:$C$1489,C264,$D$2:$D$1489,D264)&gt;6,1,0)</f>
        <v>0</v>
      </c>
      <c r="I264" s="1" t="n">
        <f aca="false">IF(AND(F264="Wire",E264&gt;=1000,MOD(E264,1000)=0),1,0)</f>
        <v>0</v>
      </c>
      <c r="J264" s="1" t="n">
        <f aca="false">IF(AND(F264="ATM",E264&gt;2000,D264&lt;=4),1,0)</f>
        <v>0</v>
      </c>
      <c r="K264" s="1" t="n">
        <f aca="false">IF(COUNTIF('SQL Findings'!$A$4:$A$18,B264)&gt;0,1,0)</f>
        <v>0</v>
      </c>
      <c r="L264" s="1" t="n">
        <f aca="false">SUM(H264:K264)</f>
        <v>0</v>
      </c>
      <c r="M264" s="1" t="str">
        <f aca="false">IF(L264&gt;=2,"High",IF(L264=1,"Medium","Low"))</f>
        <v>Low</v>
      </c>
    </row>
    <row r="265" customFormat="false" ht="15" hidden="false" customHeight="true" outlineLevel="0" collapsed="false">
      <c r="A265" s="1" t="str">
        <f aca="false">Transactions!A265</f>
        <v>TXN501366</v>
      </c>
      <c r="B265" s="1" t="str">
        <f aca="false">Transactions!B265</f>
        <v>ACC1059</v>
      </c>
      <c r="C265" s="1" t="str">
        <f aca="false">Transactions!I265</f>
        <v>2026-01-17</v>
      </c>
      <c r="D265" s="1" t="n">
        <f aca="false">Transactions!J265</f>
        <v>10</v>
      </c>
      <c r="E265" s="1" t="n">
        <f aca="false">Transactions!D265</f>
        <v>57.82</v>
      </c>
      <c r="F265" s="1" t="str">
        <f aca="false">Transactions!H265</f>
        <v>POS</v>
      </c>
      <c r="G265" s="1" t="str">
        <f aca="false">Transactions!G265</f>
        <v>Travel</v>
      </c>
      <c r="H265" s="1" t="n">
        <f aca="false">IF(COUNTIFS($B$2:$B$1489,B265,$C$2:$C$1489,C265,$D$2:$D$1489,D265)&gt;6,1,0)</f>
        <v>0</v>
      </c>
      <c r="I265" s="1" t="n">
        <f aca="false">IF(AND(F265="Wire",E265&gt;=1000,MOD(E265,1000)=0),1,0)</f>
        <v>0</v>
      </c>
      <c r="J265" s="1" t="n">
        <f aca="false">IF(AND(F265="ATM",E265&gt;2000,D265&lt;=4),1,0)</f>
        <v>0</v>
      </c>
      <c r="K265" s="1" t="n">
        <f aca="false">IF(COUNTIF('SQL Findings'!$A$4:$A$18,B265)&gt;0,1,0)</f>
        <v>0</v>
      </c>
      <c r="L265" s="1" t="n">
        <f aca="false">SUM(H265:K265)</f>
        <v>0</v>
      </c>
      <c r="M265" s="1" t="str">
        <f aca="false">IF(L265&gt;=2,"High",IF(L265=1,"Medium","Low"))</f>
        <v>Low</v>
      </c>
    </row>
    <row r="266" customFormat="false" ht="15" hidden="false" customHeight="true" outlineLevel="0" collapsed="false">
      <c r="A266" s="1" t="str">
        <f aca="false">Transactions!A266</f>
        <v>TXN500121</v>
      </c>
      <c r="B266" s="1" t="str">
        <f aca="false">Transactions!B266</f>
        <v>ACC1005</v>
      </c>
      <c r="C266" s="1" t="str">
        <f aca="false">Transactions!I266</f>
        <v>2026-01-17</v>
      </c>
      <c r="D266" s="1" t="n">
        <f aca="false">Transactions!J266</f>
        <v>11</v>
      </c>
      <c r="E266" s="1" t="n">
        <f aca="false">Transactions!D266</f>
        <v>135.9</v>
      </c>
      <c r="F266" s="1" t="str">
        <f aca="false">Transactions!H266</f>
        <v>Online</v>
      </c>
      <c r="G266" s="1" t="str">
        <f aca="false">Transactions!G266</f>
        <v>Dining</v>
      </c>
      <c r="H266" s="1" t="n">
        <f aca="false">IF(COUNTIFS($B$2:$B$1489,B266,$C$2:$C$1489,C266,$D$2:$D$1489,D266)&gt;6,1,0)</f>
        <v>0</v>
      </c>
      <c r="I266" s="1" t="n">
        <f aca="false">IF(AND(F266="Wire",E266&gt;=1000,MOD(E266,1000)=0),1,0)</f>
        <v>0</v>
      </c>
      <c r="J266" s="1" t="n">
        <f aca="false">IF(AND(F266="ATM",E266&gt;2000,D266&lt;=4),1,0)</f>
        <v>0</v>
      </c>
      <c r="K266" s="1" t="n">
        <f aca="false">IF(COUNTIF('SQL Findings'!$A$4:$A$18,B266)&gt;0,1,0)</f>
        <v>0</v>
      </c>
      <c r="L266" s="1" t="n">
        <f aca="false">SUM(H266:K266)</f>
        <v>0</v>
      </c>
      <c r="M266" s="1" t="str">
        <f aca="false">IF(L266&gt;=2,"High",IF(L266=1,"Medium","Low"))</f>
        <v>Low</v>
      </c>
    </row>
    <row r="267" customFormat="false" ht="15" hidden="false" customHeight="true" outlineLevel="0" collapsed="false">
      <c r="A267" s="1" t="str">
        <f aca="false">Transactions!A267</f>
        <v>TXN500866</v>
      </c>
      <c r="B267" s="1" t="str">
        <f aca="false">Transactions!B267</f>
        <v>ACC1037</v>
      </c>
      <c r="C267" s="1" t="str">
        <f aca="false">Transactions!I267</f>
        <v>2026-01-17</v>
      </c>
      <c r="D267" s="1" t="n">
        <f aca="false">Transactions!J267</f>
        <v>11</v>
      </c>
      <c r="E267" s="1" t="n">
        <f aca="false">Transactions!D267</f>
        <v>47.04</v>
      </c>
      <c r="F267" s="1" t="str">
        <f aca="false">Transactions!H267</f>
        <v>Online</v>
      </c>
      <c r="G267" s="1" t="str">
        <f aca="false">Transactions!G267</f>
        <v>Electronics</v>
      </c>
      <c r="H267" s="1" t="n">
        <f aca="false">IF(COUNTIFS($B$2:$B$1489,B267,$C$2:$C$1489,C267,$D$2:$D$1489,D267)&gt;6,1,0)</f>
        <v>0</v>
      </c>
      <c r="I267" s="1" t="n">
        <f aca="false">IF(AND(F267="Wire",E267&gt;=1000,MOD(E267,1000)=0),1,0)</f>
        <v>0</v>
      </c>
      <c r="J267" s="1" t="n">
        <f aca="false">IF(AND(F267="ATM",E267&gt;2000,D267&lt;=4),1,0)</f>
        <v>0</v>
      </c>
      <c r="K267" s="1" t="n">
        <f aca="false">IF(COUNTIF('SQL Findings'!$A$4:$A$18,B267)&gt;0,1,0)</f>
        <v>1</v>
      </c>
      <c r="L267" s="1" t="n">
        <f aca="false">SUM(H267:K267)</f>
        <v>1</v>
      </c>
      <c r="M267" s="1" t="str">
        <f aca="false">IF(L267&gt;=2,"High",IF(L267=1,"Medium","Low"))</f>
        <v>Medium</v>
      </c>
    </row>
    <row r="268" customFormat="false" ht="15" hidden="false" customHeight="true" outlineLevel="0" collapsed="false">
      <c r="A268" s="1" t="str">
        <f aca="false">Transactions!A268</f>
        <v>TXN501344</v>
      </c>
      <c r="B268" s="1" t="str">
        <f aca="false">Transactions!B268</f>
        <v>ACC1058</v>
      </c>
      <c r="C268" s="1" t="str">
        <f aca="false">Transactions!I268</f>
        <v>2026-01-17</v>
      </c>
      <c r="D268" s="1" t="n">
        <f aca="false">Transactions!J268</f>
        <v>13</v>
      </c>
      <c r="E268" s="1" t="n">
        <f aca="false">Transactions!D268</f>
        <v>194.72</v>
      </c>
      <c r="F268" s="1" t="str">
        <f aca="false">Transactions!H268</f>
        <v>POS</v>
      </c>
      <c r="G268" s="1" t="str">
        <f aca="false">Transactions!G268</f>
        <v>Utilities</v>
      </c>
      <c r="H268" s="1" t="n">
        <f aca="false">IF(COUNTIFS($B$2:$B$1489,B268,$C$2:$C$1489,C268,$D$2:$D$1489,D268)&gt;6,1,0)</f>
        <v>0</v>
      </c>
      <c r="I268" s="1" t="n">
        <f aca="false">IF(AND(F268="Wire",E268&gt;=1000,MOD(E268,1000)=0),1,0)</f>
        <v>0</v>
      </c>
      <c r="J268" s="1" t="n">
        <f aca="false">IF(AND(F268="ATM",E268&gt;2000,D268&lt;=4),1,0)</f>
        <v>0</v>
      </c>
      <c r="K268" s="1" t="n">
        <f aca="false">IF(COUNTIF('SQL Findings'!$A$4:$A$18,B268)&gt;0,1,0)</f>
        <v>0</v>
      </c>
      <c r="L268" s="1" t="n">
        <f aca="false">SUM(H268:K268)</f>
        <v>0</v>
      </c>
      <c r="M268" s="1" t="str">
        <f aca="false">IF(L268&gt;=2,"High",IF(L268=1,"Medium","Low"))</f>
        <v>Low</v>
      </c>
    </row>
    <row r="269" customFormat="false" ht="15" hidden="false" customHeight="true" outlineLevel="0" collapsed="false">
      <c r="A269" s="1" t="str">
        <f aca="false">Transactions!A269</f>
        <v>TXN500052</v>
      </c>
      <c r="B269" s="1" t="str">
        <f aca="false">Transactions!B269</f>
        <v>ACC1001</v>
      </c>
      <c r="C269" s="1" t="str">
        <f aca="false">Transactions!I269</f>
        <v>2026-01-17</v>
      </c>
      <c r="D269" s="1" t="n">
        <f aca="false">Transactions!J269</f>
        <v>14</v>
      </c>
      <c r="E269" s="1" t="n">
        <f aca="false">Transactions!D269</f>
        <v>47.15</v>
      </c>
      <c r="F269" s="1" t="str">
        <f aca="false">Transactions!H269</f>
        <v>Online</v>
      </c>
      <c r="G269" s="1" t="str">
        <f aca="false">Transactions!G269</f>
        <v>Online Marketplace</v>
      </c>
      <c r="H269" s="1" t="n">
        <f aca="false">IF(COUNTIFS($B$2:$B$1489,B269,$C$2:$C$1489,C269,$D$2:$D$1489,D269)&gt;6,1,0)</f>
        <v>0</v>
      </c>
      <c r="I269" s="1" t="n">
        <f aca="false">IF(AND(F269="Wire",E269&gt;=1000,MOD(E269,1000)=0),1,0)</f>
        <v>0</v>
      </c>
      <c r="J269" s="1" t="n">
        <f aca="false">IF(AND(F269="ATM",E269&gt;2000,D269&lt;=4),1,0)</f>
        <v>0</v>
      </c>
      <c r="K269" s="1" t="n">
        <f aca="false">IF(COUNTIF('SQL Findings'!$A$4:$A$18,B269)&gt;0,1,0)</f>
        <v>1</v>
      </c>
      <c r="L269" s="1" t="n">
        <f aca="false">SUM(H269:K269)</f>
        <v>1</v>
      </c>
      <c r="M269" s="1" t="str">
        <f aca="false">IF(L269&gt;=2,"High",IF(L269=1,"Medium","Low"))</f>
        <v>Medium</v>
      </c>
    </row>
    <row r="270" customFormat="false" ht="15" hidden="false" customHeight="true" outlineLevel="0" collapsed="false">
      <c r="A270" s="1" t="str">
        <f aca="false">Transactions!A270</f>
        <v>TXN500801</v>
      </c>
      <c r="B270" s="1" t="str">
        <f aca="false">Transactions!B270</f>
        <v>ACC1034</v>
      </c>
      <c r="C270" s="1" t="str">
        <f aca="false">Transactions!I270</f>
        <v>2026-01-17</v>
      </c>
      <c r="D270" s="1" t="n">
        <f aca="false">Transactions!J270</f>
        <v>14</v>
      </c>
      <c r="E270" s="1" t="n">
        <f aca="false">Transactions!D270</f>
        <v>155.16</v>
      </c>
      <c r="F270" s="1" t="str">
        <f aca="false">Transactions!H270</f>
        <v>POS</v>
      </c>
      <c r="G270" s="1" t="str">
        <f aca="false">Transactions!G270</f>
        <v>Retail</v>
      </c>
      <c r="H270" s="1" t="n">
        <f aca="false">IF(COUNTIFS($B$2:$B$1489,B270,$C$2:$C$1489,C270,$D$2:$D$1489,D270)&gt;6,1,0)</f>
        <v>0</v>
      </c>
      <c r="I270" s="1" t="n">
        <f aca="false">IF(AND(F270="Wire",E270&gt;=1000,MOD(E270,1000)=0),1,0)</f>
        <v>0</v>
      </c>
      <c r="J270" s="1" t="n">
        <f aca="false">IF(AND(F270="ATM",E270&gt;2000,D270&lt;=4),1,0)</f>
        <v>0</v>
      </c>
      <c r="K270" s="1" t="n">
        <f aca="false">IF(COUNTIF('SQL Findings'!$A$4:$A$18,B270)&gt;0,1,0)</f>
        <v>0</v>
      </c>
      <c r="L270" s="1" t="n">
        <f aca="false">SUM(H270:K270)</f>
        <v>0</v>
      </c>
      <c r="M270" s="1" t="str">
        <f aca="false">IF(L270&gt;=2,"High",IF(L270=1,"Medium","Low"))</f>
        <v>Low</v>
      </c>
    </row>
    <row r="271" customFormat="false" ht="15" hidden="false" customHeight="true" outlineLevel="0" collapsed="false">
      <c r="A271" s="1" t="str">
        <f aca="false">Transactions!A271</f>
        <v>TXN500485</v>
      </c>
      <c r="B271" s="1" t="str">
        <f aca="false">Transactions!B271</f>
        <v>ACC1021</v>
      </c>
      <c r="C271" s="1" t="str">
        <f aca="false">Transactions!I271</f>
        <v>2026-01-17</v>
      </c>
      <c r="D271" s="1" t="n">
        <f aca="false">Transactions!J271</f>
        <v>15</v>
      </c>
      <c r="E271" s="1" t="n">
        <f aca="false">Transactions!D271</f>
        <v>33.76</v>
      </c>
      <c r="F271" s="1" t="str">
        <f aca="false">Transactions!H271</f>
        <v>POS</v>
      </c>
      <c r="G271" s="1" t="str">
        <f aca="false">Transactions!G271</f>
        <v>Retail</v>
      </c>
      <c r="H271" s="1" t="n">
        <f aca="false">IF(COUNTIFS($B$2:$B$1489,B271,$C$2:$C$1489,C271,$D$2:$D$1489,D271)&gt;6,1,0)</f>
        <v>0</v>
      </c>
      <c r="I271" s="1" t="n">
        <f aca="false">IF(AND(F271="Wire",E271&gt;=1000,MOD(E271,1000)=0),1,0)</f>
        <v>0</v>
      </c>
      <c r="J271" s="1" t="n">
        <f aca="false">IF(AND(F271="ATM",E271&gt;2000,D271&lt;=4),1,0)</f>
        <v>0</v>
      </c>
      <c r="K271" s="1" t="n">
        <f aca="false">IF(COUNTIF('SQL Findings'!$A$4:$A$18,B271)&gt;0,1,0)</f>
        <v>0</v>
      </c>
      <c r="L271" s="1" t="n">
        <f aca="false">SUM(H271:K271)</f>
        <v>0</v>
      </c>
      <c r="M271" s="1" t="str">
        <f aca="false">IF(L271&gt;=2,"High",IF(L271=1,"Medium","Low"))</f>
        <v>Low</v>
      </c>
    </row>
    <row r="272" customFormat="false" ht="15" hidden="false" customHeight="true" outlineLevel="0" collapsed="false">
      <c r="A272" s="1" t="str">
        <f aca="false">Transactions!A272</f>
        <v>TXN500667</v>
      </c>
      <c r="B272" s="1" t="str">
        <f aca="false">Transactions!B272</f>
        <v>ACC1029</v>
      </c>
      <c r="C272" s="1" t="str">
        <f aca="false">Transactions!I272</f>
        <v>2026-01-17</v>
      </c>
      <c r="D272" s="1" t="n">
        <f aca="false">Transactions!J272</f>
        <v>15</v>
      </c>
      <c r="E272" s="1" t="n">
        <f aca="false">Transactions!D272</f>
        <v>53.01</v>
      </c>
      <c r="F272" s="1" t="str">
        <f aca="false">Transactions!H272</f>
        <v>ATM</v>
      </c>
      <c r="G272" s="1" t="str">
        <f aca="false">Transactions!G272</f>
        <v>Utilities</v>
      </c>
      <c r="H272" s="1" t="n">
        <f aca="false">IF(COUNTIFS($B$2:$B$1489,B272,$C$2:$C$1489,C272,$D$2:$D$1489,D272)&gt;6,1,0)</f>
        <v>0</v>
      </c>
      <c r="I272" s="1" t="n">
        <f aca="false">IF(AND(F272="Wire",E272&gt;=1000,MOD(E272,1000)=0),1,0)</f>
        <v>0</v>
      </c>
      <c r="J272" s="1" t="n">
        <f aca="false">IF(AND(F272="ATM",E272&gt;2000,D272&lt;=4),1,0)</f>
        <v>0</v>
      </c>
      <c r="K272" s="1" t="n">
        <f aca="false">IF(COUNTIF('SQL Findings'!$A$4:$A$18,B272)&gt;0,1,0)</f>
        <v>0</v>
      </c>
      <c r="L272" s="1" t="n">
        <f aca="false">SUM(H272:K272)</f>
        <v>0</v>
      </c>
      <c r="M272" s="1" t="str">
        <f aca="false">IF(L272&gt;=2,"High",IF(L272=1,"Medium","Low"))</f>
        <v>Low</v>
      </c>
    </row>
    <row r="273" customFormat="false" ht="15" hidden="false" customHeight="true" outlineLevel="0" collapsed="false">
      <c r="A273" s="1" t="str">
        <f aca="false">Transactions!A273</f>
        <v>TXN500403</v>
      </c>
      <c r="B273" s="1" t="str">
        <f aca="false">Transactions!B273</f>
        <v>ACC1017</v>
      </c>
      <c r="C273" s="1" t="str">
        <f aca="false">Transactions!I273</f>
        <v>2026-01-17</v>
      </c>
      <c r="D273" s="1" t="n">
        <f aca="false">Transactions!J273</f>
        <v>16</v>
      </c>
      <c r="E273" s="1" t="n">
        <f aca="false">Transactions!D273</f>
        <v>67</v>
      </c>
      <c r="F273" s="1" t="str">
        <f aca="false">Transactions!H273</f>
        <v>Online</v>
      </c>
      <c r="G273" s="1" t="str">
        <f aca="false">Transactions!G273</f>
        <v>Electronics</v>
      </c>
      <c r="H273" s="1" t="n">
        <f aca="false">IF(COUNTIFS($B$2:$B$1489,B273,$C$2:$C$1489,C273,$D$2:$D$1489,D273)&gt;6,1,0)</f>
        <v>0</v>
      </c>
      <c r="I273" s="1" t="n">
        <f aca="false">IF(AND(F273="Wire",E273&gt;=1000,MOD(E273,1000)=0),1,0)</f>
        <v>0</v>
      </c>
      <c r="J273" s="1" t="n">
        <f aca="false">IF(AND(F273="ATM",E273&gt;2000,D273&lt;=4),1,0)</f>
        <v>0</v>
      </c>
      <c r="K273" s="1" t="n">
        <f aca="false">IF(COUNTIF('SQL Findings'!$A$4:$A$18,B273)&gt;0,1,0)</f>
        <v>0</v>
      </c>
      <c r="L273" s="1" t="n">
        <f aca="false">SUM(H273:K273)</f>
        <v>0</v>
      </c>
      <c r="M273" s="1" t="str">
        <f aca="false">IF(L273&gt;=2,"High",IF(L273=1,"Medium","Low"))</f>
        <v>Low</v>
      </c>
    </row>
    <row r="274" customFormat="false" ht="15" hidden="false" customHeight="true" outlineLevel="0" collapsed="false">
      <c r="A274" s="1" t="str">
        <f aca="false">Transactions!A274</f>
        <v>TXN500224</v>
      </c>
      <c r="B274" s="1" t="str">
        <f aca="false">Transactions!B274</f>
        <v>ACC1009</v>
      </c>
      <c r="C274" s="1" t="str">
        <f aca="false">Transactions!I274</f>
        <v>2026-01-17</v>
      </c>
      <c r="D274" s="1" t="n">
        <f aca="false">Transactions!J274</f>
        <v>16</v>
      </c>
      <c r="E274" s="1" t="n">
        <f aca="false">Transactions!D274</f>
        <v>15.62</v>
      </c>
      <c r="F274" s="1" t="str">
        <f aca="false">Transactions!H274</f>
        <v>ATM</v>
      </c>
      <c r="G274" s="1" t="str">
        <f aca="false">Transactions!G274</f>
        <v>Cash Withdrawal</v>
      </c>
      <c r="H274" s="1" t="n">
        <f aca="false">IF(COUNTIFS($B$2:$B$1489,B274,$C$2:$C$1489,C274,$D$2:$D$1489,D274)&gt;6,1,0)</f>
        <v>0</v>
      </c>
      <c r="I274" s="1" t="n">
        <f aca="false">IF(AND(F274="Wire",E274&gt;=1000,MOD(E274,1000)=0),1,0)</f>
        <v>0</v>
      </c>
      <c r="J274" s="1" t="n">
        <f aca="false">IF(AND(F274="ATM",E274&gt;2000,D274&lt;=4),1,0)</f>
        <v>0</v>
      </c>
      <c r="K274" s="1" t="n">
        <f aca="false">IF(COUNTIF('SQL Findings'!$A$4:$A$18,B274)&gt;0,1,0)</f>
        <v>1</v>
      </c>
      <c r="L274" s="1" t="n">
        <f aca="false">SUM(H274:K274)</f>
        <v>1</v>
      </c>
      <c r="M274" s="1" t="str">
        <f aca="false">IF(L274&gt;=2,"High",IF(L274=1,"Medium","Low"))</f>
        <v>Medium</v>
      </c>
    </row>
    <row r="275" customFormat="false" ht="15" hidden="false" customHeight="true" outlineLevel="0" collapsed="false">
      <c r="A275" s="1" t="str">
        <f aca="false">Transactions!A275</f>
        <v>TXN500632</v>
      </c>
      <c r="B275" s="1" t="str">
        <f aca="false">Transactions!B275</f>
        <v>ACC1027</v>
      </c>
      <c r="C275" s="1" t="str">
        <f aca="false">Transactions!I275</f>
        <v>2026-01-17</v>
      </c>
      <c r="D275" s="1" t="n">
        <f aca="false">Transactions!J275</f>
        <v>18</v>
      </c>
      <c r="E275" s="1" t="n">
        <f aca="false">Transactions!D275</f>
        <v>264.17</v>
      </c>
      <c r="F275" s="1" t="str">
        <f aca="false">Transactions!H275</f>
        <v>Online</v>
      </c>
      <c r="G275" s="1" t="str">
        <f aca="false">Transactions!G275</f>
        <v>Travel</v>
      </c>
      <c r="H275" s="1" t="n">
        <f aca="false">IF(COUNTIFS($B$2:$B$1489,B275,$C$2:$C$1489,C275,$D$2:$D$1489,D275)&gt;6,1,0)</f>
        <v>0</v>
      </c>
      <c r="I275" s="1" t="n">
        <f aca="false">IF(AND(F275="Wire",E275&gt;=1000,MOD(E275,1000)=0),1,0)</f>
        <v>0</v>
      </c>
      <c r="J275" s="1" t="n">
        <f aca="false">IF(AND(F275="ATM",E275&gt;2000,D275&lt;=4),1,0)</f>
        <v>0</v>
      </c>
      <c r="K275" s="1" t="n">
        <f aca="false">IF(COUNTIF('SQL Findings'!$A$4:$A$18,B275)&gt;0,1,0)</f>
        <v>0</v>
      </c>
      <c r="L275" s="1" t="n">
        <f aca="false">SUM(H275:K275)</f>
        <v>0</v>
      </c>
      <c r="M275" s="1" t="str">
        <f aca="false">IF(L275&gt;=2,"High",IF(L275=1,"Medium","Low"))</f>
        <v>Low</v>
      </c>
    </row>
    <row r="276" customFormat="false" ht="15" hidden="false" customHeight="true" outlineLevel="0" collapsed="false">
      <c r="A276" s="1" t="str">
        <f aca="false">Transactions!A276</f>
        <v>TXN501001</v>
      </c>
      <c r="B276" s="1" t="str">
        <f aca="false">Transactions!B276</f>
        <v>ACC1043</v>
      </c>
      <c r="C276" s="1" t="str">
        <f aca="false">Transactions!I276</f>
        <v>2026-01-17</v>
      </c>
      <c r="D276" s="1" t="n">
        <f aca="false">Transactions!J276</f>
        <v>19</v>
      </c>
      <c r="E276" s="1" t="n">
        <f aca="false">Transactions!D276</f>
        <v>234.96</v>
      </c>
      <c r="F276" s="1" t="str">
        <f aca="false">Transactions!H276</f>
        <v>ATM</v>
      </c>
      <c r="G276" s="1" t="str">
        <f aca="false">Transactions!G276</f>
        <v>Retail</v>
      </c>
      <c r="H276" s="1" t="n">
        <f aca="false">IF(COUNTIFS($B$2:$B$1489,B276,$C$2:$C$1489,C276,$D$2:$D$1489,D276)&gt;6,1,0)</f>
        <v>0</v>
      </c>
      <c r="I276" s="1" t="n">
        <f aca="false">IF(AND(F276="Wire",E276&gt;=1000,MOD(E276,1000)=0),1,0)</f>
        <v>0</v>
      </c>
      <c r="J276" s="1" t="n">
        <f aca="false">IF(AND(F276="ATM",E276&gt;2000,D276&lt;=4),1,0)</f>
        <v>0</v>
      </c>
      <c r="K276" s="1" t="n">
        <f aca="false">IF(COUNTIF('SQL Findings'!$A$4:$A$18,B276)&gt;0,1,0)</f>
        <v>0</v>
      </c>
      <c r="L276" s="1" t="n">
        <f aca="false">SUM(H276:K276)</f>
        <v>0</v>
      </c>
      <c r="M276" s="1" t="str">
        <f aca="false">IF(L276&gt;=2,"High",IF(L276=1,"Medium","Low"))</f>
        <v>Low</v>
      </c>
    </row>
    <row r="277" customFormat="false" ht="15" hidden="false" customHeight="true" outlineLevel="0" collapsed="false">
      <c r="A277" s="1" t="str">
        <f aca="false">Transactions!A277</f>
        <v>TXN500181</v>
      </c>
      <c r="B277" s="1" t="str">
        <f aca="false">Transactions!B277</f>
        <v>ACC1007</v>
      </c>
      <c r="C277" s="1" t="str">
        <f aca="false">Transactions!I277</f>
        <v>2026-01-17</v>
      </c>
      <c r="D277" s="1" t="n">
        <f aca="false">Transactions!J277</f>
        <v>20</v>
      </c>
      <c r="E277" s="1" t="n">
        <f aca="false">Transactions!D277</f>
        <v>117.11</v>
      </c>
      <c r="F277" s="1" t="str">
        <f aca="false">Transactions!H277</f>
        <v>POS</v>
      </c>
      <c r="G277" s="1" t="str">
        <f aca="false">Transactions!G277</f>
        <v>Online Marketplace</v>
      </c>
      <c r="H277" s="1" t="n">
        <f aca="false">IF(COUNTIFS($B$2:$B$1489,B277,$C$2:$C$1489,C277,$D$2:$D$1489,D277)&gt;6,1,0)</f>
        <v>0</v>
      </c>
      <c r="I277" s="1" t="n">
        <f aca="false">IF(AND(F277="Wire",E277&gt;=1000,MOD(E277,1000)=0),1,0)</f>
        <v>0</v>
      </c>
      <c r="J277" s="1" t="n">
        <f aca="false">IF(AND(F277="ATM",E277&gt;2000,D277&lt;=4),1,0)</f>
        <v>0</v>
      </c>
      <c r="K277" s="1" t="n">
        <f aca="false">IF(COUNTIF('SQL Findings'!$A$4:$A$18,B277)&gt;0,1,0)</f>
        <v>0</v>
      </c>
      <c r="L277" s="1" t="n">
        <f aca="false">SUM(H277:K277)</f>
        <v>0</v>
      </c>
      <c r="M277" s="1" t="str">
        <f aca="false">IF(L277&gt;=2,"High",IF(L277=1,"Medium","Low"))</f>
        <v>Low</v>
      </c>
    </row>
    <row r="278" customFormat="false" ht="15" hidden="false" customHeight="true" outlineLevel="0" collapsed="false">
      <c r="A278" s="1" t="str">
        <f aca="false">Transactions!A278</f>
        <v>TXN500901</v>
      </c>
      <c r="B278" s="1" t="str">
        <f aca="false">Transactions!B278</f>
        <v>ACC1038</v>
      </c>
      <c r="C278" s="1" t="str">
        <f aca="false">Transactions!I278</f>
        <v>2026-01-17</v>
      </c>
      <c r="D278" s="1" t="n">
        <f aca="false">Transactions!J278</f>
        <v>23</v>
      </c>
      <c r="E278" s="1" t="n">
        <f aca="false">Transactions!D278</f>
        <v>92.93</v>
      </c>
      <c r="F278" s="1" t="str">
        <f aca="false">Transactions!H278</f>
        <v>ATM</v>
      </c>
      <c r="G278" s="1" t="str">
        <f aca="false">Transactions!G278</f>
        <v>Travel</v>
      </c>
      <c r="H278" s="1" t="n">
        <f aca="false">IF(COUNTIFS($B$2:$B$1489,B278,$C$2:$C$1489,C278,$D$2:$D$1489,D278)&gt;6,1,0)</f>
        <v>0</v>
      </c>
      <c r="I278" s="1" t="n">
        <f aca="false">IF(AND(F278="Wire",E278&gt;=1000,MOD(E278,1000)=0),1,0)</f>
        <v>0</v>
      </c>
      <c r="J278" s="1" t="n">
        <f aca="false">IF(AND(F278="ATM",E278&gt;2000,D278&lt;=4),1,0)</f>
        <v>0</v>
      </c>
      <c r="K278" s="1" t="n">
        <f aca="false">IF(COUNTIF('SQL Findings'!$A$4:$A$18,B278)&gt;0,1,0)</f>
        <v>0</v>
      </c>
      <c r="L278" s="1" t="n">
        <f aca="false">SUM(H278:K278)</f>
        <v>0</v>
      </c>
      <c r="M278" s="1" t="str">
        <f aca="false">IF(L278&gt;=2,"High",IF(L278=1,"Medium","Low"))</f>
        <v>Low</v>
      </c>
    </row>
    <row r="279" customFormat="false" ht="15" hidden="false" customHeight="true" outlineLevel="0" collapsed="false">
      <c r="A279" s="1" t="str">
        <f aca="false">Transactions!A279</f>
        <v>TXN500338</v>
      </c>
      <c r="B279" s="1" t="str">
        <f aca="false">Transactions!B279</f>
        <v>ACC1015</v>
      </c>
      <c r="C279" s="1" t="str">
        <f aca="false">Transactions!I279</f>
        <v>2026-01-18</v>
      </c>
      <c r="D279" s="1" t="n">
        <f aca="false">Transactions!J279</f>
        <v>1</v>
      </c>
      <c r="E279" s="1" t="n">
        <f aca="false">Transactions!D279</f>
        <v>49.94</v>
      </c>
      <c r="F279" s="1" t="str">
        <f aca="false">Transactions!H279</f>
        <v>ATM</v>
      </c>
      <c r="G279" s="1" t="str">
        <f aca="false">Transactions!G279</f>
        <v>Online Marketplace</v>
      </c>
      <c r="H279" s="1" t="n">
        <f aca="false">IF(COUNTIFS($B$2:$B$1489,B279,$C$2:$C$1489,C279,$D$2:$D$1489,D279)&gt;6,1,0)</f>
        <v>0</v>
      </c>
      <c r="I279" s="1" t="n">
        <f aca="false">IF(AND(F279="Wire",E279&gt;=1000,MOD(E279,1000)=0),1,0)</f>
        <v>0</v>
      </c>
      <c r="J279" s="1" t="n">
        <f aca="false">IF(AND(F279="ATM",E279&gt;2000,D279&lt;=4),1,0)</f>
        <v>0</v>
      </c>
      <c r="K279" s="1" t="n">
        <f aca="false">IF(COUNTIF('SQL Findings'!$A$4:$A$18,B279)&gt;0,1,0)</f>
        <v>1</v>
      </c>
      <c r="L279" s="1" t="n">
        <f aca="false">SUM(H279:K279)</f>
        <v>1</v>
      </c>
      <c r="M279" s="1" t="str">
        <f aca="false">IF(L279&gt;=2,"High",IF(L279=1,"Medium","Low"))</f>
        <v>Medium</v>
      </c>
    </row>
    <row r="280" customFormat="false" ht="15" hidden="false" customHeight="true" outlineLevel="0" collapsed="false">
      <c r="A280" s="1" t="str">
        <f aca="false">Transactions!A280</f>
        <v>TXN501124</v>
      </c>
      <c r="B280" s="1" t="str">
        <f aca="false">Transactions!B280</f>
        <v>ACC1049</v>
      </c>
      <c r="C280" s="1" t="str">
        <f aca="false">Transactions!I280</f>
        <v>2026-01-18</v>
      </c>
      <c r="D280" s="1" t="n">
        <f aca="false">Transactions!J280</f>
        <v>8</v>
      </c>
      <c r="E280" s="1" t="n">
        <f aca="false">Transactions!D280</f>
        <v>23.84</v>
      </c>
      <c r="F280" s="1" t="str">
        <f aca="false">Transactions!H280</f>
        <v>ATM</v>
      </c>
      <c r="G280" s="1" t="str">
        <f aca="false">Transactions!G280</f>
        <v>Online Marketplace</v>
      </c>
      <c r="H280" s="1" t="n">
        <f aca="false">IF(COUNTIFS($B$2:$B$1489,B280,$C$2:$C$1489,C280,$D$2:$D$1489,D280)&gt;6,1,0)</f>
        <v>0</v>
      </c>
      <c r="I280" s="1" t="n">
        <f aca="false">IF(AND(F280="Wire",E280&gt;=1000,MOD(E280,1000)=0),1,0)</f>
        <v>0</v>
      </c>
      <c r="J280" s="1" t="n">
        <f aca="false">IF(AND(F280="ATM",E280&gt;2000,D280&lt;=4),1,0)</f>
        <v>0</v>
      </c>
      <c r="K280" s="1" t="n">
        <f aca="false">IF(COUNTIF('SQL Findings'!$A$4:$A$18,B280)&gt;0,1,0)</f>
        <v>0</v>
      </c>
      <c r="L280" s="1" t="n">
        <f aca="false">SUM(H280:K280)</f>
        <v>0</v>
      </c>
      <c r="M280" s="1" t="str">
        <f aca="false">IF(L280&gt;=2,"High",IF(L280=1,"Medium","Low"))</f>
        <v>Low</v>
      </c>
    </row>
    <row r="281" customFormat="false" ht="15" hidden="false" customHeight="true" outlineLevel="0" collapsed="false">
      <c r="A281" s="1" t="str">
        <f aca="false">Transactions!A281</f>
        <v>TXN500785</v>
      </c>
      <c r="B281" s="1" t="str">
        <f aca="false">Transactions!B281</f>
        <v>ACC1033</v>
      </c>
      <c r="C281" s="1" t="str">
        <f aca="false">Transactions!I281</f>
        <v>2026-01-18</v>
      </c>
      <c r="D281" s="1" t="n">
        <f aca="false">Transactions!J281</f>
        <v>8</v>
      </c>
      <c r="E281" s="1" t="n">
        <f aca="false">Transactions!D281</f>
        <v>110.37</v>
      </c>
      <c r="F281" s="1" t="str">
        <f aca="false">Transactions!H281</f>
        <v>Online</v>
      </c>
      <c r="G281" s="1" t="str">
        <f aca="false">Transactions!G281</f>
        <v>Online Marketplace</v>
      </c>
      <c r="H281" s="1" t="n">
        <f aca="false">IF(COUNTIFS($B$2:$B$1489,B281,$C$2:$C$1489,C281,$D$2:$D$1489,D281)&gt;6,1,0)</f>
        <v>0</v>
      </c>
      <c r="I281" s="1" t="n">
        <f aca="false">IF(AND(F281="Wire",E281&gt;=1000,MOD(E281,1000)=0),1,0)</f>
        <v>0</v>
      </c>
      <c r="J281" s="1" t="n">
        <f aca="false">IF(AND(F281="ATM",E281&gt;2000,D281&lt;=4),1,0)</f>
        <v>0</v>
      </c>
      <c r="K281" s="1" t="n">
        <f aca="false">IF(COUNTIF('SQL Findings'!$A$4:$A$18,B281)&gt;0,1,0)</f>
        <v>0</v>
      </c>
      <c r="L281" s="1" t="n">
        <f aca="false">SUM(H281:K281)</f>
        <v>0</v>
      </c>
      <c r="M281" s="1" t="str">
        <f aca="false">IF(L281&gt;=2,"High",IF(L281=1,"Medium","Low"))</f>
        <v>Low</v>
      </c>
    </row>
    <row r="282" customFormat="false" ht="15" hidden="false" customHeight="true" outlineLevel="0" collapsed="false">
      <c r="A282" s="1" t="str">
        <f aca="false">Transactions!A282</f>
        <v>TXN501005</v>
      </c>
      <c r="B282" s="1" t="str">
        <f aca="false">Transactions!B282</f>
        <v>ACC1044</v>
      </c>
      <c r="C282" s="1" t="str">
        <f aca="false">Transactions!I282</f>
        <v>2026-01-18</v>
      </c>
      <c r="D282" s="1" t="n">
        <f aca="false">Transactions!J282</f>
        <v>8</v>
      </c>
      <c r="E282" s="1" t="n">
        <f aca="false">Transactions!D282</f>
        <v>125.01</v>
      </c>
      <c r="F282" s="1" t="str">
        <f aca="false">Transactions!H282</f>
        <v>POS</v>
      </c>
      <c r="G282" s="1" t="str">
        <f aca="false">Transactions!G282</f>
        <v>Dining</v>
      </c>
      <c r="H282" s="1" t="n">
        <f aca="false">IF(COUNTIFS($B$2:$B$1489,B282,$C$2:$C$1489,C282,$D$2:$D$1489,D282)&gt;6,1,0)</f>
        <v>0</v>
      </c>
      <c r="I282" s="1" t="n">
        <f aca="false">IF(AND(F282="Wire",E282&gt;=1000,MOD(E282,1000)=0),1,0)</f>
        <v>0</v>
      </c>
      <c r="J282" s="1" t="n">
        <f aca="false">IF(AND(F282="ATM",E282&gt;2000,D282&lt;=4),1,0)</f>
        <v>0</v>
      </c>
      <c r="K282" s="1" t="n">
        <f aca="false">IF(COUNTIF('SQL Findings'!$A$4:$A$18,B282)&gt;0,1,0)</f>
        <v>0</v>
      </c>
      <c r="L282" s="1" t="n">
        <f aca="false">SUM(H282:K282)</f>
        <v>0</v>
      </c>
      <c r="M282" s="1" t="str">
        <f aca="false">IF(L282&gt;=2,"High",IF(L282=1,"Medium","Low"))</f>
        <v>Low</v>
      </c>
    </row>
    <row r="283" customFormat="false" ht="15" hidden="false" customHeight="true" outlineLevel="0" collapsed="false">
      <c r="A283" s="1" t="str">
        <f aca="false">Transactions!A283</f>
        <v>TXN500599</v>
      </c>
      <c r="B283" s="1" t="str">
        <f aca="false">Transactions!B283</f>
        <v>ACC1026</v>
      </c>
      <c r="C283" s="1" t="str">
        <f aca="false">Transactions!I283</f>
        <v>2026-01-18</v>
      </c>
      <c r="D283" s="1" t="n">
        <f aca="false">Transactions!J283</f>
        <v>9</v>
      </c>
      <c r="E283" s="1" t="n">
        <f aca="false">Transactions!D283</f>
        <v>44.71</v>
      </c>
      <c r="F283" s="1" t="str">
        <f aca="false">Transactions!H283</f>
        <v>POS</v>
      </c>
      <c r="G283" s="1" t="str">
        <f aca="false">Transactions!G283</f>
        <v>Utilities</v>
      </c>
      <c r="H283" s="1" t="n">
        <f aca="false">IF(COUNTIFS($B$2:$B$1489,B283,$C$2:$C$1489,C283,$D$2:$D$1489,D283)&gt;6,1,0)</f>
        <v>0</v>
      </c>
      <c r="I283" s="1" t="n">
        <f aca="false">IF(AND(F283="Wire",E283&gt;=1000,MOD(E283,1000)=0),1,0)</f>
        <v>0</v>
      </c>
      <c r="J283" s="1" t="n">
        <f aca="false">IF(AND(F283="ATM",E283&gt;2000,D283&lt;=4),1,0)</f>
        <v>0</v>
      </c>
      <c r="K283" s="1" t="n">
        <f aca="false">IF(COUNTIF('SQL Findings'!$A$4:$A$18,B283)&gt;0,1,0)</f>
        <v>0</v>
      </c>
      <c r="L283" s="1" t="n">
        <f aca="false">SUM(H283:K283)</f>
        <v>0</v>
      </c>
      <c r="M283" s="1" t="str">
        <f aca="false">IF(L283&gt;=2,"High",IF(L283=1,"Medium","Low"))</f>
        <v>Low</v>
      </c>
    </row>
    <row r="284" customFormat="false" ht="15" hidden="false" customHeight="true" outlineLevel="0" collapsed="false">
      <c r="A284" s="1" t="str">
        <f aca="false">Transactions!A284</f>
        <v>TXN500836</v>
      </c>
      <c r="B284" s="1" t="str">
        <f aca="false">Transactions!B284</f>
        <v>ACC1035</v>
      </c>
      <c r="C284" s="1" t="str">
        <f aca="false">Transactions!I284</f>
        <v>2026-01-18</v>
      </c>
      <c r="D284" s="1" t="n">
        <f aca="false">Transactions!J284</f>
        <v>9</v>
      </c>
      <c r="E284" s="1" t="n">
        <f aca="false">Transactions!D284</f>
        <v>82.33</v>
      </c>
      <c r="F284" s="1" t="str">
        <f aca="false">Transactions!H284</f>
        <v>Online</v>
      </c>
      <c r="G284" s="1" t="str">
        <f aca="false">Transactions!G284</f>
        <v>Online Marketplace</v>
      </c>
      <c r="H284" s="1" t="n">
        <f aca="false">IF(COUNTIFS($B$2:$B$1489,B284,$C$2:$C$1489,C284,$D$2:$D$1489,D284)&gt;6,1,0)</f>
        <v>0</v>
      </c>
      <c r="I284" s="1" t="n">
        <f aca="false">IF(AND(F284="Wire",E284&gt;=1000,MOD(E284,1000)=0),1,0)</f>
        <v>0</v>
      </c>
      <c r="J284" s="1" t="n">
        <f aca="false">IF(AND(F284="ATM",E284&gt;2000,D284&lt;=4),1,0)</f>
        <v>0</v>
      </c>
      <c r="K284" s="1" t="n">
        <f aca="false">IF(COUNTIF('SQL Findings'!$A$4:$A$18,B284)&gt;0,1,0)</f>
        <v>0</v>
      </c>
      <c r="L284" s="1" t="n">
        <f aca="false">SUM(H284:K284)</f>
        <v>0</v>
      </c>
      <c r="M284" s="1" t="str">
        <f aca="false">IF(L284&gt;=2,"High",IF(L284=1,"Medium","Low"))</f>
        <v>Low</v>
      </c>
    </row>
    <row r="285" customFormat="false" ht="15" hidden="false" customHeight="true" outlineLevel="0" collapsed="false">
      <c r="A285" s="1" t="str">
        <f aca="false">Transactions!A285</f>
        <v>TXN500898</v>
      </c>
      <c r="B285" s="1" t="str">
        <f aca="false">Transactions!B285</f>
        <v>ACC1038</v>
      </c>
      <c r="C285" s="1" t="str">
        <f aca="false">Transactions!I285</f>
        <v>2026-01-18</v>
      </c>
      <c r="D285" s="1" t="n">
        <f aca="false">Transactions!J285</f>
        <v>10</v>
      </c>
      <c r="E285" s="1" t="n">
        <f aca="false">Transactions!D285</f>
        <v>76.1</v>
      </c>
      <c r="F285" s="1" t="str">
        <f aca="false">Transactions!H285</f>
        <v>ATM</v>
      </c>
      <c r="G285" s="1" t="str">
        <f aca="false">Transactions!G285</f>
        <v>Utilities</v>
      </c>
      <c r="H285" s="1" t="n">
        <f aca="false">IF(COUNTIFS($B$2:$B$1489,B285,$C$2:$C$1489,C285,$D$2:$D$1489,D285)&gt;6,1,0)</f>
        <v>0</v>
      </c>
      <c r="I285" s="1" t="n">
        <f aca="false">IF(AND(F285="Wire",E285&gt;=1000,MOD(E285,1000)=0),1,0)</f>
        <v>0</v>
      </c>
      <c r="J285" s="1" t="n">
        <f aca="false">IF(AND(F285="ATM",E285&gt;2000,D285&lt;=4),1,0)</f>
        <v>0</v>
      </c>
      <c r="K285" s="1" t="n">
        <f aca="false">IF(COUNTIF('SQL Findings'!$A$4:$A$18,B285)&gt;0,1,0)</f>
        <v>0</v>
      </c>
      <c r="L285" s="1" t="n">
        <f aca="false">SUM(H285:K285)</f>
        <v>0</v>
      </c>
      <c r="M285" s="1" t="str">
        <f aca="false">IF(L285&gt;=2,"High",IF(L285=1,"Medium","Low"))</f>
        <v>Low</v>
      </c>
    </row>
    <row r="286" customFormat="false" ht="15" hidden="false" customHeight="true" outlineLevel="0" collapsed="false">
      <c r="A286" s="1" t="str">
        <f aca="false">Transactions!A286</f>
        <v>TXN500973</v>
      </c>
      <c r="B286" s="1" t="str">
        <f aca="false">Transactions!B286</f>
        <v>ACC1042</v>
      </c>
      <c r="C286" s="1" t="str">
        <f aca="false">Transactions!I286</f>
        <v>2026-01-18</v>
      </c>
      <c r="D286" s="1" t="n">
        <f aca="false">Transactions!J286</f>
        <v>11</v>
      </c>
      <c r="E286" s="1" t="n">
        <f aca="false">Transactions!D286</f>
        <v>142.11</v>
      </c>
      <c r="F286" s="1" t="str">
        <f aca="false">Transactions!H286</f>
        <v>ATM</v>
      </c>
      <c r="G286" s="1" t="str">
        <f aca="false">Transactions!G286</f>
        <v>Travel</v>
      </c>
      <c r="H286" s="1" t="n">
        <f aca="false">IF(COUNTIFS($B$2:$B$1489,B286,$C$2:$C$1489,C286,$D$2:$D$1489,D286)&gt;6,1,0)</f>
        <v>0</v>
      </c>
      <c r="I286" s="1" t="n">
        <f aca="false">IF(AND(F286="Wire",E286&gt;=1000,MOD(E286,1000)=0),1,0)</f>
        <v>0</v>
      </c>
      <c r="J286" s="1" t="n">
        <f aca="false">IF(AND(F286="ATM",E286&gt;2000,D286&lt;=4),1,0)</f>
        <v>0</v>
      </c>
      <c r="K286" s="1" t="n">
        <f aca="false">IF(COUNTIF('SQL Findings'!$A$4:$A$18,B286)&gt;0,1,0)</f>
        <v>1</v>
      </c>
      <c r="L286" s="1" t="n">
        <f aca="false">SUM(H286:K286)</f>
        <v>1</v>
      </c>
      <c r="M286" s="1" t="str">
        <f aca="false">IF(L286&gt;=2,"High",IF(L286=1,"Medium","Low"))</f>
        <v>Medium</v>
      </c>
    </row>
    <row r="287" customFormat="false" ht="15" hidden="false" customHeight="true" outlineLevel="0" collapsed="false">
      <c r="A287" s="1" t="str">
        <f aca="false">Transactions!A287</f>
        <v>TXN500983</v>
      </c>
      <c r="B287" s="1" t="str">
        <f aca="false">Transactions!B287</f>
        <v>ACC1043</v>
      </c>
      <c r="C287" s="1" t="str">
        <f aca="false">Transactions!I287</f>
        <v>2026-01-18</v>
      </c>
      <c r="D287" s="1" t="n">
        <f aca="false">Transactions!J287</f>
        <v>11</v>
      </c>
      <c r="E287" s="1" t="n">
        <f aca="false">Transactions!D287</f>
        <v>27.93</v>
      </c>
      <c r="F287" s="1" t="str">
        <f aca="false">Transactions!H287</f>
        <v>ATM</v>
      </c>
      <c r="G287" s="1" t="str">
        <f aca="false">Transactions!G287</f>
        <v>Electronics</v>
      </c>
      <c r="H287" s="1" t="n">
        <f aca="false">IF(COUNTIFS($B$2:$B$1489,B287,$C$2:$C$1489,C287,$D$2:$D$1489,D287)&gt;6,1,0)</f>
        <v>0</v>
      </c>
      <c r="I287" s="1" t="n">
        <f aca="false">IF(AND(F287="Wire",E287&gt;=1000,MOD(E287,1000)=0),1,0)</f>
        <v>0</v>
      </c>
      <c r="J287" s="1" t="n">
        <f aca="false">IF(AND(F287="ATM",E287&gt;2000,D287&lt;=4),1,0)</f>
        <v>0</v>
      </c>
      <c r="K287" s="1" t="n">
        <f aca="false">IF(COUNTIF('SQL Findings'!$A$4:$A$18,B287)&gt;0,1,0)</f>
        <v>0</v>
      </c>
      <c r="L287" s="1" t="n">
        <f aca="false">SUM(H287:K287)</f>
        <v>0</v>
      </c>
      <c r="M287" s="1" t="str">
        <f aca="false">IF(L287&gt;=2,"High",IF(L287=1,"Medium","Low"))</f>
        <v>Low</v>
      </c>
    </row>
    <row r="288" customFormat="false" ht="15" hidden="false" customHeight="true" outlineLevel="0" collapsed="false">
      <c r="A288" s="1" t="str">
        <f aca="false">Transactions!A288</f>
        <v>TXN500461</v>
      </c>
      <c r="B288" s="1" t="str">
        <f aca="false">Transactions!B288</f>
        <v>ACC1020</v>
      </c>
      <c r="C288" s="1" t="str">
        <f aca="false">Transactions!I288</f>
        <v>2026-01-18</v>
      </c>
      <c r="D288" s="1" t="n">
        <f aca="false">Transactions!J288</f>
        <v>11</v>
      </c>
      <c r="E288" s="1" t="n">
        <f aca="false">Transactions!D288</f>
        <v>390.82</v>
      </c>
      <c r="F288" s="1" t="str">
        <f aca="false">Transactions!H288</f>
        <v>POS</v>
      </c>
      <c r="G288" s="1" t="str">
        <f aca="false">Transactions!G288</f>
        <v>Dining</v>
      </c>
      <c r="H288" s="1" t="n">
        <f aca="false">IF(COUNTIFS($B$2:$B$1489,B288,$C$2:$C$1489,C288,$D$2:$D$1489,D288)&gt;6,1,0)</f>
        <v>0</v>
      </c>
      <c r="I288" s="1" t="n">
        <f aca="false">IF(AND(F288="Wire",E288&gt;=1000,MOD(E288,1000)=0),1,0)</f>
        <v>0</v>
      </c>
      <c r="J288" s="1" t="n">
        <f aca="false">IF(AND(F288="ATM",E288&gt;2000,D288&lt;=4),1,0)</f>
        <v>0</v>
      </c>
      <c r="K288" s="1" t="n">
        <f aca="false">IF(COUNTIF('SQL Findings'!$A$4:$A$18,B288)&gt;0,1,0)</f>
        <v>0</v>
      </c>
      <c r="L288" s="1" t="n">
        <f aca="false">SUM(H288:K288)</f>
        <v>0</v>
      </c>
      <c r="M288" s="1" t="str">
        <f aca="false">IF(L288&gt;=2,"High",IF(L288=1,"Medium","Low"))</f>
        <v>Low</v>
      </c>
    </row>
    <row r="289" customFormat="false" ht="15" hidden="false" customHeight="true" outlineLevel="0" collapsed="false">
      <c r="A289" s="1" t="str">
        <f aca="false">Transactions!A289</f>
        <v>TXN500493</v>
      </c>
      <c r="B289" s="1" t="str">
        <f aca="false">Transactions!B289</f>
        <v>ACC1022</v>
      </c>
      <c r="C289" s="1" t="str">
        <f aca="false">Transactions!I289</f>
        <v>2026-01-18</v>
      </c>
      <c r="D289" s="1" t="n">
        <f aca="false">Transactions!J289</f>
        <v>12</v>
      </c>
      <c r="E289" s="1" t="n">
        <f aca="false">Transactions!D289</f>
        <v>71.5</v>
      </c>
      <c r="F289" s="1" t="str">
        <f aca="false">Transactions!H289</f>
        <v>ATM</v>
      </c>
      <c r="G289" s="1" t="str">
        <f aca="false">Transactions!G289</f>
        <v>Dining</v>
      </c>
      <c r="H289" s="1" t="n">
        <f aca="false">IF(COUNTIFS($B$2:$B$1489,B289,$C$2:$C$1489,C289,$D$2:$D$1489,D289)&gt;6,1,0)</f>
        <v>0</v>
      </c>
      <c r="I289" s="1" t="n">
        <f aca="false">IF(AND(F289="Wire",E289&gt;=1000,MOD(E289,1000)=0),1,0)</f>
        <v>0</v>
      </c>
      <c r="J289" s="1" t="n">
        <f aca="false">IF(AND(F289="ATM",E289&gt;2000,D289&lt;=4),1,0)</f>
        <v>0</v>
      </c>
      <c r="K289" s="1" t="n">
        <f aca="false">IF(COUNTIF('SQL Findings'!$A$4:$A$18,B289)&gt;0,1,0)</f>
        <v>0</v>
      </c>
      <c r="L289" s="1" t="n">
        <f aca="false">SUM(H289:K289)</f>
        <v>0</v>
      </c>
      <c r="M289" s="1" t="str">
        <f aca="false">IF(L289&gt;=2,"High",IF(L289=1,"Medium","Low"))</f>
        <v>Low</v>
      </c>
    </row>
    <row r="290" customFormat="false" ht="15" hidden="false" customHeight="true" outlineLevel="0" collapsed="false">
      <c r="A290" s="1" t="str">
        <f aca="false">Transactions!A290</f>
        <v>TXN500858</v>
      </c>
      <c r="B290" s="1" t="str">
        <f aca="false">Transactions!B290</f>
        <v>ACC1037</v>
      </c>
      <c r="C290" s="1" t="str">
        <f aca="false">Transactions!I290</f>
        <v>2026-01-18</v>
      </c>
      <c r="D290" s="1" t="n">
        <f aca="false">Transactions!J290</f>
        <v>14</v>
      </c>
      <c r="E290" s="1" t="n">
        <f aca="false">Transactions!D290</f>
        <v>101.93</v>
      </c>
      <c r="F290" s="1" t="str">
        <f aca="false">Transactions!H290</f>
        <v>Online</v>
      </c>
      <c r="G290" s="1" t="str">
        <f aca="false">Transactions!G290</f>
        <v>Cash Withdrawal</v>
      </c>
      <c r="H290" s="1" t="n">
        <f aca="false">IF(COUNTIFS($B$2:$B$1489,B290,$C$2:$C$1489,C290,$D$2:$D$1489,D290)&gt;6,1,0)</f>
        <v>0</v>
      </c>
      <c r="I290" s="1" t="n">
        <f aca="false">IF(AND(F290="Wire",E290&gt;=1000,MOD(E290,1000)=0),1,0)</f>
        <v>0</v>
      </c>
      <c r="J290" s="1" t="n">
        <f aca="false">IF(AND(F290="ATM",E290&gt;2000,D290&lt;=4),1,0)</f>
        <v>0</v>
      </c>
      <c r="K290" s="1" t="n">
        <f aca="false">IF(COUNTIF('SQL Findings'!$A$4:$A$18,B290)&gt;0,1,0)</f>
        <v>1</v>
      </c>
      <c r="L290" s="1" t="n">
        <f aca="false">SUM(H290:K290)</f>
        <v>1</v>
      </c>
      <c r="M290" s="1" t="str">
        <f aca="false">IF(L290&gt;=2,"High",IF(L290=1,"Medium","Low"))</f>
        <v>Medium</v>
      </c>
    </row>
    <row r="291" customFormat="false" ht="15" hidden="false" customHeight="true" outlineLevel="0" collapsed="false">
      <c r="A291" s="1" t="str">
        <f aca="false">Transactions!A291</f>
        <v>TXN501478</v>
      </c>
      <c r="B291" s="1" t="str">
        <f aca="false">Transactions!B291</f>
        <v>ACC1014</v>
      </c>
      <c r="C291" s="1" t="str">
        <f aca="false">Transactions!I291</f>
        <v>2026-01-18</v>
      </c>
      <c r="D291" s="1" t="n">
        <f aca="false">Transactions!J291</f>
        <v>16</v>
      </c>
      <c r="E291" s="1" t="n">
        <f aca="false">Transactions!D291</f>
        <v>661.85</v>
      </c>
      <c r="F291" s="1" t="str">
        <f aca="false">Transactions!H291</f>
        <v>POS</v>
      </c>
      <c r="G291" s="1" t="str">
        <f aca="false">Transactions!G291</f>
        <v>Travel</v>
      </c>
      <c r="H291" s="1" t="n">
        <f aca="false">IF(COUNTIFS($B$2:$B$1489,B291,$C$2:$C$1489,C291,$D$2:$D$1489,D291)&gt;6,1,0)</f>
        <v>0</v>
      </c>
      <c r="I291" s="1" t="n">
        <f aca="false">IF(AND(F291="Wire",E291&gt;=1000,MOD(E291,1000)=0),1,0)</f>
        <v>0</v>
      </c>
      <c r="J291" s="1" t="n">
        <f aca="false">IF(AND(F291="ATM",E291&gt;2000,D291&lt;=4),1,0)</f>
        <v>0</v>
      </c>
      <c r="K291" s="1" t="n">
        <f aca="false">IF(COUNTIF('SQL Findings'!$A$4:$A$18,B291)&gt;0,1,0)</f>
        <v>1</v>
      </c>
      <c r="L291" s="1" t="n">
        <f aca="false">SUM(H291:K291)</f>
        <v>1</v>
      </c>
      <c r="M291" s="1" t="str">
        <f aca="false">IF(L291&gt;=2,"High",IF(L291=1,"Medium","Low"))</f>
        <v>Medium</v>
      </c>
    </row>
    <row r="292" customFormat="false" ht="15" hidden="false" customHeight="true" outlineLevel="0" collapsed="false">
      <c r="A292" s="1" t="str">
        <f aca="false">Transactions!A292</f>
        <v>TXN501479</v>
      </c>
      <c r="B292" s="1" t="str">
        <f aca="false">Transactions!B292</f>
        <v>ACC1014</v>
      </c>
      <c r="C292" s="1" t="str">
        <f aca="false">Transactions!I292</f>
        <v>2026-01-18</v>
      </c>
      <c r="D292" s="1" t="n">
        <f aca="false">Transactions!J292</f>
        <v>16</v>
      </c>
      <c r="E292" s="1" t="n">
        <f aca="false">Transactions!D292</f>
        <v>661.85</v>
      </c>
      <c r="F292" s="1" t="str">
        <f aca="false">Transactions!H292</f>
        <v>POS</v>
      </c>
      <c r="G292" s="1" t="str">
        <f aca="false">Transactions!G292</f>
        <v>Travel</v>
      </c>
      <c r="H292" s="1" t="n">
        <f aca="false">IF(COUNTIFS($B$2:$B$1489,B292,$C$2:$C$1489,C292,$D$2:$D$1489,D292)&gt;6,1,0)</f>
        <v>0</v>
      </c>
      <c r="I292" s="1" t="n">
        <f aca="false">IF(AND(F292="Wire",E292&gt;=1000,MOD(E292,1000)=0),1,0)</f>
        <v>0</v>
      </c>
      <c r="J292" s="1" t="n">
        <f aca="false">IF(AND(F292="ATM",E292&gt;2000,D292&lt;=4),1,0)</f>
        <v>0</v>
      </c>
      <c r="K292" s="1" t="n">
        <f aca="false">IF(COUNTIF('SQL Findings'!$A$4:$A$18,B292)&gt;0,1,0)</f>
        <v>1</v>
      </c>
      <c r="L292" s="1" t="n">
        <f aca="false">SUM(H292:K292)</f>
        <v>1</v>
      </c>
      <c r="M292" s="1" t="str">
        <f aca="false">IF(L292&gt;=2,"High",IF(L292=1,"Medium","Low"))</f>
        <v>Medium</v>
      </c>
    </row>
    <row r="293" customFormat="false" ht="15" hidden="false" customHeight="true" outlineLevel="0" collapsed="false">
      <c r="A293" s="1" t="str">
        <f aca="false">Transactions!A293</f>
        <v>TXN500339</v>
      </c>
      <c r="B293" s="1" t="str">
        <f aca="false">Transactions!B293</f>
        <v>ACC1015</v>
      </c>
      <c r="C293" s="1" t="str">
        <f aca="false">Transactions!I293</f>
        <v>2026-01-18</v>
      </c>
      <c r="D293" s="1" t="n">
        <f aca="false">Transactions!J293</f>
        <v>16</v>
      </c>
      <c r="E293" s="1" t="n">
        <f aca="false">Transactions!D293</f>
        <v>96.7</v>
      </c>
      <c r="F293" s="1" t="str">
        <f aca="false">Transactions!H293</f>
        <v>ATM</v>
      </c>
      <c r="G293" s="1" t="str">
        <f aca="false">Transactions!G293</f>
        <v>Online Marketplace</v>
      </c>
      <c r="H293" s="1" t="n">
        <f aca="false">IF(COUNTIFS($B$2:$B$1489,B293,$C$2:$C$1489,C293,$D$2:$D$1489,D293)&gt;6,1,0)</f>
        <v>0</v>
      </c>
      <c r="I293" s="1" t="n">
        <f aca="false">IF(AND(F293="Wire",E293&gt;=1000,MOD(E293,1000)=0),1,0)</f>
        <v>0</v>
      </c>
      <c r="J293" s="1" t="n">
        <f aca="false">IF(AND(F293="ATM",E293&gt;2000,D293&lt;=4),1,0)</f>
        <v>0</v>
      </c>
      <c r="K293" s="1" t="n">
        <f aca="false">IF(COUNTIF('SQL Findings'!$A$4:$A$18,B293)&gt;0,1,0)</f>
        <v>1</v>
      </c>
      <c r="L293" s="1" t="n">
        <f aca="false">SUM(H293:K293)</f>
        <v>1</v>
      </c>
      <c r="M293" s="1" t="str">
        <f aca="false">IF(L293&gt;=2,"High",IF(L293=1,"Medium","Low"))</f>
        <v>Medium</v>
      </c>
    </row>
    <row r="294" customFormat="false" ht="15" hidden="false" customHeight="true" outlineLevel="0" collapsed="false">
      <c r="A294" s="1" t="str">
        <f aca="false">Transactions!A294</f>
        <v>TXN500099</v>
      </c>
      <c r="B294" s="1" t="str">
        <f aca="false">Transactions!B294</f>
        <v>ACC1004</v>
      </c>
      <c r="C294" s="1" t="str">
        <f aca="false">Transactions!I294</f>
        <v>2026-01-18</v>
      </c>
      <c r="D294" s="1" t="n">
        <f aca="false">Transactions!J294</f>
        <v>16</v>
      </c>
      <c r="E294" s="1" t="n">
        <f aca="false">Transactions!D294</f>
        <v>66.99</v>
      </c>
      <c r="F294" s="1" t="str">
        <f aca="false">Transactions!H294</f>
        <v>Online</v>
      </c>
      <c r="G294" s="1" t="str">
        <f aca="false">Transactions!G294</f>
        <v>Cash Withdrawal</v>
      </c>
      <c r="H294" s="1" t="n">
        <f aca="false">IF(COUNTIFS($B$2:$B$1489,B294,$C$2:$C$1489,C294,$D$2:$D$1489,D294)&gt;6,1,0)</f>
        <v>0</v>
      </c>
      <c r="I294" s="1" t="n">
        <f aca="false">IF(AND(F294="Wire",E294&gt;=1000,MOD(E294,1000)=0),1,0)</f>
        <v>0</v>
      </c>
      <c r="J294" s="1" t="n">
        <f aca="false">IF(AND(F294="ATM",E294&gt;2000,D294&lt;=4),1,0)</f>
        <v>0</v>
      </c>
      <c r="K294" s="1" t="n">
        <f aca="false">IF(COUNTIF('SQL Findings'!$A$4:$A$18,B294)&gt;0,1,0)</f>
        <v>1</v>
      </c>
      <c r="L294" s="1" t="n">
        <f aca="false">SUM(H294:K294)</f>
        <v>1</v>
      </c>
      <c r="M294" s="1" t="str">
        <f aca="false">IF(L294&gt;=2,"High",IF(L294=1,"Medium","Low"))</f>
        <v>Medium</v>
      </c>
    </row>
    <row r="295" customFormat="false" ht="15" hidden="false" customHeight="true" outlineLevel="0" collapsed="false">
      <c r="A295" s="1" t="str">
        <f aca="false">Transactions!A295</f>
        <v>TXN501015</v>
      </c>
      <c r="B295" s="1" t="str">
        <f aca="false">Transactions!B295</f>
        <v>ACC1044</v>
      </c>
      <c r="C295" s="1" t="str">
        <f aca="false">Transactions!I295</f>
        <v>2026-01-18</v>
      </c>
      <c r="D295" s="1" t="n">
        <f aca="false">Transactions!J295</f>
        <v>17</v>
      </c>
      <c r="E295" s="1" t="n">
        <f aca="false">Transactions!D295</f>
        <v>318.1</v>
      </c>
      <c r="F295" s="1" t="str">
        <f aca="false">Transactions!H295</f>
        <v>ATM</v>
      </c>
      <c r="G295" s="1" t="str">
        <f aca="false">Transactions!G295</f>
        <v>Electronics</v>
      </c>
      <c r="H295" s="1" t="n">
        <f aca="false">IF(COUNTIFS($B$2:$B$1489,B295,$C$2:$C$1489,C295,$D$2:$D$1489,D295)&gt;6,1,0)</f>
        <v>0</v>
      </c>
      <c r="I295" s="1" t="n">
        <f aca="false">IF(AND(F295="Wire",E295&gt;=1000,MOD(E295,1000)=0),1,0)</f>
        <v>0</v>
      </c>
      <c r="J295" s="1" t="n">
        <f aca="false">IF(AND(F295="ATM",E295&gt;2000,D295&lt;=4),1,0)</f>
        <v>0</v>
      </c>
      <c r="K295" s="1" t="n">
        <f aca="false">IF(COUNTIF('SQL Findings'!$A$4:$A$18,B295)&gt;0,1,0)</f>
        <v>0</v>
      </c>
      <c r="L295" s="1" t="n">
        <f aca="false">SUM(H295:K295)</f>
        <v>0</v>
      </c>
      <c r="M295" s="1" t="str">
        <f aca="false">IF(L295&gt;=2,"High",IF(L295=1,"Medium","Low"))</f>
        <v>Low</v>
      </c>
    </row>
    <row r="296" customFormat="false" ht="15" hidden="false" customHeight="true" outlineLevel="0" collapsed="false">
      <c r="A296" s="1" t="str">
        <f aca="false">Transactions!A296</f>
        <v>TXN500965</v>
      </c>
      <c r="B296" s="1" t="str">
        <f aca="false">Transactions!B296</f>
        <v>ACC1042</v>
      </c>
      <c r="C296" s="1" t="str">
        <f aca="false">Transactions!I296</f>
        <v>2026-01-18</v>
      </c>
      <c r="D296" s="1" t="n">
        <f aca="false">Transactions!J296</f>
        <v>18</v>
      </c>
      <c r="E296" s="1" t="n">
        <f aca="false">Transactions!D296</f>
        <v>61.51</v>
      </c>
      <c r="F296" s="1" t="str">
        <f aca="false">Transactions!H296</f>
        <v>ATM</v>
      </c>
      <c r="G296" s="1" t="str">
        <f aca="false">Transactions!G296</f>
        <v>Utilities</v>
      </c>
      <c r="H296" s="1" t="n">
        <f aca="false">IF(COUNTIFS($B$2:$B$1489,B296,$C$2:$C$1489,C296,$D$2:$D$1489,D296)&gt;6,1,0)</f>
        <v>0</v>
      </c>
      <c r="I296" s="1" t="n">
        <f aca="false">IF(AND(F296="Wire",E296&gt;=1000,MOD(E296,1000)=0),1,0)</f>
        <v>0</v>
      </c>
      <c r="J296" s="1" t="n">
        <f aca="false">IF(AND(F296="ATM",E296&gt;2000,D296&lt;=4),1,0)</f>
        <v>0</v>
      </c>
      <c r="K296" s="1" t="n">
        <f aca="false">IF(COUNTIF('SQL Findings'!$A$4:$A$18,B296)&gt;0,1,0)</f>
        <v>1</v>
      </c>
      <c r="L296" s="1" t="n">
        <f aca="false">SUM(H296:K296)</f>
        <v>1</v>
      </c>
      <c r="M296" s="1" t="str">
        <f aca="false">IF(L296&gt;=2,"High",IF(L296=1,"Medium","Low"))</f>
        <v>Medium</v>
      </c>
    </row>
    <row r="297" customFormat="false" ht="15" hidden="false" customHeight="true" outlineLevel="0" collapsed="false">
      <c r="A297" s="1" t="str">
        <f aca="false">Transactions!A297</f>
        <v>TXN501310</v>
      </c>
      <c r="B297" s="1" t="str">
        <f aca="false">Transactions!B297</f>
        <v>ACC1057</v>
      </c>
      <c r="C297" s="1" t="str">
        <f aca="false">Transactions!I297</f>
        <v>2026-01-18</v>
      </c>
      <c r="D297" s="1" t="n">
        <f aca="false">Transactions!J297</f>
        <v>18</v>
      </c>
      <c r="E297" s="1" t="n">
        <f aca="false">Transactions!D297</f>
        <v>102.23</v>
      </c>
      <c r="F297" s="1" t="str">
        <f aca="false">Transactions!H297</f>
        <v>POS</v>
      </c>
      <c r="G297" s="1" t="str">
        <f aca="false">Transactions!G297</f>
        <v>Retail</v>
      </c>
      <c r="H297" s="1" t="n">
        <f aca="false">IF(COUNTIFS($B$2:$B$1489,B297,$C$2:$C$1489,C297,$D$2:$D$1489,D297)&gt;6,1,0)</f>
        <v>0</v>
      </c>
      <c r="I297" s="1" t="n">
        <f aca="false">IF(AND(F297="Wire",E297&gt;=1000,MOD(E297,1000)=0),1,0)</f>
        <v>0</v>
      </c>
      <c r="J297" s="1" t="n">
        <f aca="false">IF(AND(F297="ATM",E297&gt;2000,D297&lt;=4),1,0)</f>
        <v>0</v>
      </c>
      <c r="K297" s="1" t="n">
        <f aca="false">IF(COUNTIF('SQL Findings'!$A$4:$A$18,B297)&gt;0,1,0)</f>
        <v>1</v>
      </c>
      <c r="L297" s="1" t="n">
        <f aca="false">SUM(H297:K297)</f>
        <v>1</v>
      </c>
      <c r="M297" s="1" t="str">
        <f aca="false">IF(L297&gt;=2,"High",IF(L297=1,"Medium","Low"))</f>
        <v>Medium</v>
      </c>
    </row>
    <row r="298" customFormat="false" ht="15" hidden="false" customHeight="true" outlineLevel="0" collapsed="false">
      <c r="A298" s="1" t="str">
        <f aca="false">Transactions!A298</f>
        <v>TXN501154</v>
      </c>
      <c r="B298" s="1" t="str">
        <f aca="false">Transactions!B298</f>
        <v>ACC1050</v>
      </c>
      <c r="C298" s="1" t="str">
        <f aca="false">Transactions!I298</f>
        <v>2026-01-18</v>
      </c>
      <c r="D298" s="1" t="n">
        <f aca="false">Transactions!J298</f>
        <v>23</v>
      </c>
      <c r="E298" s="1" t="n">
        <f aca="false">Transactions!D298</f>
        <v>20.27</v>
      </c>
      <c r="F298" s="1" t="str">
        <f aca="false">Transactions!H298</f>
        <v>Online</v>
      </c>
      <c r="G298" s="1" t="str">
        <f aca="false">Transactions!G298</f>
        <v>Retail</v>
      </c>
      <c r="H298" s="1" t="n">
        <f aca="false">IF(COUNTIFS($B$2:$B$1489,B298,$C$2:$C$1489,C298,$D$2:$D$1489,D298)&gt;6,1,0)</f>
        <v>0</v>
      </c>
      <c r="I298" s="1" t="n">
        <f aca="false">IF(AND(F298="Wire",E298&gt;=1000,MOD(E298,1000)=0),1,0)</f>
        <v>0</v>
      </c>
      <c r="J298" s="1" t="n">
        <f aca="false">IF(AND(F298="ATM",E298&gt;2000,D298&lt;=4),1,0)</f>
        <v>0</v>
      </c>
      <c r="K298" s="1" t="n">
        <f aca="false">IF(COUNTIF('SQL Findings'!$A$4:$A$18,B298)&gt;0,1,0)</f>
        <v>0</v>
      </c>
      <c r="L298" s="1" t="n">
        <f aca="false">SUM(H298:K298)</f>
        <v>0</v>
      </c>
      <c r="M298" s="1" t="str">
        <f aca="false">IF(L298&gt;=2,"High",IF(L298=1,"Medium","Low"))</f>
        <v>Low</v>
      </c>
    </row>
    <row r="299" customFormat="false" ht="15" hidden="false" customHeight="true" outlineLevel="0" collapsed="false">
      <c r="A299" s="1" t="str">
        <f aca="false">Transactions!A299</f>
        <v>TXN500515</v>
      </c>
      <c r="B299" s="1" t="str">
        <f aca="false">Transactions!B299</f>
        <v>ACC1023</v>
      </c>
      <c r="C299" s="1" t="str">
        <f aca="false">Transactions!I299</f>
        <v>2026-01-19</v>
      </c>
      <c r="D299" s="1" t="n">
        <f aca="false">Transactions!J299</f>
        <v>0</v>
      </c>
      <c r="E299" s="1" t="n">
        <f aca="false">Transactions!D299</f>
        <v>39.68</v>
      </c>
      <c r="F299" s="1" t="str">
        <f aca="false">Transactions!H299</f>
        <v>Online</v>
      </c>
      <c r="G299" s="1" t="str">
        <f aca="false">Transactions!G299</f>
        <v>Wire Transfer</v>
      </c>
      <c r="H299" s="1" t="n">
        <f aca="false">IF(COUNTIFS($B$2:$B$1489,B299,$C$2:$C$1489,C299,$D$2:$D$1489,D299)&gt;6,1,0)</f>
        <v>0</v>
      </c>
      <c r="I299" s="1" t="n">
        <f aca="false">IF(AND(F299="Wire",E299&gt;=1000,MOD(E299,1000)=0),1,0)</f>
        <v>0</v>
      </c>
      <c r="J299" s="1" t="n">
        <f aca="false">IF(AND(F299="ATM",E299&gt;2000,D299&lt;=4),1,0)</f>
        <v>0</v>
      </c>
      <c r="K299" s="1" t="n">
        <f aca="false">IF(COUNTIF('SQL Findings'!$A$4:$A$18,B299)&gt;0,1,0)</f>
        <v>0</v>
      </c>
      <c r="L299" s="1" t="n">
        <f aca="false">SUM(H299:K299)</f>
        <v>0</v>
      </c>
      <c r="M299" s="1" t="str">
        <f aca="false">IF(L299&gt;=2,"High",IF(L299=1,"Medium","Low"))</f>
        <v>Low</v>
      </c>
    </row>
    <row r="300" customFormat="false" ht="15" hidden="false" customHeight="true" outlineLevel="0" collapsed="false">
      <c r="A300" s="1" t="str">
        <f aca="false">Transactions!A300</f>
        <v>TXN500990</v>
      </c>
      <c r="B300" s="1" t="str">
        <f aca="false">Transactions!B300</f>
        <v>ACC1043</v>
      </c>
      <c r="C300" s="1" t="str">
        <f aca="false">Transactions!I300</f>
        <v>2026-01-19</v>
      </c>
      <c r="D300" s="1" t="n">
        <f aca="false">Transactions!J300</f>
        <v>2</v>
      </c>
      <c r="E300" s="1" t="n">
        <f aca="false">Transactions!D300</f>
        <v>68.32</v>
      </c>
      <c r="F300" s="1" t="str">
        <f aca="false">Transactions!H300</f>
        <v>ATM</v>
      </c>
      <c r="G300" s="1" t="str">
        <f aca="false">Transactions!G300</f>
        <v>Travel</v>
      </c>
      <c r="H300" s="1" t="n">
        <f aca="false">IF(COUNTIFS($B$2:$B$1489,B300,$C$2:$C$1489,C300,$D$2:$D$1489,D300)&gt;6,1,0)</f>
        <v>0</v>
      </c>
      <c r="I300" s="1" t="n">
        <f aca="false">IF(AND(F300="Wire",E300&gt;=1000,MOD(E300,1000)=0),1,0)</f>
        <v>0</v>
      </c>
      <c r="J300" s="1" t="n">
        <f aca="false">IF(AND(F300="ATM",E300&gt;2000,D300&lt;=4),1,0)</f>
        <v>0</v>
      </c>
      <c r="K300" s="1" t="n">
        <f aca="false">IF(COUNTIF('SQL Findings'!$A$4:$A$18,B300)&gt;0,1,0)</f>
        <v>0</v>
      </c>
      <c r="L300" s="1" t="n">
        <f aca="false">SUM(H300:K300)</f>
        <v>0</v>
      </c>
      <c r="M300" s="1" t="str">
        <f aca="false">IF(L300&gt;=2,"High",IF(L300=1,"Medium","Low"))</f>
        <v>Low</v>
      </c>
    </row>
    <row r="301" customFormat="false" ht="15" hidden="false" customHeight="true" outlineLevel="0" collapsed="false">
      <c r="A301" s="1" t="str">
        <f aca="false">Transactions!A301</f>
        <v>TXN501107</v>
      </c>
      <c r="B301" s="1" t="str">
        <f aca="false">Transactions!B301</f>
        <v>ACC1048</v>
      </c>
      <c r="C301" s="1" t="str">
        <f aca="false">Transactions!I301</f>
        <v>2026-01-19</v>
      </c>
      <c r="D301" s="1" t="n">
        <f aca="false">Transactions!J301</f>
        <v>2</v>
      </c>
      <c r="E301" s="1" t="n">
        <f aca="false">Transactions!D301</f>
        <v>115.76</v>
      </c>
      <c r="F301" s="1" t="str">
        <f aca="false">Transactions!H301</f>
        <v>POS</v>
      </c>
      <c r="G301" s="1" t="str">
        <f aca="false">Transactions!G301</f>
        <v>Wire Transfer</v>
      </c>
      <c r="H301" s="1" t="n">
        <f aca="false">IF(COUNTIFS($B$2:$B$1489,B301,$C$2:$C$1489,C301,$D$2:$D$1489,D301)&gt;6,1,0)</f>
        <v>0</v>
      </c>
      <c r="I301" s="1" t="n">
        <f aca="false">IF(AND(F301="Wire",E301&gt;=1000,MOD(E301,1000)=0),1,0)</f>
        <v>0</v>
      </c>
      <c r="J301" s="1" t="n">
        <f aca="false">IF(AND(F301="ATM",E301&gt;2000,D301&lt;=4),1,0)</f>
        <v>0</v>
      </c>
      <c r="K301" s="1" t="n">
        <f aca="false">IF(COUNTIF('SQL Findings'!$A$4:$A$18,B301)&gt;0,1,0)</f>
        <v>0</v>
      </c>
      <c r="L301" s="1" t="n">
        <f aca="false">SUM(H301:K301)</f>
        <v>0</v>
      </c>
      <c r="M301" s="1" t="str">
        <f aca="false">IF(L301&gt;=2,"High",IF(L301=1,"Medium","Low"))</f>
        <v>Low</v>
      </c>
    </row>
    <row r="302" customFormat="false" ht="15" hidden="false" customHeight="true" outlineLevel="0" collapsed="false">
      <c r="A302" s="1" t="str">
        <f aca="false">Transactions!A302</f>
        <v>TXN500165</v>
      </c>
      <c r="B302" s="1" t="str">
        <f aca="false">Transactions!B302</f>
        <v>ACC1007</v>
      </c>
      <c r="C302" s="1" t="str">
        <f aca="false">Transactions!I302</f>
        <v>2026-01-19</v>
      </c>
      <c r="D302" s="1" t="n">
        <f aca="false">Transactions!J302</f>
        <v>3</v>
      </c>
      <c r="E302" s="1" t="n">
        <f aca="false">Transactions!D302</f>
        <v>158.7</v>
      </c>
      <c r="F302" s="1" t="str">
        <f aca="false">Transactions!H302</f>
        <v>ATM</v>
      </c>
      <c r="G302" s="1" t="str">
        <f aca="false">Transactions!G302</f>
        <v>Utilities</v>
      </c>
      <c r="H302" s="1" t="n">
        <f aca="false">IF(COUNTIFS($B$2:$B$1489,B302,$C$2:$C$1489,C302,$D$2:$D$1489,D302)&gt;6,1,0)</f>
        <v>0</v>
      </c>
      <c r="I302" s="1" t="n">
        <f aca="false">IF(AND(F302="Wire",E302&gt;=1000,MOD(E302,1000)=0),1,0)</f>
        <v>0</v>
      </c>
      <c r="J302" s="1" t="n">
        <f aca="false">IF(AND(F302="ATM",E302&gt;2000,D302&lt;=4),1,0)</f>
        <v>0</v>
      </c>
      <c r="K302" s="1" t="n">
        <f aca="false">IF(COUNTIF('SQL Findings'!$A$4:$A$18,B302)&gt;0,1,0)</f>
        <v>0</v>
      </c>
      <c r="L302" s="1" t="n">
        <f aca="false">SUM(H302:K302)</f>
        <v>0</v>
      </c>
      <c r="M302" s="1" t="str">
        <f aca="false">IF(L302&gt;=2,"High",IF(L302=1,"Medium","Low"))</f>
        <v>Low</v>
      </c>
    </row>
    <row r="303" customFormat="false" ht="15" hidden="false" customHeight="true" outlineLevel="0" collapsed="false">
      <c r="A303" s="1" t="str">
        <f aca="false">Transactions!A303</f>
        <v>TXN500405</v>
      </c>
      <c r="B303" s="1" t="str">
        <f aca="false">Transactions!B303</f>
        <v>ACC1017</v>
      </c>
      <c r="C303" s="1" t="str">
        <f aca="false">Transactions!I303</f>
        <v>2026-01-19</v>
      </c>
      <c r="D303" s="1" t="n">
        <f aca="false">Transactions!J303</f>
        <v>4</v>
      </c>
      <c r="E303" s="1" t="n">
        <f aca="false">Transactions!D303</f>
        <v>44.48</v>
      </c>
      <c r="F303" s="1" t="str">
        <f aca="false">Transactions!H303</f>
        <v>ATM</v>
      </c>
      <c r="G303" s="1" t="str">
        <f aca="false">Transactions!G303</f>
        <v>Wire Transfer</v>
      </c>
      <c r="H303" s="1" t="n">
        <f aca="false">IF(COUNTIFS($B$2:$B$1489,B303,$C$2:$C$1489,C303,$D$2:$D$1489,D303)&gt;6,1,0)</f>
        <v>0</v>
      </c>
      <c r="I303" s="1" t="n">
        <f aca="false">IF(AND(F303="Wire",E303&gt;=1000,MOD(E303,1000)=0),1,0)</f>
        <v>0</v>
      </c>
      <c r="J303" s="1" t="n">
        <f aca="false">IF(AND(F303="ATM",E303&gt;2000,D303&lt;=4),1,0)</f>
        <v>0</v>
      </c>
      <c r="K303" s="1" t="n">
        <f aca="false">IF(COUNTIF('SQL Findings'!$A$4:$A$18,B303)&gt;0,1,0)</f>
        <v>0</v>
      </c>
      <c r="L303" s="1" t="n">
        <f aca="false">SUM(H303:K303)</f>
        <v>0</v>
      </c>
      <c r="M303" s="1" t="str">
        <f aca="false">IF(L303&gt;=2,"High",IF(L303=1,"Medium","Low"))</f>
        <v>Low</v>
      </c>
    </row>
    <row r="304" customFormat="false" ht="15" hidden="false" customHeight="true" outlineLevel="0" collapsed="false">
      <c r="A304" s="1" t="str">
        <f aca="false">Transactions!A304</f>
        <v>TXN500199</v>
      </c>
      <c r="B304" s="1" t="str">
        <f aca="false">Transactions!B304</f>
        <v>ACC1008</v>
      </c>
      <c r="C304" s="1" t="str">
        <f aca="false">Transactions!I304</f>
        <v>2026-01-19</v>
      </c>
      <c r="D304" s="1" t="n">
        <f aca="false">Transactions!J304</f>
        <v>10</v>
      </c>
      <c r="E304" s="1" t="n">
        <f aca="false">Transactions!D304</f>
        <v>70.27</v>
      </c>
      <c r="F304" s="1" t="str">
        <f aca="false">Transactions!H304</f>
        <v>POS</v>
      </c>
      <c r="G304" s="1" t="str">
        <f aca="false">Transactions!G304</f>
        <v>Travel</v>
      </c>
      <c r="H304" s="1" t="n">
        <f aca="false">IF(COUNTIFS($B$2:$B$1489,B304,$C$2:$C$1489,C304,$D$2:$D$1489,D304)&gt;6,1,0)</f>
        <v>0</v>
      </c>
      <c r="I304" s="1" t="n">
        <f aca="false">IF(AND(F304="Wire",E304&gt;=1000,MOD(E304,1000)=0),1,0)</f>
        <v>0</v>
      </c>
      <c r="J304" s="1" t="n">
        <f aca="false">IF(AND(F304="ATM",E304&gt;2000,D304&lt;=4),1,0)</f>
        <v>0</v>
      </c>
      <c r="K304" s="1" t="n">
        <f aca="false">IF(COUNTIF('SQL Findings'!$A$4:$A$18,B304)&gt;0,1,0)</f>
        <v>0</v>
      </c>
      <c r="L304" s="1" t="n">
        <f aca="false">SUM(H304:K304)</f>
        <v>0</v>
      </c>
      <c r="M304" s="1" t="str">
        <f aca="false">IF(L304&gt;=2,"High",IF(L304=1,"Medium","Low"))</f>
        <v>Low</v>
      </c>
    </row>
    <row r="305" customFormat="false" ht="15" hidden="false" customHeight="true" outlineLevel="0" collapsed="false">
      <c r="A305" s="1" t="str">
        <f aca="false">Transactions!A305</f>
        <v>TXN501179</v>
      </c>
      <c r="B305" s="1" t="str">
        <f aca="false">Transactions!B305</f>
        <v>ACC1052</v>
      </c>
      <c r="C305" s="1" t="str">
        <f aca="false">Transactions!I305</f>
        <v>2026-01-19</v>
      </c>
      <c r="D305" s="1" t="n">
        <f aca="false">Transactions!J305</f>
        <v>11</v>
      </c>
      <c r="E305" s="1" t="n">
        <f aca="false">Transactions!D305</f>
        <v>27.39</v>
      </c>
      <c r="F305" s="1" t="str">
        <f aca="false">Transactions!H305</f>
        <v>POS</v>
      </c>
      <c r="G305" s="1" t="str">
        <f aca="false">Transactions!G305</f>
        <v>Dining</v>
      </c>
      <c r="H305" s="1" t="n">
        <f aca="false">IF(COUNTIFS($B$2:$B$1489,B305,$C$2:$C$1489,C305,$D$2:$D$1489,D305)&gt;6,1,0)</f>
        <v>0</v>
      </c>
      <c r="I305" s="1" t="n">
        <f aca="false">IF(AND(F305="Wire",E305&gt;=1000,MOD(E305,1000)=0),1,0)</f>
        <v>0</v>
      </c>
      <c r="J305" s="1" t="n">
        <f aca="false">IF(AND(F305="ATM",E305&gt;2000,D305&lt;=4),1,0)</f>
        <v>0</v>
      </c>
      <c r="K305" s="1" t="n">
        <f aca="false">IF(COUNTIF('SQL Findings'!$A$4:$A$18,B305)&gt;0,1,0)</f>
        <v>0</v>
      </c>
      <c r="L305" s="1" t="n">
        <f aca="false">SUM(H305:K305)</f>
        <v>0</v>
      </c>
      <c r="M305" s="1" t="str">
        <f aca="false">IF(L305&gt;=2,"High",IF(L305=1,"Medium","Low"))</f>
        <v>Low</v>
      </c>
    </row>
    <row r="306" customFormat="false" ht="15" hidden="false" customHeight="true" outlineLevel="0" collapsed="false">
      <c r="A306" s="1" t="str">
        <f aca="false">Transactions!A306</f>
        <v>TXN501354</v>
      </c>
      <c r="B306" s="1" t="str">
        <f aca="false">Transactions!B306</f>
        <v>ACC1059</v>
      </c>
      <c r="C306" s="1" t="str">
        <f aca="false">Transactions!I306</f>
        <v>2026-01-19</v>
      </c>
      <c r="D306" s="1" t="n">
        <f aca="false">Transactions!J306</f>
        <v>12</v>
      </c>
      <c r="E306" s="1" t="n">
        <f aca="false">Transactions!D306</f>
        <v>132.06</v>
      </c>
      <c r="F306" s="1" t="str">
        <f aca="false">Transactions!H306</f>
        <v>Online</v>
      </c>
      <c r="G306" s="1" t="str">
        <f aca="false">Transactions!G306</f>
        <v>Retail</v>
      </c>
      <c r="H306" s="1" t="n">
        <f aca="false">IF(COUNTIFS($B$2:$B$1489,B306,$C$2:$C$1489,C306,$D$2:$D$1489,D306)&gt;6,1,0)</f>
        <v>0</v>
      </c>
      <c r="I306" s="1" t="n">
        <f aca="false">IF(AND(F306="Wire",E306&gt;=1000,MOD(E306,1000)=0),1,0)</f>
        <v>0</v>
      </c>
      <c r="J306" s="1" t="n">
        <f aca="false">IF(AND(F306="ATM",E306&gt;2000,D306&lt;=4),1,0)</f>
        <v>0</v>
      </c>
      <c r="K306" s="1" t="n">
        <f aca="false">IF(COUNTIF('SQL Findings'!$A$4:$A$18,B306)&gt;0,1,0)</f>
        <v>0</v>
      </c>
      <c r="L306" s="1" t="n">
        <f aca="false">SUM(H306:K306)</f>
        <v>0</v>
      </c>
      <c r="M306" s="1" t="str">
        <f aca="false">IF(L306&gt;=2,"High",IF(L306=1,"Medium","Low"))</f>
        <v>Low</v>
      </c>
    </row>
    <row r="307" customFormat="false" ht="15" hidden="false" customHeight="true" outlineLevel="0" collapsed="false">
      <c r="A307" s="1" t="str">
        <f aca="false">Transactions!A307</f>
        <v>TXN501205</v>
      </c>
      <c r="B307" s="1" t="str">
        <f aca="false">Transactions!B307</f>
        <v>ACC1053</v>
      </c>
      <c r="C307" s="1" t="str">
        <f aca="false">Transactions!I307</f>
        <v>2026-01-19</v>
      </c>
      <c r="D307" s="1" t="n">
        <f aca="false">Transactions!J307</f>
        <v>14</v>
      </c>
      <c r="E307" s="1" t="n">
        <f aca="false">Transactions!D307</f>
        <v>69.68</v>
      </c>
      <c r="F307" s="1" t="str">
        <f aca="false">Transactions!H307</f>
        <v>Online</v>
      </c>
      <c r="G307" s="1" t="str">
        <f aca="false">Transactions!G307</f>
        <v>Travel</v>
      </c>
      <c r="H307" s="1" t="n">
        <f aca="false">IF(COUNTIFS($B$2:$B$1489,B307,$C$2:$C$1489,C307,$D$2:$D$1489,D307)&gt;6,1,0)</f>
        <v>0</v>
      </c>
      <c r="I307" s="1" t="n">
        <f aca="false">IF(AND(F307="Wire",E307&gt;=1000,MOD(E307,1000)=0),1,0)</f>
        <v>0</v>
      </c>
      <c r="J307" s="1" t="n">
        <f aca="false">IF(AND(F307="ATM",E307&gt;2000,D307&lt;=4),1,0)</f>
        <v>0</v>
      </c>
      <c r="K307" s="1" t="n">
        <f aca="false">IF(COUNTIF('SQL Findings'!$A$4:$A$18,B307)&gt;0,1,0)</f>
        <v>0</v>
      </c>
      <c r="L307" s="1" t="n">
        <f aca="false">SUM(H307:K307)</f>
        <v>0</v>
      </c>
      <c r="M307" s="1" t="str">
        <f aca="false">IF(L307&gt;=2,"High",IF(L307=1,"Medium","Low"))</f>
        <v>Low</v>
      </c>
    </row>
    <row r="308" customFormat="false" ht="15" hidden="false" customHeight="true" outlineLevel="0" collapsed="false">
      <c r="A308" s="1" t="str">
        <f aca="false">Transactions!A308</f>
        <v>TXN500275</v>
      </c>
      <c r="B308" s="1" t="str">
        <f aca="false">Transactions!B308</f>
        <v>ACC1012</v>
      </c>
      <c r="C308" s="1" t="str">
        <f aca="false">Transactions!I308</f>
        <v>2026-01-19</v>
      </c>
      <c r="D308" s="1" t="n">
        <f aca="false">Transactions!J308</f>
        <v>15</v>
      </c>
      <c r="E308" s="1" t="n">
        <f aca="false">Transactions!D308</f>
        <v>27.57</v>
      </c>
      <c r="F308" s="1" t="str">
        <f aca="false">Transactions!H308</f>
        <v>ATM</v>
      </c>
      <c r="G308" s="1" t="str">
        <f aca="false">Transactions!G308</f>
        <v>Electronics</v>
      </c>
      <c r="H308" s="1" t="n">
        <f aca="false">IF(COUNTIFS($B$2:$B$1489,B308,$C$2:$C$1489,C308,$D$2:$D$1489,D308)&gt;6,1,0)</f>
        <v>0</v>
      </c>
      <c r="I308" s="1" t="n">
        <f aca="false">IF(AND(F308="Wire",E308&gt;=1000,MOD(E308,1000)=0),1,0)</f>
        <v>0</v>
      </c>
      <c r="J308" s="1" t="n">
        <f aca="false">IF(AND(F308="ATM",E308&gt;2000,D308&lt;=4),1,0)</f>
        <v>0</v>
      </c>
      <c r="K308" s="1" t="n">
        <f aca="false">IF(COUNTIF('SQL Findings'!$A$4:$A$18,B308)&gt;0,1,0)</f>
        <v>0</v>
      </c>
      <c r="L308" s="1" t="n">
        <f aca="false">SUM(H308:K308)</f>
        <v>0</v>
      </c>
      <c r="M308" s="1" t="str">
        <f aca="false">IF(L308&gt;=2,"High",IF(L308=1,"Medium","Low"))</f>
        <v>Low</v>
      </c>
    </row>
    <row r="309" customFormat="false" ht="15" hidden="false" customHeight="true" outlineLevel="0" collapsed="false">
      <c r="A309" s="1" t="str">
        <f aca="false">Transactions!A309</f>
        <v>TXN500246</v>
      </c>
      <c r="B309" s="1" t="str">
        <f aca="false">Transactions!B309</f>
        <v>ACC1010</v>
      </c>
      <c r="C309" s="1" t="str">
        <f aca="false">Transactions!I309</f>
        <v>2026-01-19</v>
      </c>
      <c r="D309" s="1" t="n">
        <f aca="false">Transactions!J309</f>
        <v>16</v>
      </c>
      <c r="E309" s="1" t="n">
        <f aca="false">Transactions!D309</f>
        <v>49.35</v>
      </c>
      <c r="F309" s="1" t="str">
        <f aca="false">Transactions!H309</f>
        <v>Online</v>
      </c>
      <c r="G309" s="1" t="str">
        <f aca="false">Transactions!G309</f>
        <v>Retail</v>
      </c>
      <c r="H309" s="1" t="n">
        <f aca="false">IF(COUNTIFS($B$2:$B$1489,B309,$C$2:$C$1489,C309,$D$2:$D$1489,D309)&gt;6,1,0)</f>
        <v>0</v>
      </c>
      <c r="I309" s="1" t="n">
        <f aca="false">IF(AND(F309="Wire",E309&gt;=1000,MOD(E309,1000)=0),1,0)</f>
        <v>0</v>
      </c>
      <c r="J309" s="1" t="n">
        <f aca="false">IF(AND(F309="ATM",E309&gt;2000,D309&lt;=4),1,0)</f>
        <v>0</v>
      </c>
      <c r="K309" s="1" t="n">
        <f aca="false">IF(COUNTIF('SQL Findings'!$A$4:$A$18,B309)&gt;0,1,0)</f>
        <v>0</v>
      </c>
      <c r="L309" s="1" t="n">
        <f aca="false">SUM(H309:K309)</f>
        <v>0</v>
      </c>
      <c r="M309" s="1" t="str">
        <f aca="false">IF(L309&gt;=2,"High",IF(L309=1,"Medium","Low"))</f>
        <v>Low</v>
      </c>
    </row>
    <row r="310" customFormat="false" ht="15" hidden="false" customHeight="true" outlineLevel="0" collapsed="false">
      <c r="A310" s="1" t="str">
        <f aca="false">Transactions!A310</f>
        <v>TXN500501</v>
      </c>
      <c r="B310" s="1" t="str">
        <f aca="false">Transactions!B310</f>
        <v>ACC1022</v>
      </c>
      <c r="C310" s="1" t="str">
        <f aca="false">Transactions!I310</f>
        <v>2026-01-19</v>
      </c>
      <c r="D310" s="1" t="n">
        <f aca="false">Transactions!J310</f>
        <v>16</v>
      </c>
      <c r="E310" s="1" t="n">
        <f aca="false">Transactions!D310</f>
        <v>153.48</v>
      </c>
      <c r="F310" s="1" t="str">
        <f aca="false">Transactions!H310</f>
        <v>ATM</v>
      </c>
      <c r="G310" s="1" t="str">
        <f aca="false">Transactions!G310</f>
        <v>Retail</v>
      </c>
      <c r="H310" s="1" t="n">
        <f aca="false">IF(COUNTIFS($B$2:$B$1489,B310,$C$2:$C$1489,C310,$D$2:$D$1489,D310)&gt;6,1,0)</f>
        <v>0</v>
      </c>
      <c r="I310" s="1" t="n">
        <f aca="false">IF(AND(F310="Wire",E310&gt;=1000,MOD(E310,1000)=0),1,0)</f>
        <v>0</v>
      </c>
      <c r="J310" s="1" t="n">
        <f aca="false">IF(AND(F310="ATM",E310&gt;2000,D310&lt;=4),1,0)</f>
        <v>0</v>
      </c>
      <c r="K310" s="1" t="n">
        <f aca="false">IF(COUNTIF('SQL Findings'!$A$4:$A$18,B310)&gt;0,1,0)</f>
        <v>0</v>
      </c>
      <c r="L310" s="1" t="n">
        <f aca="false">SUM(H310:K310)</f>
        <v>0</v>
      </c>
      <c r="M310" s="1" t="str">
        <f aca="false">IF(L310&gt;=2,"High",IF(L310=1,"Medium","Low"))</f>
        <v>Low</v>
      </c>
    </row>
    <row r="311" customFormat="false" ht="15" hidden="false" customHeight="true" outlineLevel="0" collapsed="false">
      <c r="A311" s="1" t="str">
        <f aca="false">Transactions!A311</f>
        <v>TXN501243</v>
      </c>
      <c r="B311" s="1" t="str">
        <f aca="false">Transactions!B311</f>
        <v>ACC1054</v>
      </c>
      <c r="C311" s="1" t="str">
        <f aca="false">Transactions!I311</f>
        <v>2026-01-19</v>
      </c>
      <c r="D311" s="1" t="n">
        <f aca="false">Transactions!J311</f>
        <v>17</v>
      </c>
      <c r="E311" s="1" t="n">
        <f aca="false">Transactions!D311</f>
        <v>39.51</v>
      </c>
      <c r="F311" s="1" t="str">
        <f aca="false">Transactions!H311</f>
        <v>Online</v>
      </c>
      <c r="G311" s="1" t="str">
        <f aca="false">Transactions!G311</f>
        <v>Utilities</v>
      </c>
      <c r="H311" s="1" t="n">
        <f aca="false">IF(COUNTIFS($B$2:$B$1489,B311,$C$2:$C$1489,C311,$D$2:$D$1489,D311)&gt;6,1,0)</f>
        <v>0</v>
      </c>
      <c r="I311" s="1" t="n">
        <f aca="false">IF(AND(F311="Wire",E311&gt;=1000,MOD(E311,1000)=0),1,0)</f>
        <v>0</v>
      </c>
      <c r="J311" s="1" t="n">
        <f aca="false">IF(AND(F311="ATM",E311&gt;2000,D311&lt;=4),1,0)</f>
        <v>0</v>
      </c>
      <c r="K311" s="1" t="n">
        <f aca="false">IF(COUNTIF('SQL Findings'!$A$4:$A$18,B311)&gt;0,1,0)</f>
        <v>0</v>
      </c>
      <c r="L311" s="1" t="n">
        <f aca="false">SUM(H311:K311)</f>
        <v>0</v>
      </c>
      <c r="M311" s="1" t="str">
        <f aca="false">IF(L311&gt;=2,"High",IF(L311=1,"Medium","Low"))</f>
        <v>Low</v>
      </c>
    </row>
    <row r="312" customFormat="false" ht="15" hidden="false" customHeight="true" outlineLevel="0" collapsed="false">
      <c r="A312" s="1" t="str">
        <f aca="false">Transactions!A312</f>
        <v>TXN500368</v>
      </c>
      <c r="B312" s="1" t="str">
        <f aca="false">Transactions!B312</f>
        <v>ACC1016</v>
      </c>
      <c r="C312" s="1" t="str">
        <f aca="false">Transactions!I312</f>
        <v>2026-01-19</v>
      </c>
      <c r="D312" s="1" t="n">
        <f aca="false">Transactions!J312</f>
        <v>17</v>
      </c>
      <c r="E312" s="1" t="n">
        <f aca="false">Transactions!D312</f>
        <v>67.45</v>
      </c>
      <c r="F312" s="1" t="str">
        <f aca="false">Transactions!H312</f>
        <v>POS</v>
      </c>
      <c r="G312" s="1" t="str">
        <f aca="false">Transactions!G312</f>
        <v>Online Marketplace</v>
      </c>
      <c r="H312" s="1" t="n">
        <f aca="false">IF(COUNTIFS($B$2:$B$1489,B312,$C$2:$C$1489,C312,$D$2:$D$1489,D312)&gt;6,1,0)</f>
        <v>0</v>
      </c>
      <c r="I312" s="1" t="n">
        <f aca="false">IF(AND(F312="Wire",E312&gt;=1000,MOD(E312,1000)=0),1,0)</f>
        <v>0</v>
      </c>
      <c r="J312" s="1" t="n">
        <f aca="false">IF(AND(F312="ATM",E312&gt;2000,D312&lt;=4),1,0)</f>
        <v>0</v>
      </c>
      <c r="K312" s="1" t="n">
        <f aca="false">IF(COUNTIF('SQL Findings'!$A$4:$A$18,B312)&gt;0,1,0)</f>
        <v>0</v>
      </c>
      <c r="L312" s="1" t="n">
        <f aca="false">SUM(H312:K312)</f>
        <v>0</v>
      </c>
      <c r="M312" s="1" t="str">
        <f aca="false">IF(L312&gt;=2,"High",IF(L312=1,"Medium","Low"))</f>
        <v>Low</v>
      </c>
    </row>
    <row r="313" customFormat="false" ht="15" hidden="false" customHeight="true" outlineLevel="0" collapsed="false">
      <c r="A313" s="1" t="str">
        <f aca="false">Transactions!A313</f>
        <v>TXN500247</v>
      </c>
      <c r="B313" s="1" t="str">
        <f aca="false">Transactions!B313</f>
        <v>ACC1010</v>
      </c>
      <c r="C313" s="1" t="str">
        <f aca="false">Transactions!I313</f>
        <v>2026-01-19</v>
      </c>
      <c r="D313" s="1" t="n">
        <f aca="false">Transactions!J313</f>
        <v>23</v>
      </c>
      <c r="E313" s="1" t="n">
        <f aca="false">Transactions!D313</f>
        <v>43.49</v>
      </c>
      <c r="F313" s="1" t="str">
        <f aca="false">Transactions!H313</f>
        <v>POS</v>
      </c>
      <c r="G313" s="1" t="str">
        <f aca="false">Transactions!G313</f>
        <v>Utilities</v>
      </c>
      <c r="H313" s="1" t="n">
        <f aca="false">IF(COUNTIFS($B$2:$B$1489,B313,$C$2:$C$1489,C313,$D$2:$D$1489,D313)&gt;6,1,0)</f>
        <v>0</v>
      </c>
      <c r="I313" s="1" t="n">
        <f aca="false">IF(AND(F313="Wire",E313&gt;=1000,MOD(E313,1000)=0),1,0)</f>
        <v>0</v>
      </c>
      <c r="J313" s="1" t="n">
        <f aca="false">IF(AND(F313="ATM",E313&gt;2000,D313&lt;=4),1,0)</f>
        <v>0</v>
      </c>
      <c r="K313" s="1" t="n">
        <f aca="false">IF(COUNTIF('SQL Findings'!$A$4:$A$18,B313)&gt;0,1,0)</f>
        <v>0</v>
      </c>
      <c r="L313" s="1" t="n">
        <f aca="false">SUM(H313:K313)</f>
        <v>0</v>
      </c>
      <c r="M313" s="1" t="str">
        <f aca="false">IF(L313&gt;=2,"High",IF(L313=1,"Medium","Low"))</f>
        <v>Low</v>
      </c>
    </row>
    <row r="314" customFormat="false" ht="15" hidden="false" customHeight="true" outlineLevel="0" collapsed="false">
      <c r="A314" s="1" t="str">
        <f aca="false">Transactions!A314</f>
        <v>TXN500523</v>
      </c>
      <c r="B314" s="1" t="str">
        <f aca="false">Transactions!B314</f>
        <v>ACC1023</v>
      </c>
      <c r="C314" s="1" t="str">
        <f aca="false">Transactions!I314</f>
        <v>2026-01-20</v>
      </c>
      <c r="D314" s="1" t="n">
        <f aca="false">Transactions!J314</f>
        <v>0</v>
      </c>
      <c r="E314" s="1" t="n">
        <f aca="false">Transactions!D314</f>
        <v>36.73</v>
      </c>
      <c r="F314" s="1" t="str">
        <f aca="false">Transactions!H314</f>
        <v>Online</v>
      </c>
      <c r="G314" s="1" t="str">
        <f aca="false">Transactions!G314</f>
        <v>Online Marketplace</v>
      </c>
      <c r="H314" s="1" t="n">
        <f aca="false">IF(COUNTIFS($B$2:$B$1489,B314,$C$2:$C$1489,C314,$D$2:$D$1489,D314)&gt;6,1,0)</f>
        <v>0</v>
      </c>
      <c r="I314" s="1" t="n">
        <f aca="false">IF(AND(F314="Wire",E314&gt;=1000,MOD(E314,1000)=0),1,0)</f>
        <v>0</v>
      </c>
      <c r="J314" s="1" t="n">
        <f aca="false">IF(AND(F314="ATM",E314&gt;2000,D314&lt;=4),1,0)</f>
        <v>0</v>
      </c>
      <c r="K314" s="1" t="n">
        <f aca="false">IF(COUNTIF('SQL Findings'!$A$4:$A$18,B314)&gt;0,1,0)</f>
        <v>0</v>
      </c>
      <c r="L314" s="1" t="n">
        <f aca="false">SUM(H314:K314)</f>
        <v>0</v>
      </c>
      <c r="M314" s="1" t="str">
        <f aca="false">IF(L314&gt;=2,"High",IF(L314=1,"Medium","Low"))</f>
        <v>Low</v>
      </c>
    </row>
    <row r="315" customFormat="false" ht="15" hidden="false" customHeight="true" outlineLevel="0" collapsed="false">
      <c r="A315" s="1" t="str">
        <f aca="false">Transactions!A315</f>
        <v>TXN500920</v>
      </c>
      <c r="B315" s="1" t="str">
        <f aca="false">Transactions!B315</f>
        <v>ACC1039</v>
      </c>
      <c r="C315" s="1" t="str">
        <f aca="false">Transactions!I315</f>
        <v>2026-01-20</v>
      </c>
      <c r="D315" s="1" t="n">
        <f aca="false">Transactions!J315</f>
        <v>1</v>
      </c>
      <c r="E315" s="1" t="n">
        <f aca="false">Transactions!D315</f>
        <v>79.41</v>
      </c>
      <c r="F315" s="1" t="str">
        <f aca="false">Transactions!H315</f>
        <v>ATM</v>
      </c>
      <c r="G315" s="1" t="str">
        <f aca="false">Transactions!G315</f>
        <v>Cash Withdrawal</v>
      </c>
      <c r="H315" s="1" t="n">
        <f aca="false">IF(COUNTIFS($B$2:$B$1489,B315,$C$2:$C$1489,C315,$D$2:$D$1489,D315)&gt;6,1,0)</f>
        <v>0</v>
      </c>
      <c r="I315" s="1" t="n">
        <f aca="false">IF(AND(F315="Wire",E315&gt;=1000,MOD(E315,1000)=0),1,0)</f>
        <v>0</v>
      </c>
      <c r="J315" s="1" t="n">
        <f aca="false">IF(AND(F315="ATM",E315&gt;2000,D315&lt;=4),1,0)</f>
        <v>0</v>
      </c>
      <c r="K315" s="1" t="n">
        <f aca="false">IF(COUNTIF('SQL Findings'!$A$4:$A$18,B315)&gt;0,1,0)</f>
        <v>0</v>
      </c>
      <c r="L315" s="1" t="n">
        <f aca="false">SUM(H315:K315)</f>
        <v>0</v>
      </c>
      <c r="M315" s="1" t="str">
        <f aca="false">IF(L315&gt;=2,"High",IF(L315=1,"Medium","Low"))</f>
        <v>Low</v>
      </c>
    </row>
    <row r="316" customFormat="false" ht="15" hidden="false" customHeight="true" outlineLevel="0" collapsed="false">
      <c r="A316" s="1" t="str">
        <f aca="false">Transactions!A316</f>
        <v>TXN501102</v>
      </c>
      <c r="B316" s="1" t="str">
        <f aca="false">Transactions!B316</f>
        <v>ACC1048</v>
      </c>
      <c r="C316" s="1" t="str">
        <f aca="false">Transactions!I316</f>
        <v>2026-01-20</v>
      </c>
      <c r="D316" s="1" t="n">
        <f aca="false">Transactions!J316</f>
        <v>2</v>
      </c>
      <c r="E316" s="1" t="n">
        <f aca="false">Transactions!D316</f>
        <v>4.92</v>
      </c>
      <c r="F316" s="1" t="str">
        <f aca="false">Transactions!H316</f>
        <v>POS</v>
      </c>
      <c r="G316" s="1" t="str">
        <f aca="false">Transactions!G316</f>
        <v>Retail</v>
      </c>
      <c r="H316" s="1" t="n">
        <f aca="false">IF(COUNTIFS($B$2:$B$1489,B316,$C$2:$C$1489,C316,$D$2:$D$1489,D316)&gt;6,1,0)</f>
        <v>0</v>
      </c>
      <c r="I316" s="1" t="n">
        <f aca="false">IF(AND(F316="Wire",E316&gt;=1000,MOD(E316,1000)=0),1,0)</f>
        <v>0</v>
      </c>
      <c r="J316" s="1" t="n">
        <f aca="false">IF(AND(F316="ATM",E316&gt;2000,D316&lt;=4),1,0)</f>
        <v>0</v>
      </c>
      <c r="K316" s="1" t="n">
        <f aca="false">IF(COUNTIF('SQL Findings'!$A$4:$A$18,B316)&gt;0,1,0)</f>
        <v>0</v>
      </c>
      <c r="L316" s="1" t="n">
        <f aca="false">SUM(H316:K316)</f>
        <v>0</v>
      </c>
      <c r="M316" s="1" t="str">
        <f aca="false">IF(L316&gt;=2,"High",IF(L316=1,"Medium","Low"))</f>
        <v>Low</v>
      </c>
    </row>
    <row r="317" customFormat="false" ht="15" hidden="false" customHeight="true" outlineLevel="0" collapsed="false">
      <c r="A317" s="1" t="str">
        <f aca="false">Transactions!A317</f>
        <v>TXN500674</v>
      </c>
      <c r="B317" s="1" t="str">
        <f aca="false">Transactions!B317</f>
        <v>ACC1029</v>
      </c>
      <c r="C317" s="1" t="str">
        <f aca="false">Transactions!I317</f>
        <v>2026-01-20</v>
      </c>
      <c r="D317" s="1" t="n">
        <f aca="false">Transactions!J317</f>
        <v>6</v>
      </c>
      <c r="E317" s="1" t="n">
        <f aca="false">Transactions!D317</f>
        <v>47.74</v>
      </c>
      <c r="F317" s="1" t="str">
        <f aca="false">Transactions!H317</f>
        <v>ATM</v>
      </c>
      <c r="G317" s="1" t="str">
        <f aca="false">Transactions!G317</f>
        <v>Retail</v>
      </c>
      <c r="H317" s="1" t="n">
        <f aca="false">IF(COUNTIFS($B$2:$B$1489,B317,$C$2:$C$1489,C317,$D$2:$D$1489,D317)&gt;6,1,0)</f>
        <v>0</v>
      </c>
      <c r="I317" s="1" t="n">
        <f aca="false">IF(AND(F317="Wire",E317&gt;=1000,MOD(E317,1000)=0),1,0)</f>
        <v>0</v>
      </c>
      <c r="J317" s="1" t="n">
        <f aca="false">IF(AND(F317="ATM",E317&gt;2000,D317&lt;=4),1,0)</f>
        <v>0</v>
      </c>
      <c r="K317" s="1" t="n">
        <f aca="false">IF(COUNTIF('SQL Findings'!$A$4:$A$18,B317)&gt;0,1,0)</f>
        <v>0</v>
      </c>
      <c r="L317" s="1" t="n">
        <f aca="false">SUM(H317:K317)</f>
        <v>0</v>
      </c>
      <c r="M317" s="1" t="str">
        <f aca="false">IF(L317&gt;=2,"High",IF(L317=1,"Medium","Low"))</f>
        <v>Low</v>
      </c>
    </row>
    <row r="318" customFormat="false" ht="15" hidden="false" customHeight="true" outlineLevel="0" collapsed="false">
      <c r="A318" s="1" t="str">
        <f aca="false">Transactions!A318</f>
        <v>TXN500516</v>
      </c>
      <c r="B318" s="1" t="str">
        <f aca="false">Transactions!B318</f>
        <v>ACC1023</v>
      </c>
      <c r="C318" s="1" t="str">
        <f aca="false">Transactions!I318</f>
        <v>2026-01-20</v>
      </c>
      <c r="D318" s="1" t="n">
        <f aca="false">Transactions!J318</f>
        <v>7</v>
      </c>
      <c r="E318" s="1" t="n">
        <f aca="false">Transactions!D318</f>
        <v>131.61</v>
      </c>
      <c r="F318" s="1" t="str">
        <f aca="false">Transactions!H318</f>
        <v>ATM</v>
      </c>
      <c r="G318" s="1" t="str">
        <f aca="false">Transactions!G318</f>
        <v>Wire Transfer</v>
      </c>
      <c r="H318" s="1" t="n">
        <f aca="false">IF(COUNTIFS($B$2:$B$1489,B318,$C$2:$C$1489,C318,$D$2:$D$1489,D318)&gt;6,1,0)</f>
        <v>0</v>
      </c>
      <c r="I318" s="1" t="n">
        <f aca="false">IF(AND(F318="Wire",E318&gt;=1000,MOD(E318,1000)=0),1,0)</f>
        <v>0</v>
      </c>
      <c r="J318" s="1" t="n">
        <f aca="false">IF(AND(F318="ATM",E318&gt;2000,D318&lt;=4),1,0)</f>
        <v>0</v>
      </c>
      <c r="K318" s="1" t="n">
        <f aca="false">IF(COUNTIF('SQL Findings'!$A$4:$A$18,B318)&gt;0,1,0)</f>
        <v>0</v>
      </c>
      <c r="L318" s="1" t="n">
        <f aca="false">SUM(H318:K318)</f>
        <v>0</v>
      </c>
      <c r="M318" s="1" t="str">
        <f aca="false">IF(L318&gt;=2,"High",IF(L318=1,"Medium","Low"))</f>
        <v>Low</v>
      </c>
    </row>
    <row r="319" customFormat="false" ht="15" hidden="false" customHeight="true" outlineLevel="0" collapsed="false">
      <c r="A319" s="1" t="str">
        <f aca="false">Transactions!A319</f>
        <v>TXN501268</v>
      </c>
      <c r="B319" s="1" t="str">
        <f aca="false">Transactions!B319</f>
        <v>ACC1055</v>
      </c>
      <c r="C319" s="1" t="str">
        <f aca="false">Transactions!I319</f>
        <v>2026-01-20</v>
      </c>
      <c r="D319" s="1" t="n">
        <f aca="false">Transactions!J319</f>
        <v>8</v>
      </c>
      <c r="E319" s="1" t="n">
        <f aca="false">Transactions!D319</f>
        <v>29.56</v>
      </c>
      <c r="F319" s="1" t="str">
        <f aca="false">Transactions!H319</f>
        <v>Online</v>
      </c>
      <c r="G319" s="1" t="str">
        <f aca="false">Transactions!G319</f>
        <v>Cash Withdrawal</v>
      </c>
      <c r="H319" s="1" t="n">
        <f aca="false">IF(COUNTIFS($B$2:$B$1489,B319,$C$2:$C$1489,C319,$D$2:$D$1489,D319)&gt;6,1,0)</f>
        <v>0</v>
      </c>
      <c r="I319" s="1" t="n">
        <f aca="false">IF(AND(F319="Wire",E319&gt;=1000,MOD(E319,1000)=0),1,0)</f>
        <v>0</v>
      </c>
      <c r="J319" s="1" t="n">
        <f aca="false">IF(AND(F319="ATM",E319&gt;2000,D319&lt;=4),1,0)</f>
        <v>0</v>
      </c>
      <c r="K319" s="1" t="n">
        <f aca="false">IF(COUNTIF('SQL Findings'!$A$4:$A$18,B319)&gt;0,1,0)</f>
        <v>1</v>
      </c>
      <c r="L319" s="1" t="n">
        <f aca="false">SUM(H319:K319)</f>
        <v>1</v>
      </c>
      <c r="M319" s="1" t="str">
        <f aca="false">IF(L319&gt;=2,"High",IF(L319=1,"Medium","Low"))</f>
        <v>Medium</v>
      </c>
    </row>
    <row r="320" customFormat="false" ht="15" hidden="false" customHeight="true" outlineLevel="0" collapsed="false">
      <c r="A320" s="1" t="str">
        <f aca="false">Transactions!A320</f>
        <v>TXN501322</v>
      </c>
      <c r="B320" s="1" t="str">
        <f aca="false">Transactions!B320</f>
        <v>ACC1057</v>
      </c>
      <c r="C320" s="1" t="str">
        <f aca="false">Transactions!I320</f>
        <v>2026-01-20</v>
      </c>
      <c r="D320" s="1" t="n">
        <f aca="false">Transactions!J320</f>
        <v>8</v>
      </c>
      <c r="E320" s="1" t="n">
        <f aca="false">Transactions!D320</f>
        <v>107.42</v>
      </c>
      <c r="F320" s="1" t="str">
        <f aca="false">Transactions!H320</f>
        <v>POS</v>
      </c>
      <c r="G320" s="1" t="str">
        <f aca="false">Transactions!G320</f>
        <v>Travel</v>
      </c>
      <c r="H320" s="1" t="n">
        <f aca="false">IF(COUNTIFS($B$2:$B$1489,B320,$C$2:$C$1489,C320,$D$2:$D$1489,D320)&gt;6,1,0)</f>
        <v>0</v>
      </c>
      <c r="I320" s="1" t="n">
        <f aca="false">IF(AND(F320="Wire",E320&gt;=1000,MOD(E320,1000)=0),1,0)</f>
        <v>0</v>
      </c>
      <c r="J320" s="1" t="n">
        <f aca="false">IF(AND(F320="ATM",E320&gt;2000,D320&lt;=4),1,0)</f>
        <v>0</v>
      </c>
      <c r="K320" s="1" t="n">
        <f aca="false">IF(COUNTIF('SQL Findings'!$A$4:$A$18,B320)&gt;0,1,0)</f>
        <v>1</v>
      </c>
      <c r="L320" s="1" t="n">
        <f aca="false">SUM(H320:K320)</f>
        <v>1</v>
      </c>
      <c r="M320" s="1" t="str">
        <f aca="false">IF(L320&gt;=2,"High",IF(L320=1,"Medium","Low"))</f>
        <v>Medium</v>
      </c>
    </row>
    <row r="321" customFormat="false" ht="15" hidden="false" customHeight="true" outlineLevel="0" collapsed="false">
      <c r="A321" s="1" t="str">
        <f aca="false">Transactions!A321</f>
        <v>TXN500488</v>
      </c>
      <c r="B321" s="1" t="str">
        <f aca="false">Transactions!B321</f>
        <v>ACC1021</v>
      </c>
      <c r="C321" s="1" t="str">
        <f aca="false">Transactions!I321</f>
        <v>2026-01-20</v>
      </c>
      <c r="D321" s="1" t="n">
        <f aca="false">Transactions!J321</f>
        <v>8</v>
      </c>
      <c r="E321" s="1" t="n">
        <f aca="false">Transactions!D321</f>
        <v>25.19</v>
      </c>
      <c r="F321" s="1" t="str">
        <f aca="false">Transactions!H321</f>
        <v>POS</v>
      </c>
      <c r="G321" s="1" t="str">
        <f aca="false">Transactions!G321</f>
        <v>Electronics</v>
      </c>
      <c r="H321" s="1" t="n">
        <f aca="false">IF(COUNTIFS($B$2:$B$1489,B321,$C$2:$C$1489,C321,$D$2:$D$1489,D321)&gt;6,1,0)</f>
        <v>0</v>
      </c>
      <c r="I321" s="1" t="n">
        <f aca="false">IF(AND(F321="Wire",E321&gt;=1000,MOD(E321,1000)=0),1,0)</f>
        <v>0</v>
      </c>
      <c r="J321" s="1" t="n">
        <f aca="false">IF(AND(F321="ATM",E321&gt;2000,D321&lt;=4),1,0)</f>
        <v>0</v>
      </c>
      <c r="K321" s="1" t="n">
        <f aca="false">IF(COUNTIF('SQL Findings'!$A$4:$A$18,B321)&gt;0,1,0)</f>
        <v>0</v>
      </c>
      <c r="L321" s="1" t="n">
        <f aca="false">SUM(H321:K321)</f>
        <v>0</v>
      </c>
      <c r="M321" s="1" t="str">
        <f aca="false">IF(L321&gt;=2,"High",IF(L321=1,"Medium","Low"))</f>
        <v>Low</v>
      </c>
    </row>
    <row r="322" customFormat="false" ht="15" hidden="false" customHeight="true" outlineLevel="0" collapsed="false">
      <c r="A322" s="1" t="str">
        <f aca="false">Transactions!A322</f>
        <v>TXN500131</v>
      </c>
      <c r="B322" s="1" t="str">
        <f aca="false">Transactions!B322</f>
        <v>ACC1005</v>
      </c>
      <c r="C322" s="1" t="str">
        <f aca="false">Transactions!I322</f>
        <v>2026-01-20</v>
      </c>
      <c r="D322" s="1" t="n">
        <f aca="false">Transactions!J322</f>
        <v>10</v>
      </c>
      <c r="E322" s="1" t="n">
        <f aca="false">Transactions!D322</f>
        <v>16.52</v>
      </c>
      <c r="F322" s="1" t="str">
        <f aca="false">Transactions!H322</f>
        <v>ATM</v>
      </c>
      <c r="G322" s="1" t="str">
        <f aca="false">Transactions!G322</f>
        <v>Utilities</v>
      </c>
      <c r="H322" s="1" t="n">
        <f aca="false">IF(COUNTIFS($B$2:$B$1489,B322,$C$2:$C$1489,C322,$D$2:$D$1489,D322)&gt;6,1,0)</f>
        <v>0</v>
      </c>
      <c r="I322" s="1" t="n">
        <f aca="false">IF(AND(F322="Wire",E322&gt;=1000,MOD(E322,1000)=0),1,0)</f>
        <v>0</v>
      </c>
      <c r="J322" s="1" t="n">
        <f aca="false">IF(AND(F322="ATM",E322&gt;2000,D322&lt;=4),1,0)</f>
        <v>0</v>
      </c>
      <c r="K322" s="1" t="n">
        <f aca="false">IF(COUNTIF('SQL Findings'!$A$4:$A$18,B322)&gt;0,1,0)</f>
        <v>0</v>
      </c>
      <c r="L322" s="1" t="n">
        <f aca="false">SUM(H322:K322)</f>
        <v>0</v>
      </c>
      <c r="M322" s="1" t="str">
        <f aca="false">IF(L322&gt;=2,"High",IF(L322=1,"Medium","Low"))</f>
        <v>Low</v>
      </c>
    </row>
    <row r="323" customFormat="false" ht="15" hidden="false" customHeight="true" outlineLevel="0" collapsed="false">
      <c r="A323" s="1" t="str">
        <f aca="false">Transactions!A323</f>
        <v>TXN500809</v>
      </c>
      <c r="B323" s="1" t="str">
        <f aca="false">Transactions!B323</f>
        <v>ACC1034</v>
      </c>
      <c r="C323" s="1" t="str">
        <f aca="false">Transactions!I323</f>
        <v>2026-01-20</v>
      </c>
      <c r="D323" s="1" t="n">
        <f aca="false">Transactions!J323</f>
        <v>12</v>
      </c>
      <c r="E323" s="1" t="n">
        <f aca="false">Transactions!D323</f>
        <v>206.48</v>
      </c>
      <c r="F323" s="1" t="str">
        <f aca="false">Transactions!H323</f>
        <v>ATM</v>
      </c>
      <c r="G323" s="1" t="str">
        <f aca="false">Transactions!G323</f>
        <v>Retail</v>
      </c>
      <c r="H323" s="1" t="n">
        <f aca="false">IF(COUNTIFS($B$2:$B$1489,B323,$C$2:$C$1489,C323,$D$2:$D$1489,D323)&gt;6,1,0)</f>
        <v>0</v>
      </c>
      <c r="I323" s="1" t="n">
        <f aca="false">IF(AND(F323="Wire",E323&gt;=1000,MOD(E323,1000)=0),1,0)</f>
        <v>0</v>
      </c>
      <c r="J323" s="1" t="n">
        <f aca="false">IF(AND(F323="ATM",E323&gt;2000,D323&lt;=4),1,0)</f>
        <v>0</v>
      </c>
      <c r="K323" s="1" t="n">
        <f aca="false">IF(COUNTIF('SQL Findings'!$A$4:$A$18,B323)&gt;0,1,0)</f>
        <v>0</v>
      </c>
      <c r="L323" s="1" t="n">
        <f aca="false">SUM(H323:K323)</f>
        <v>0</v>
      </c>
      <c r="M323" s="1" t="str">
        <f aca="false">IF(L323&gt;=2,"High",IF(L323=1,"Medium","Low"))</f>
        <v>Low</v>
      </c>
    </row>
    <row r="324" customFormat="false" ht="15" hidden="false" customHeight="true" outlineLevel="0" collapsed="false">
      <c r="A324" s="1" t="str">
        <f aca="false">Transactions!A324</f>
        <v>TXN500341</v>
      </c>
      <c r="B324" s="1" t="str">
        <f aca="false">Transactions!B324</f>
        <v>ACC1015</v>
      </c>
      <c r="C324" s="1" t="str">
        <f aca="false">Transactions!I324</f>
        <v>2026-01-20</v>
      </c>
      <c r="D324" s="1" t="n">
        <f aca="false">Transactions!J324</f>
        <v>12</v>
      </c>
      <c r="E324" s="1" t="n">
        <f aca="false">Transactions!D324</f>
        <v>31.82</v>
      </c>
      <c r="F324" s="1" t="str">
        <f aca="false">Transactions!H324</f>
        <v>POS</v>
      </c>
      <c r="G324" s="1" t="str">
        <f aca="false">Transactions!G324</f>
        <v>Wire Transfer</v>
      </c>
      <c r="H324" s="1" t="n">
        <f aca="false">IF(COUNTIFS($B$2:$B$1489,B324,$C$2:$C$1489,C324,$D$2:$D$1489,D324)&gt;6,1,0)</f>
        <v>0</v>
      </c>
      <c r="I324" s="1" t="n">
        <f aca="false">IF(AND(F324="Wire",E324&gt;=1000,MOD(E324,1000)=0),1,0)</f>
        <v>0</v>
      </c>
      <c r="J324" s="1" t="n">
        <f aca="false">IF(AND(F324="ATM",E324&gt;2000,D324&lt;=4),1,0)</f>
        <v>0</v>
      </c>
      <c r="K324" s="1" t="n">
        <f aca="false">IF(COUNTIF('SQL Findings'!$A$4:$A$18,B324)&gt;0,1,0)</f>
        <v>1</v>
      </c>
      <c r="L324" s="1" t="n">
        <f aca="false">SUM(H324:K324)</f>
        <v>1</v>
      </c>
      <c r="M324" s="1" t="str">
        <f aca="false">IF(L324&gt;=2,"High",IF(L324=1,"Medium","Low"))</f>
        <v>Medium</v>
      </c>
    </row>
    <row r="325" customFormat="false" ht="15" hidden="false" customHeight="true" outlineLevel="0" collapsed="false">
      <c r="A325" s="1" t="str">
        <f aca="false">Transactions!A325</f>
        <v>TXN500106</v>
      </c>
      <c r="B325" s="1" t="str">
        <f aca="false">Transactions!B325</f>
        <v>ACC1004</v>
      </c>
      <c r="C325" s="1" t="str">
        <f aca="false">Transactions!I325</f>
        <v>2026-01-20</v>
      </c>
      <c r="D325" s="1" t="n">
        <f aca="false">Transactions!J325</f>
        <v>15</v>
      </c>
      <c r="E325" s="1" t="n">
        <f aca="false">Transactions!D325</f>
        <v>95.93</v>
      </c>
      <c r="F325" s="1" t="str">
        <f aca="false">Transactions!H325</f>
        <v>Online</v>
      </c>
      <c r="G325" s="1" t="str">
        <f aca="false">Transactions!G325</f>
        <v>Wire Transfer</v>
      </c>
      <c r="H325" s="1" t="n">
        <f aca="false">IF(COUNTIFS($B$2:$B$1489,B325,$C$2:$C$1489,C325,$D$2:$D$1489,D325)&gt;6,1,0)</f>
        <v>0</v>
      </c>
      <c r="I325" s="1" t="n">
        <f aca="false">IF(AND(F325="Wire",E325&gt;=1000,MOD(E325,1000)=0),1,0)</f>
        <v>0</v>
      </c>
      <c r="J325" s="1" t="n">
        <f aca="false">IF(AND(F325="ATM",E325&gt;2000,D325&lt;=4),1,0)</f>
        <v>0</v>
      </c>
      <c r="K325" s="1" t="n">
        <f aca="false">IF(COUNTIF('SQL Findings'!$A$4:$A$18,B325)&gt;0,1,0)</f>
        <v>1</v>
      </c>
      <c r="L325" s="1" t="n">
        <f aca="false">SUM(H325:K325)</f>
        <v>1</v>
      </c>
      <c r="M325" s="1" t="str">
        <f aca="false">IF(L325&gt;=2,"High",IF(L325=1,"Medium","Low"))</f>
        <v>Medium</v>
      </c>
    </row>
    <row r="326" customFormat="false" ht="15" hidden="false" customHeight="true" outlineLevel="0" collapsed="false">
      <c r="A326" s="1" t="str">
        <f aca="false">Transactions!A326</f>
        <v>TXN501461</v>
      </c>
      <c r="B326" s="1" t="str">
        <f aca="false">Transactions!B326</f>
        <v>ACC1006</v>
      </c>
      <c r="C326" s="1" t="str">
        <f aca="false">Transactions!I326</f>
        <v>2026-01-20</v>
      </c>
      <c r="D326" s="1" t="n">
        <f aca="false">Transactions!J326</f>
        <v>16</v>
      </c>
      <c r="E326" s="1" t="n">
        <f aca="false">Transactions!D326</f>
        <v>5000</v>
      </c>
      <c r="F326" s="1" t="str">
        <f aca="false">Transactions!H326</f>
        <v>Wire</v>
      </c>
      <c r="G326" s="1" t="str">
        <f aca="false">Transactions!G326</f>
        <v>Wire Transfer</v>
      </c>
      <c r="H326" s="1" t="n">
        <f aca="false">IF(COUNTIFS($B$2:$B$1489,B326,$C$2:$C$1489,C326,$D$2:$D$1489,D326)&gt;6,1,0)</f>
        <v>0</v>
      </c>
      <c r="I326" s="1" t="n">
        <f aca="false">IF(AND(F326="Wire",E326&gt;=1000,MOD(E326,1000)=0),1,0)</f>
        <v>1</v>
      </c>
      <c r="J326" s="1" t="n">
        <f aca="false">IF(AND(F326="ATM",E326&gt;2000,D326&lt;=4),1,0)</f>
        <v>0</v>
      </c>
      <c r="K326" s="1" t="n">
        <f aca="false">IF(COUNTIF('SQL Findings'!$A$4:$A$18,B326)&gt;0,1,0)</f>
        <v>0</v>
      </c>
      <c r="L326" s="1" t="n">
        <f aca="false">SUM(H326:K326)</f>
        <v>1</v>
      </c>
      <c r="M326" s="1" t="str">
        <f aca="false">IF(L326&gt;=2,"High",IF(L326=1,"Medium","Low"))</f>
        <v>Medium</v>
      </c>
    </row>
    <row r="327" customFormat="false" ht="15" hidden="false" customHeight="true" outlineLevel="0" collapsed="false">
      <c r="A327" s="1" t="str">
        <f aca="false">Transactions!A327</f>
        <v>TXN500154</v>
      </c>
      <c r="B327" s="1" t="str">
        <f aca="false">Transactions!B327</f>
        <v>ACC1006</v>
      </c>
      <c r="C327" s="1" t="str">
        <f aca="false">Transactions!I327</f>
        <v>2026-01-20</v>
      </c>
      <c r="D327" s="1" t="n">
        <f aca="false">Transactions!J327</f>
        <v>16</v>
      </c>
      <c r="E327" s="1" t="n">
        <f aca="false">Transactions!D327</f>
        <v>82.19</v>
      </c>
      <c r="F327" s="1" t="str">
        <f aca="false">Transactions!H327</f>
        <v>POS</v>
      </c>
      <c r="G327" s="1" t="str">
        <f aca="false">Transactions!G327</f>
        <v>Electronics</v>
      </c>
      <c r="H327" s="1" t="n">
        <f aca="false">IF(COUNTIFS($B$2:$B$1489,B327,$C$2:$C$1489,C327,$D$2:$D$1489,D327)&gt;6,1,0)</f>
        <v>0</v>
      </c>
      <c r="I327" s="1" t="n">
        <f aca="false">IF(AND(F327="Wire",E327&gt;=1000,MOD(E327,1000)=0),1,0)</f>
        <v>0</v>
      </c>
      <c r="J327" s="1" t="n">
        <f aca="false">IF(AND(F327="ATM",E327&gt;2000,D327&lt;=4),1,0)</f>
        <v>0</v>
      </c>
      <c r="K327" s="1" t="n">
        <f aca="false">IF(COUNTIF('SQL Findings'!$A$4:$A$18,B327)&gt;0,1,0)</f>
        <v>0</v>
      </c>
      <c r="L327" s="1" t="n">
        <f aca="false">SUM(H327:K327)</f>
        <v>0</v>
      </c>
      <c r="M327" s="1" t="str">
        <f aca="false">IF(L327&gt;=2,"High",IF(L327=1,"Medium","Low"))</f>
        <v>Low</v>
      </c>
    </row>
    <row r="328" customFormat="false" ht="15" hidden="false" customHeight="true" outlineLevel="0" collapsed="false">
      <c r="A328" s="1" t="str">
        <f aca="false">Transactions!A328</f>
        <v>TXN500238</v>
      </c>
      <c r="B328" s="1" t="str">
        <f aca="false">Transactions!B328</f>
        <v>ACC1010</v>
      </c>
      <c r="C328" s="1" t="str">
        <f aca="false">Transactions!I328</f>
        <v>2026-01-20</v>
      </c>
      <c r="D328" s="1" t="n">
        <f aca="false">Transactions!J328</f>
        <v>18</v>
      </c>
      <c r="E328" s="1" t="n">
        <f aca="false">Transactions!D328</f>
        <v>78.87</v>
      </c>
      <c r="F328" s="1" t="str">
        <f aca="false">Transactions!H328</f>
        <v>Online</v>
      </c>
      <c r="G328" s="1" t="str">
        <f aca="false">Transactions!G328</f>
        <v>Electronics</v>
      </c>
      <c r="H328" s="1" t="n">
        <f aca="false">IF(COUNTIFS($B$2:$B$1489,B328,$C$2:$C$1489,C328,$D$2:$D$1489,D328)&gt;6,1,0)</f>
        <v>0</v>
      </c>
      <c r="I328" s="1" t="n">
        <f aca="false">IF(AND(F328="Wire",E328&gt;=1000,MOD(E328,1000)=0),1,0)</f>
        <v>0</v>
      </c>
      <c r="J328" s="1" t="n">
        <f aca="false">IF(AND(F328="ATM",E328&gt;2000,D328&lt;=4),1,0)</f>
        <v>0</v>
      </c>
      <c r="K328" s="1" t="n">
        <f aca="false">IF(COUNTIF('SQL Findings'!$A$4:$A$18,B328)&gt;0,1,0)</f>
        <v>0</v>
      </c>
      <c r="L328" s="1" t="n">
        <f aca="false">SUM(H328:K328)</f>
        <v>0</v>
      </c>
      <c r="M328" s="1" t="str">
        <f aca="false">IF(L328&gt;=2,"High",IF(L328=1,"Medium","Low"))</f>
        <v>Low</v>
      </c>
    </row>
    <row r="329" customFormat="false" ht="15" hidden="false" customHeight="true" outlineLevel="0" collapsed="false">
      <c r="A329" s="1" t="str">
        <f aca="false">Transactions!A329</f>
        <v>TXN500308</v>
      </c>
      <c r="B329" s="1" t="str">
        <f aca="false">Transactions!B329</f>
        <v>ACC1013</v>
      </c>
      <c r="C329" s="1" t="str">
        <f aca="false">Transactions!I329</f>
        <v>2026-01-20</v>
      </c>
      <c r="D329" s="1" t="n">
        <f aca="false">Transactions!J329</f>
        <v>21</v>
      </c>
      <c r="E329" s="1" t="n">
        <f aca="false">Transactions!D329</f>
        <v>39.16</v>
      </c>
      <c r="F329" s="1" t="str">
        <f aca="false">Transactions!H329</f>
        <v>Online</v>
      </c>
      <c r="G329" s="1" t="str">
        <f aca="false">Transactions!G329</f>
        <v>Electronics</v>
      </c>
      <c r="H329" s="1" t="n">
        <f aca="false">IF(COUNTIFS($B$2:$B$1489,B329,$C$2:$C$1489,C329,$D$2:$D$1489,D329)&gt;6,1,0)</f>
        <v>0</v>
      </c>
      <c r="I329" s="1" t="n">
        <f aca="false">IF(AND(F329="Wire",E329&gt;=1000,MOD(E329,1000)=0),1,0)</f>
        <v>0</v>
      </c>
      <c r="J329" s="1" t="n">
        <f aca="false">IF(AND(F329="ATM",E329&gt;2000,D329&lt;=4),1,0)</f>
        <v>0</v>
      </c>
      <c r="K329" s="1" t="n">
        <f aca="false">IF(COUNTIF('SQL Findings'!$A$4:$A$18,B329)&gt;0,1,0)</f>
        <v>0</v>
      </c>
      <c r="L329" s="1" t="n">
        <f aca="false">SUM(H329:K329)</f>
        <v>0</v>
      </c>
      <c r="M329" s="1" t="str">
        <f aca="false">IF(L329&gt;=2,"High",IF(L329=1,"Medium","Low"))</f>
        <v>Low</v>
      </c>
    </row>
    <row r="330" customFormat="false" ht="15" hidden="false" customHeight="true" outlineLevel="0" collapsed="false">
      <c r="A330" s="1" t="str">
        <f aca="false">Transactions!A330</f>
        <v>TXN500789</v>
      </c>
      <c r="B330" s="1" t="str">
        <f aca="false">Transactions!B330</f>
        <v>ACC1034</v>
      </c>
      <c r="C330" s="1" t="str">
        <f aca="false">Transactions!I330</f>
        <v>2026-01-21</v>
      </c>
      <c r="D330" s="1" t="n">
        <f aca="false">Transactions!J330</f>
        <v>3</v>
      </c>
      <c r="E330" s="1" t="n">
        <f aca="false">Transactions!D330</f>
        <v>62.61</v>
      </c>
      <c r="F330" s="1" t="str">
        <f aca="false">Transactions!H330</f>
        <v>POS</v>
      </c>
      <c r="G330" s="1" t="str">
        <f aca="false">Transactions!G330</f>
        <v>Wire Transfer</v>
      </c>
      <c r="H330" s="1" t="n">
        <f aca="false">IF(COUNTIFS($B$2:$B$1489,B330,$C$2:$C$1489,C330,$D$2:$D$1489,D330)&gt;6,1,0)</f>
        <v>0</v>
      </c>
      <c r="I330" s="1" t="n">
        <f aca="false">IF(AND(F330="Wire",E330&gt;=1000,MOD(E330,1000)=0),1,0)</f>
        <v>0</v>
      </c>
      <c r="J330" s="1" t="n">
        <f aca="false">IF(AND(F330="ATM",E330&gt;2000,D330&lt;=4),1,0)</f>
        <v>0</v>
      </c>
      <c r="K330" s="1" t="n">
        <f aca="false">IF(COUNTIF('SQL Findings'!$A$4:$A$18,B330)&gt;0,1,0)</f>
        <v>0</v>
      </c>
      <c r="L330" s="1" t="n">
        <f aca="false">SUM(H330:K330)</f>
        <v>0</v>
      </c>
      <c r="M330" s="1" t="str">
        <f aca="false">IF(L330&gt;=2,"High",IF(L330=1,"Medium","Low"))</f>
        <v>Low</v>
      </c>
    </row>
    <row r="331" customFormat="false" ht="15" hidden="false" customHeight="true" outlineLevel="0" collapsed="false">
      <c r="A331" s="1" t="str">
        <f aca="false">Transactions!A331</f>
        <v>TXN500183</v>
      </c>
      <c r="B331" s="1" t="str">
        <f aca="false">Transactions!B331</f>
        <v>ACC1007</v>
      </c>
      <c r="C331" s="1" t="str">
        <f aca="false">Transactions!I331</f>
        <v>2026-01-21</v>
      </c>
      <c r="D331" s="1" t="n">
        <f aca="false">Transactions!J331</f>
        <v>8</v>
      </c>
      <c r="E331" s="1" t="n">
        <f aca="false">Transactions!D331</f>
        <v>25.44</v>
      </c>
      <c r="F331" s="1" t="str">
        <f aca="false">Transactions!H331</f>
        <v>POS</v>
      </c>
      <c r="G331" s="1" t="str">
        <f aca="false">Transactions!G331</f>
        <v>Wire Transfer</v>
      </c>
      <c r="H331" s="1" t="n">
        <f aca="false">IF(COUNTIFS($B$2:$B$1489,B331,$C$2:$C$1489,C331,$D$2:$D$1489,D331)&gt;6,1,0)</f>
        <v>0</v>
      </c>
      <c r="I331" s="1" t="n">
        <f aca="false">IF(AND(F331="Wire",E331&gt;=1000,MOD(E331,1000)=0),1,0)</f>
        <v>0</v>
      </c>
      <c r="J331" s="1" t="n">
        <f aca="false">IF(AND(F331="ATM",E331&gt;2000,D331&lt;=4),1,0)</f>
        <v>0</v>
      </c>
      <c r="K331" s="1" t="n">
        <f aca="false">IF(COUNTIF('SQL Findings'!$A$4:$A$18,B331)&gt;0,1,0)</f>
        <v>0</v>
      </c>
      <c r="L331" s="1" t="n">
        <f aca="false">SUM(H331:K331)</f>
        <v>0</v>
      </c>
      <c r="M331" s="1" t="str">
        <f aca="false">IF(L331&gt;=2,"High",IF(L331=1,"Medium","Low"))</f>
        <v>Low</v>
      </c>
    </row>
    <row r="332" customFormat="false" ht="15" hidden="false" customHeight="true" outlineLevel="0" collapsed="false">
      <c r="A332" s="1" t="str">
        <f aca="false">Transactions!A332</f>
        <v>TXN501462</v>
      </c>
      <c r="B332" s="1" t="str">
        <f aca="false">Transactions!B332</f>
        <v>ACC1039</v>
      </c>
      <c r="C332" s="1" t="str">
        <f aca="false">Transactions!I332</f>
        <v>2026-01-21</v>
      </c>
      <c r="D332" s="1" t="n">
        <f aca="false">Transactions!J332</f>
        <v>9</v>
      </c>
      <c r="E332" s="1" t="n">
        <f aca="false">Transactions!D332</f>
        <v>1000</v>
      </c>
      <c r="F332" s="1" t="str">
        <f aca="false">Transactions!H332</f>
        <v>Wire</v>
      </c>
      <c r="G332" s="1" t="str">
        <f aca="false">Transactions!G332</f>
        <v>Wire Transfer</v>
      </c>
      <c r="H332" s="1" t="n">
        <f aca="false">IF(COUNTIFS($B$2:$B$1489,B332,$C$2:$C$1489,C332,$D$2:$D$1489,D332)&gt;6,1,0)</f>
        <v>0</v>
      </c>
      <c r="I332" s="1" t="n">
        <f aca="false">IF(AND(F332="Wire",E332&gt;=1000,MOD(E332,1000)=0),1,0)</f>
        <v>1</v>
      </c>
      <c r="J332" s="1" t="n">
        <f aca="false">IF(AND(F332="ATM",E332&gt;2000,D332&lt;=4),1,0)</f>
        <v>0</v>
      </c>
      <c r="K332" s="1" t="n">
        <f aca="false">IF(COUNTIF('SQL Findings'!$A$4:$A$18,B332)&gt;0,1,0)</f>
        <v>0</v>
      </c>
      <c r="L332" s="1" t="n">
        <f aca="false">SUM(H332:K332)</f>
        <v>1</v>
      </c>
      <c r="M332" s="1" t="str">
        <f aca="false">IF(L332&gt;=2,"High",IF(L332=1,"Medium","Low"))</f>
        <v>Medium</v>
      </c>
    </row>
    <row r="333" customFormat="false" ht="15" hidden="false" customHeight="true" outlineLevel="0" collapsed="false">
      <c r="A333" s="1" t="str">
        <f aca="false">Transactions!A333</f>
        <v>TXN501467</v>
      </c>
      <c r="B333" s="1" t="str">
        <f aca="false">Transactions!B333</f>
        <v>ACC1055</v>
      </c>
      <c r="C333" s="1" t="str">
        <f aca="false">Transactions!I333</f>
        <v>2026-01-21</v>
      </c>
      <c r="D333" s="1" t="n">
        <f aca="false">Transactions!J333</f>
        <v>9</v>
      </c>
      <c r="E333" s="1" t="n">
        <f aca="false">Transactions!D333</f>
        <v>5000</v>
      </c>
      <c r="F333" s="1" t="str">
        <f aca="false">Transactions!H333</f>
        <v>Wire</v>
      </c>
      <c r="G333" s="1" t="str">
        <f aca="false">Transactions!G333</f>
        <v>Wire Transfer</v>
      </c>
      <c r="H333" s="1" t="n">
        <f aca="false">IF(COUNTIFS($B$2:$B$1489,B333,$C$2:$C$1489,C333,$D$2:$D$1489,D333)&gt;6,1,0)</f>
        <v>0</v>
      </c>
      <c r="I333" s="1" t="n">
        <f aca="false">IF(AND(F333="Wire",E333&gt;=1000,MOD(E333,1000)=0),1,0)</f>
        <v>1</v>
      </c>
      <c r="J333" s="1" t="n">
        <f aca="false">IF(AND(F333="ATM",E333&gt;2000,D333&lt;=4),1,0)</f>
        <v>0</v>
      </c>
      <c r="K333" s="1" t="n">
        <f aca="false">IF(COUNTIF('SQL Findings'!$A$4:$A$18,B333)&gt;0,1,0)</f>
        <v>1</v>
      </c>
      <c r="L333" s="1" t="n">
        <f aca="false">SUM(H333:K333)</f>
        <v>2</v>
      </c>
      <c r="M333" s="1" t="str">
        <f aca="false">IF(L333&gt;=2,"High",IF(L333=1,"Medium","Low"))</f>
        <v>High</v>
      </c>
    </row>
    <row r="334" customFormat="false" ht="15" hidden="false" customHeight="true" outlineLevel="0" collapsed="false">
      <c r="A334" s="1" t="str">
        <f aca="false">Transactions!A334</f>
        <v>TXN500277</v>
      </c>
      <c r="B334" s="1" t="str">
        <f aca="false">Transactions!B334</f>
        <v>ACC1012</v>
      </c>
      <c r="C334" s="1" t="str">
        <f aca="false">Transactions!I334</f>
        <v>2026-01-21</v>
      </c>
      <c r="D334" s="1" t="n">
        <f aca="false">Transactions!J334</f>
        <v>9</v>
      </c>
      <c r="E334" s="1" t="n">
        <f aca="false">Transactions!D334</f>
        <v>79.77</v>
      </c>
      <c r="F334" s="1" t="str">
        <f aca="false">Transactions!H334</f>
        <v>ATM</v>
      </c>
      <c r="G334" s="1" t="str">
        <f aca="false">Transactions!G334</f>
        <v>Cash Withdrawal</v>
      </c>
      <c r="H334" s="1" t="n">
        <f aca="false">IF(COUNTIFS($B$2:$B$1489,B334,$C$2:$C$1489,C334,$D$2:$D$1489,D334)&gt;6,1,0)</f>
        <v>0</v>
      </c>
      <c r="I334" s="1" t="n">
        <f aca="false">IF(AND(F334="Wire",E334&gt;=1000,MOD(E334,1000)=0),1,0)</f>
        <v>0</v>
      </c>
      <c r="J334" s="1" t="n">
        <f aca="false">IF(AND(F334="ATM",E334&gt;2000,D334&lt;=4),1,0)</f>
        <v>0</v>
      </c>
      <c r="K334" s="1" t="n">
        <f aca="false">IF(COUNTIF('SQL Findings'!$A$4:$A$18,B334)&gt;0,1,0)</f>
        <v>0</v>
      </c>
      <c r="L334" s="1" t="n">
        <f aca="false">SUM(H334:K334)</f>
        <v>0</v>
      </c>
      <c r="M334" s="1" t="str">
        <f aca="false">IF(L334&gt;=2,"High",IF(L334=1,"Medium","Low"))</f>
        <v>Low</v>
      </c>
    </row>
    <row r="335" customFormat="false" ht="15" hidden="false" customHeight="true" outlineLevel="0" collapsed="false">
      <c r="A335" s="1" t="str">
        <f aca="false">Transactions!A335</f>
        <v>TXN500924</v>
      </c>
      <c r="B335" s="1" t="str">
        <f aca="false">Transactions!B335</f>
        <v>ACC1039</v>
      </c>
      <c r="C335" s="1" t="str">
        <f aca="false">Transactions!I335</f>
        <v>2026-01-21</v>
      </c>
      <c r="D335" s="1" t="n">
        <f aca="false">Transactions!J335</f>
        <v>10</v>
      </c>
      <c r="E335" s="1" t="n">
        <f aca="false">Transactions!D335</f>
        <v>35.51</v>
      </c>
      <c r="F335" s="1" t="str">
        <f aca="false">Transactions!H335</f>
        <v>POS</v>
      </c>
      <c r="G335" s="1" t="str">
        <f aca="false">Transactions!G335</f>
        <v>Wire Transfer</v>
      </c>
      <c r="H335" s="1" t="n">
        <f aca="false">IF(COUNTIFS($B$2:$B$1489,B335,$C$2:$C$1489,C335,$D$2:$D$1489,D335)&gt;6,1,0)</f>
        <v>0</v>
      </c>
      <c r="I335" s="1" t="n">
        <f aca="false">IF(AND(F335="Wire",E335&gt;=1000,MOD(E335,1000)=0),1,0)</f>
        <v>0</v>
      </c>
      <c r="J335" s="1" t="n">
        <f aca="false">IF(AND(F335="ATM",E335&gt;2000,D335&lt;=4),1,0)</f>
        <v>0</v>
      </c>
      <c r="K335" s="1" t="n">
        <f aca="false">IF(COUNTIF('SQL Findings'!$A$4:$A$18,B335)&gt;0,1,0)</f>
        <v>0</v>
      </c>
      <c r="L335" s="1" t="n">
        <f aca="false">SUM(H335:K335)</f>
        <v>0</v>
      </c>
      <c r="M335" s="1" t="str">
        <f aca="false">IF(L335&gt;=2,"High",IF(L335=1,"Medium","Low"))</f>
        <v>Low</v>
      </c>
    </row>
    <row r="336" customFormat="false" ht="15" hidden="false" customHeight="true" outlineLevel="0" collapsed="false">
      <c r="A336" s="1" t="str">
        <f aca="false">Transactions!A336</f>
        <v>TXN501119</v>
      </c>
      <c r="B336" s="1" t="str">
        <f aca="false">Transactions!B336</f>
        <v>ACC1049</v>
      </c>
      <c r="C336" s="1" t="str">
        <f aca="false">Transactions!I336</f>
        <v>2026-01-21</v>
      </c>
      <c r="D336" s="1" t="n">
        <f aca="false">Transactions!J336</f>
        <v>11</v>
      </c>
      <c r="E336" s="1" t="n">
        <f aca="false">Transactions!D336</f>
        <v>79.92</v>
      </c>
      <c r="F336" s="1" t="str">
        <f aca="false">Transactions!H336</f>
        <v>ATM</v>
      </c>
      <c r="G336" s="1" t="str">
        <f aca="false">Transactions!G336</f>
        <v>Cash Withdrawal</v>
      </c>
      <c r="H336" s="1" t="n">
        <f aca="false">IF(COUNTIFS($B$2:$B$1489,B336,$C$2:$C$1489,C336,$D$2:$D$1489,D336)&gt;6,1,0)</f>
        <v>0</v>
      </c>
      <c r="I336" s="1" t="n">
        <f aca="false">IF(AND(F336="Wire",E336&gt;=1000,MOD(E336,1000)=0),1,0)</f>
        <v>0</v>
      </c>
      <c r="J336" s="1" t="n">
        <f aca="false">IF(AND(F336="ATM",E336&gt;2000,D336&lt;=4),1,0)</f>
        <v>0</v>
      </c>
      <c r="K336" s="1" t="n">
        <f aca="false">IF(COUNTIF('SQL Findings'!$A$4:$A$18,B336)&gt;0,1,0)</f>
        <v>0</v>
      </c>
      <c r="L336" s="1" t="n">
        <f aca="false">SUM(H336:K336)</f>
        <v>0</v>
      </c>
      <c r="M336" s="1" t="str">
        <f aca="false">IF(L336&gt;=2,"High",IF(L336=1,"Medium","Low"))</f>
        <v>Low</v>
      </c>
    </row>
    <row r="337" customFormat="false" ht="15" hidden="false" customHeight="true" outlineLevel="0" collapsed="false">
      <c r="A337" s="1" t="str">
        <f aca="false">Transactions!A337</f>
        <v>TXN500946</v>
      </c>
      <c r="B337" s="1" t="str">
        <f aca="false">Transactions!B337</f>
        <v>ACC1041</v>
      </c>
      <c r="C337" s="1" t="str">
        <f aca="false">Transactions!I337</f>
        <v>2026-01-21</v>
      </c>
      <c r="D337" s="1" t="n">
        <f aca="false">Transactions!J337</f>
        <v>12</v>
      </c>
      <c r="E337" s="1" t="n">
        <f aca="false">Transactions!D337</f>
        <v>25.46</v>
      </c>
      <c r="F337" s="1" t="str">
        <f aca="false">Transactions!H337</f>
        <v>ATM</v>
      </c>
      <c r="G337" s="1" t="str">
        <f aca="false">Transactions!G337</f>
        <v>Wire Transfer</v>
      </c>
      <c r="H337" s="1" t="n">
        <f aca="false">IF(COUNTIFS($B$2:$B$1489,B337,$C$2:$C$1489,C337,$D$2:$D$1489,D337)&gt;6,1,0)</f>
        <v>0</v>
      </c>
      <c r="I337" s="1" t="n">
        <f aca="false">IF(AND(F337="Wire",E337&gt;=1000,MOD(E337,1000)=0),1,0)</f>
        <v>0</v>
      </c>
      <c r="J337" s="1" t="n">
        <f aca="false">IF(AND(F337="ATM",E337&gt;2000,D337&lt;=4),1,0)</f>
        <v>0</v>
      </c>
      <c r="K337" s="1" t="n">
        <f aca="false">IF(COUNTIF('SQL Findings'!$A$4:$A$18,B337)&gt;0,1,0)</f>
        <v>1</v>
      </c>
      <c r="L337" s="1" t="n">
        <f aca="false">SUM(H337:K337)</f>
        <v>1</v>
      </c>
      <c r="M337" s="1" t="str">
        <f aca="false">IF(L337&gt;=2,"High",IF(L337=1,"Medium","Low"))</f>
        <v>Medium</v>
      </c>
    </row>
    <row r="338" customFormat="false" ht="15" hidden="false" customHeight="true" outlineLevel="0" collapsed="false">
      <c r="A338" s="1" t="str">
        <f aca="false">Transactions!A338</f>
        <v>TXN501148</v>
      </c>
      <c r="B338" s="1" t="str">
        <f aca="false">Transactions!B338</f>
        <v>ACC1050</v>
      </c>
      <c r="C338" s="1" t="str">
        <f aca="false">Transactions!I338</f>
        <v>2026-01-21</v>
      </c>
      <c r="D338" s="1" t="n">
        <f aca="false">Transactions!J338</f>
        <v>12</v>
      </c>
      <c r="E338" s="1" t="n">
        <f aca="false">Transactions!D338</f>
        <v>18.25</v>
      </c>
      <c r="F338" s="1" t="str">
        <f aca="false">Transactions!H338</f>
        <v>Online</v>
      </c>
      <c r="G338" s="1" t="str">
        <f aca="false">Transactions!G338</f>
        <v>Online Marketplace</v>
      </c>
      <c r="H338" s="1" t="n">
        <f aca="false">IF(COUNTIFS($B$2:$B$1489,B338,$C$2:$C$1489,C338,$D$2:$D$1489,D338)&gt;6,1,0)</f>
        <v>0</v>
      </c>
      <c r="I338" s="1" t="n">
        <f aca="false">IF(AND(F338="Wire",E338&gt;=1000,MOD(E338,1000)=0),1,0)</f>
        <v>0</v>
      </c>
      <c r="J338" s="1" t="n">
        <f aca="false">IF(AND(F338="ATM",E338&gt;2000,D338&lt;=4),1,0)</f>
        <v>0</v>
      </c>
      <c r="K338" s="1" t="n">
        <f aca="false">IF(COUNTIF('SQL Findings'!$A$4:$A$18,B338)&gt;0,1,0)</f>
        <v>0</v>
      </c>
      <c r="L338" s="1" t="n">
        <f aca="false">SUM(H338:K338)</f>
        <v>0</v>
      </c>
      <c r="M338" s="1" t="str">
        <f aca="false">IF(L338&gt;=2,"High",IF(L338=1,"Medium","Low"))</f>
        <v>Low</v>
      </c>
    </row>
    <row r="339" customFormat="false" ht="15" hidden="false" customHeight="true" outlineLevel="0" collapsed="false">
      <c r="A339" s="1" t="str">
        <f aca="false">Transactions!A339</f>
        <v>TXN500540</v>
      </c>
      <c r="B339" s="1" t="str">
        <f aca="false">Transactions!B339</f>
        <v>ACC1024</v>
      </c>
      <c r="C339" s="1" t="str">
        <f aca="false">Transactions!I339</f>
        <v>2026-01-21</v>
      </c>
      <c r="D339" s="1" t="n">
        <f aca="false">Transactions!J339</f>
        <v>13</v>
      </c>
      <c r="E339" s="1" t="n">
        <f aca="false">Transactions!D339</f>
        <v>39.68</v>
      </c>
      <c r="F339" s="1" t="str">
        <f aca="false">Transactions!H339</f>
        <v>ATM</v>
      </c>
      <c r="G339" s="1" t="str">
        <f aca="false">Transactions!G339</f>
        <v>Wire Transfer</v>
      </c>
      <c r="H339" s="1" t="n">
        <f aca="false">IF(COUNTIFS($B$2:$B$1489,B339,$C$2:$C$1489,C339,$D$2:$D$1489,D339)&gt;6,1,0)</f>
        <v>0</v>
      </c>
      <c r="I339" s="1" t="n">
        <f aca="false">IF(AND(F339="Wire",E339&gt;=1000,MOD(E339,1000)=0),1,0)</f>
        <v>0</v>
      </c>
      <c r="J339" s="1" t="n">
        <f aca="false">IF(AND(F339="ATM",E339&gt;2000,D339&lt;=4),1,0)</f>
        <v>0</v>
      </c>
      <c r="K339" s="1" t="n">
        <f aca="false">IF(COUNTIF('SQL Findings'!$A$4:$A$18,B339)&gt;0,1,0)</f>
        <v>1</v>
      </c>
      <c r="L339" s="1" t="n">
        <f aca="false">SUM(H339:K339)</f>
        <v>1</v>
      </c>
      <c r="M339" s="1" t="str">
        <f aca="false">IF(L339&gt;=2,"High",IF(L339=1,"Medium","Low"))</f>
        <v>Medium</v>
      </c>
    </row>
    <row r="340" customFormat="false" ht="15" hidden="false" customHeight="true" outlineLevel="0" collapsed="false">
      <c r="A340" s="1" t="str">
        <f aca="false">Transactions!A340</f>
        <v>TXN501095</v>
      </c>
      <c r="B340" s="1" t="str">
        <f aca="false">Transactions!B340</f>
        <v>ACC1048</v>
      </c>
      <c r="C340" s="1" t="str">
        <f aca="false">Transactions!I340</f>
        <v>2026-01-21</v>
      </c>
      <c r="D340" s="1" t="n">
        <f aca="false">Transactions!J340</f>
        <v>15</v>
      </c>
      <c r="E340" s="1" t="n">
        <f aca="false">Transactions!D340</f>
        <v>128.94</v>
      </c>
      <c r="F340" s="1" t="str">
        <f aca="false">Transactions!H340</f>
        <v>Online</v>
      </c>
      <c r="G340" s="1" t="str">
        <f aca="false">Transactions!G340</f>
        <v>Wire Transfer</v>
      </c>
      <c r="H340" s="1" t="n">
        <f aca="false">IF(COUNTIFS($B$2:$B$1489,B340,$C$2:$C$1489,C340,$D$2:$D$1489,D340)&gt;6,1,0)</f>
        <v>0</v>
      </c>
      <c r="I340" s="1" t="n">
        <f aca="false">IF(AND(F340="Wire",E340&gt;=1000,MOD(E340,1000)=0),1,0)</f>
        <v>0</v>
      </c>
      <c r="J340" s="1" t="n">
        <f aca="false">IF(AND(F340="ATM",E340&gt;2000,D340&lt;=4),1,0)</f>
        <v>0</v>
      </c>
      <c r="K340" s="1" t="n">
        <f aca="false">IF(COUNTIF('SQL Findings'!$A$4:$A$18,B340)&gt;0,1,0)</f>
        <v>0</v>
      </c>
      <c r="L340" s="1" t="n">
        <f aca="false">SUM(H340:K340)</f>
        <v>0</v>
      </c>
      <c r="M340" s="1" t="str">
        <f aca="false">IF(L340&gt;=2,"High",IF(L340=1,"Medium","Low"))</f>
        <v>Low</v>
      </c>
    </row>
    <row r="341" customFormat="false" ht="15" hidden="false" customHeight="true" outlineLevel="0" collapsed="false">
      <c r="A341" s="1" t="str">
        <f aca="false">Transactions!A341</f>
        <v>TXN500457</v>
      </c>
      <c r="B341" s="1" t="str">
        <f aca="false">Transactions!B341</f>
        <v>ACC1020</v>
      </c>
      <c r="C341" s="1" t="str">
        <f aca="false">Transactions!I341</f>
        <v>2026-01-21</v>
      </c>
      <c r="D341" s="1" t="n">
        <f aca="false">Transactions!J341</f>
        <v>15</v>
      </c>
      <c r="E341" s="1" t="n">
        <f aca="false">Transactions!D341</f>
        <v>60.56</v>
      </c>
      <c r="F341" s="1" t="str">
        <f aca="false">Transactions!H341</f>
        <v>ATM</v>
      </c>
      <c r="G341" s="1" t="str">
        <f aca="false">Transactions!G341</f>
        <v>Utilities</v>
      </c>
      <c r="H341" s="1" t="n">
        <f aca="false">IF(COUNTIFS($B$2:$B$1489,B341,$C$2:$C$1489,C341,$D$2:$D$1489,D341)&gt;6,1,0)</f>
        <v>0</v>
      </c>
      <c r="I341" s="1" t="n">
        <f aca="false">IF(AND(F341="Wire",E341&gt;=1000,MOD(E341,1000)=0),1,0)</f>
        <v>0</v>
      </c>
      <c r="J341" s="1" t="n">
        <f aca="false">IF(AND(F341="ATM",E341&gt;2000,D341&lt;=4),1,0)</f>
        <v>0</v>
      </c>
      <c r="K341" s="1" t="n">
        <f aca="false">IF(COUNTIF('SQL Findings'!$A$4:$A$18,B341)&gt;0,1,0)</f>
        <v>0</v>
      </c>
      <c r="L341" s="1" t="n">
        <f aca="false">SUM(H341:K341)</f>
        <v>0</v>
      </c>
      <c r="M341" s="1" t="str">
        <f aca="false">IF(L341&gt;=2,"High",IF(L341=1,"Medium","Low"))</f>
        <v>Low</v>
      </c>
    </row>
    <row r="342" customFormat="false" ht="15" hidden="false" customHeight="true" outlineLevel="0" collapsed="false">
      <c r="A342" s="1" t="str">
        <f aca="false">Transactions!A342</f>
        <v>TXN500072</v>
      </c>
      <c r="B342" s="1" t="str">
        <f aca="false">Transactions!B342</f>
        <v>ACC1003</v>
      </c>
      <c r="C342" s="1" t="str">
        <f aca="false">Transactions!I342</f>
        <v>2026-01-21</v>
      </c>
      <c r="D342" s="1" t="n">
        <f aca="false">Transactions!J342</f>
        <v>16</v>
      </c>
      <c r="E342" s="1" t="n">
        <f aca="false">Transactions!D342</f>
        <v>266.2</v>
      </c>
      <c r="F342" s="1" t="str">
        <f aca="false">Transactions!H342</f>
        <v>POS</v>
      </c>
      <c r="G342" s="1" t="str">
        <f aca="false">Transactions!G342</f>
        <v>Wire Transfer</v>
      </c>
      <c r="H342" s="1" t="n">
        <f aca="false">IF(COUNTIFS($B$2:$B$1489,B342,$C$2:$C$1489,C342,$D$2:$D$1489,D342)&gt;6,1,0)</f>
        <v>0</v>
      </c>
      <c r="I342" s="1" t="n">
        <f aca="false">IF(AND(F342="Wire",E342&gt;=1000,MOD(E342,1000)=0),1,0)</f>
        <v>0</v>
      </c>
      <c r="J342" s="1" t="n">
        <f aca="false">IF(AND(F342="ATM",E342&gt;2000,D342&lt;=4),1,0)</f>
        <v>0</v>
      </c>
      <c r="K342" s="1" t="n">
        <f aca="false">IF(COUNTIF('SQL Findings'!$A$4:$A$18,B342)&gt;0,1,0)</f>
        <v>0</v>
      </c>
      <c r="L342" s="1" t="n">
        <f aca="false">SUM(H342:K342)</f>
        <v>0</v>
      </c>
      <c r="M342" s="1" t="str">
        <f aca="false">IF(L342&gt;=2,"High",IF(L342=1,"Medium","Low"))</f>
        <v>Low</v>
      </c>
    </row>
    <row r="343" customFormat="false" ht="15" hidden="false" customHeight="true" outlineLevel="0" collapsed="false">
      <c r="A343" s="1" t="str">
        <f aca="false">Transactions!A343</f>
        <v>TXN501370</v>
      </c>
      <c r="B343" s="1" t="str">
        <f aca="false">Transactions!B343</f>
        <v>ACC1059</v>
      </c>
      <c r="C343" s="1" t="str">
        <f aca="false">Transactions!I343</f>
        <v>2026-01-21</v>
      </c>
      <c r="D343" s="1" t="n">
        <f aca="false">Transactions!J343</f>
        <v>16</v>
      </c>
      <c r="E343" s="1" t="n">
        <f aca="false">Transactions!D343</f>
        <v>30.07</v>
      </c>
      <c r="F343" s="1" t="str">
        <f aca="false">Transactions!H343</f>
        <v>Online</v>
      </c>
      <c r="G343" s="1" t="str">
        <f aca="false">Transactions!G343</f>
        <v>Retail</v>
      </c>
      <c r="H343" s="1" t="n">
        <f aca="false">IF(COUNTIFS($B$2:$B$1489,B343,$C$2:$C$1489,C343,$D$2:$D$1489,D343)&gt;6,1,0)</f>
        <v>0</v>
      </c>
      <c r="I343" s="1" t="n">
        <f aca="false">IF(AND(F343="Wire",E343&gt;=1000,MOD(E343,1000)=0),1,0)</f>
        <v>0</v>
      </c>
      <c r="J343" s="1" t="n">
        <f aca="false">IF(AND(F343="ATM",E343&gt;2000,D343&lt;=4),1,0)</f>
        <v>0</v>
      </c>
      <c r="K343" s="1" t="n">
        <f aca="false">IF(COUNTIF('SQL Findings'!$A$4:$A$18,B343)&gt;0,1,0)</f>
        <v>0</v>
      </c>
      <c r="L343" s="1" t="n">
        <f aca="false">SUM(H343:K343)</f>
        <v>0</v>
      </c>
      <c r="M343" s="1" t="str">
        <f aca="false">IF(L343&gt;=2,"High",IF(L343=1,"Medium","Low"))</f>
        <v>Low</v>
      </c>
    </row>
    <row r="344" customFormat="false" ht="15" hidden="false" customHeight="true" outlineLevel="0" collapsed="false">
      <c r="A344" s="1" t="str">
        <f aca="false">Transactions!A344</f>
        <v>TXN500699</v>
      </c>
      <c r="B344" s="1" t="str">
        <f aca="false">Transactions!B344</f>
        <v>ACC1030</v>
      </c>
      <c r="C344" s="1" t="str">
        <f aca="false">Transactions!I344</f>
        <v>2026-01-21</v>
      </c>
      <c r="D344" s="1" t="n">
        <f aca="false">Transactions!J344</f>
        <v>16</v>
      </c>
      <c r="E344" s="1" t="n">
        <f aca="false">Transactions!D344</f>
        <v>153.18</v>
      </c>
      <c r="F344" s="1" t="str">
        <f aca="false">Transactions!H344</f>
        <v>POS</v>
      </c>
      <c r="G344" s="1" t="str">
        <f aca="false">Transactions!G344</f>
        <v>Retail</v>
      </c>
      <c r="H344" s="1" t="n">
        <f aca="false">IF(COUNTIFS($B$2:$B$1489,B344,$C$2:$C$1489,C344,$D$2:$D$1489,D344)&gt;6,1,0)</f>
        <v>0</v>
      </c>
      <c r="I344" s="1" t="n">
        <f aca="false">IF(AND(F344="Wire",E344&gt;=1000,MOD(E344,1000)=0),1,0)</f>
        <v>0</v>
      </c>
      <c r="J344" s="1" t="n">
        <f aca="false">IF(AND(F344="ATM",E344&gt;2000,D344&lt;=4),1,0)</f>
        <v>0</v>
      </c>
      <c r="K344" s="1" t="n">
        <f aca="false">IF(COUNTIF('SQL Findings'!$A$4:$A$18,B344)&gt;0,1,0)</f>
        <v>1</v>
      </c>
      <c r="L344" s="1" t="n">
        <f aca="false">SUM(H344:K344)</f>
        <v>1</v>
      </c>
      <c r="M344" s="1" t="str">
        <f aca="false">IF(L344&gt;=2,"High",IF(L344=1,"Medium","Low"))</f>
        <v>Medium</v>
      </c>
    </row>
    <row r="345" customFormat="false" ht="15" hidden="false" customHeight="true" outlineLevel="0" collapsed="false">
      <c r="A345" s="1" t="str">
        <f aca="false">Transactions!A345</f>
        <v>TXN500798</v>
      </c>
      <c r="B345" s="1" t="str">
        <f aca="false">Transactions!B345</f>
        <v>ACC1034</v>
      </c>
      <c r="C345" s="1" t="str">
        <f aca="false">Transactions!I345</f>
        <v>2026-01-21</v>
      </c>
      <c r="D345" s="1" t="n">
        <f aca="false">Transactions!J345</f>
        <v>17</v>
      </c>
      <c r="E345" s="1" t="n">
        <f aca="false">Transactions!D345</f>
        <v>123.14</v>
      </c>
      <c r="F345" s="1" t="str">
        <f aca="false">Transactions!H345</f>
        <v>POS</v>
      </c>
      <c r="G345" s="1" t="str">
        <f aca="false">Transactions!G345</f>
        <v>Dining</v>
      </c>
      <c r="H345" s="1" t="n">
        <f aca="false">IF(COUNTIFS($B$2:$B$1489,B345,$C$2:$C$1489,C345,$D$2:$D$1489,D345)&gt;6,1,0)</f>
        <v>0</v>
      </c>
      <c r="I345" s="1" t="n">
        <f aca="false">IF(AND(F345="Wire",E345&gt;=1000,MOD(E345,1000)=0),1,0)</f>
        <v>0</v>
      </c>
      <c r="J345" s="1" t="n">
        <f aca="false">IF(AND(F345="ATM",E345&gt;2000,D345&lt;=4),1,0)</f>
        <v>0</v>
      </c>
      <c r="K345" s="1" t="n">
        <f aca="false">IF(COUNTIF('SQL Findings'!$A$4:$A$18,B345)&gt;0,1,0)</f>
        <v>0</v>
      </c>
      <c r="L345" s="1" t="n">
        <f aca="false">SUM(H345:K345)</f>
        <v>0</v>
      </c>
      <c r="M345" s="1" t="str">
        <f aca="false">IF(L345&gt;=2,"High",IF(L345=1,"Medium","Low"))</f>
        <v>Low</v>
      </c>
    </row>
    <row r="346" customFormat="false" ht="15" hidden="false" customHeight="true" outlineLevel="0" collapsed="false">
      <c r="A346" s="1" t="str">
        <f aca="false">Transactions!A346</f>
        <v>TXN501339</v>
      </c>
      <c r="B346" s="1" t="str">
        <f aca="false">Transactions!B346</f>
        <v>ACC1058</v>
      </c>
      <c r="C346" s="1" t="str">
        <f aca="false">Transactions!I346</f>
        <v>2026-01-22</v>
      </c>
      <c r="D346" s="1" t="n">
        <f aca="false">Transactions!J346</f>
        <v>1</v>
      </c>
      <c r="E346" s="1" t="n">
        <f aca="false">Transactions!D346</f>
        <v>47.02</v>
      </c>
      <c r="F346" s="1" t="str">
        <f aca="false">Transactions!H346</f>
        <v>ATM</v>
      </c>
      <c r="G346" s="1" t="str">
        <f aca="false">Transactions!G346</f>
        <v>Utilities</v>
      </c>
      <c r="H346" s="1" t="n">
        <f aca="false">IF(COUNTIFS($B$2:$B$1489,B346,$C$2:$C$1489,C346,$D$2:$D$1489,D346)&gt;6,1,0)</f>
        <v>0</v>
      </c>
      <c r="I346" s="1" t="n">
        <f aca="false">IF(AND(F346="Wire",E346&gt;=1000,MOD(E346,1000)=0),1,0)</f>
        <v>0</v>
      </c>
      <c r="J346" s="1" t="n">
        <f aca="false">IF(AND(F346="ATM",E346&gt;2000,D346&lt;=4),1,0)</f>
        <v>0</v>
      </c>
      <c r="K346" s="1" t="n">
        <f aca="false">IF(COUNTIF('SQL Findings'!$A$4:$A$18,B346)&gt;0,1,0)</f>
        <v>0</v>
      </c>
      <c r="L346" s="1" t="n">
        <f aca="false">SUM(H346:K346)</f>
        <v>0</v>
      </c>
      <c r="M346" s="1" t="str">
        <f aca="false">IF(L346&gt;=2,"High",IF(L346=1,"Medium","Low"))</f>
        <v>Low</v>
      </c>
    </row>
    <row r="347" customFormat="false" ht="15" hidden="false" customHeight="true" outlineLevel="0" collapsed="false">
      <c r="A347" s="1" t="str">
        <f aca="false">Transactions!A347</f>
        <v>TXN501187</v>
      </c>
      <c r="B347" s="1" t="str">
        <f aca="false">Transactions!B347</f>
        <v>ACC1052</v>
      </c>
      <c r="C347" s="1" t="str">
        <f aca="false">Transactions!I347</f>
        <v>2026-01-22</v>
      </c>
      <c r="D347" s="1" t="n">
        <f aca="false">Transactions!J347</f>
        <v>2</v>
      </c>
      <c r="E347" s="1" t="n">
        <f aca="false">Transactions!D347</f>
        <v>27.54</v>
      </c>
      <c r="F347" s="1" t="str">
        <f aca="false">Transactions!H347</f>
        <v>POS</v>
      </c>
      <c r="G347" s="1" t="str">
        <f aca="false">Transactions!G347</f>
        <v>Utilities</v>
      </c>
      <c r="H347" s="1" t="n">
        <f aca="false">IF(COUNTIFS($B$2:$B$1489,B347,$C$2:$C$1489,C347,$D$2:$D$1489,D347)&gt;6,1,0)</f>
        <v>0</v>
      </c>
      <c r="I347" s="1" t="n">
        <f aca="false">IF(AND(F347="Wire",E347&gt;=1000,MOD(E347,1000)=0),1,0)</f>
        <v>0</v>
      </c>
      <c r="J347" s="1" t="n">
        <f aca="false">IF(AND(F347="ATM",E347&gt;2000,D347&lt;=4),1,0)</f>
        <v>0</v>
      </c>
      <c r="K347" s="1" t="n">
        <f aca="false">IF(COUNTIF('SQL Findings'!$A$4:$A$18,B347)&gt;0,1,0)</f>
        <v>0</v>
      </c>
      <c r="L347" s="1" t="n">
        <f aca="false">SUM(H347:K347)</f>
        <v>0</v>
      </c>
      <c r="M347" s="1" t="str">
        <f aca="false">IF(L347&gt;=2,"High",IF(L347=1,"Medium","Low"))</f>
        <v>Low</v>
      </c>
    </row>
    <row r="348" customFormat="false" ht="15" hidden="false" customHeight="true" outlineLevel="0" collapsed="false">
      <c r="A348" s="1" t="str">
        <f aca="false">Transactions!A348</f>
        <v>TXN500873</v>
      </c>
      <c r="B348" s="1" t="str">
        <f aca="false">Transactions!B348</f>
        <v>ACC1037</v>
      </c>
      <c r="C348" s="1" t="str">
        <f aca="false">Transactions!I348</f>
        <v>2026-01-22</v>
      </c>
      <c r="D348" s="1" t="n">
        <f aca="false">Transactions!J348</f>
        <v>3</v>
      </c>
      <c r="E348" s="1" t="n">
        <f aca="false">Transactions!D348</f>
        <v>19.27</v>
      </c>
      <c r="F348" s="1" t="str">
        <f aca="false">Transactions!H348</f>
        <v>POS</v>
      </c>
      <c r="G348" s="1" t="str">
        <f aca="false">Transactions!G348</f>
        <v>Cash Withdrawal</v>
      </c>
      <c r="H348" s="1" t="n">
        <f aca="false">IF(COUNTIFS($B$2:$B$1489,B348,$C$2:$C$1489,C348,$D$2:$D$1489,D348)&gt;6,1,0)</f>
        <v>0</v>
      </c>
      <c r="I348" s="1" t="n">
        <f aca="false">IF(AND(F348="Wire",E348&gt;=1000,MOD(E348,1000)=0),1,0)</f>
        <v>0</v>
      </c>
      <c r="J348" s="1" t="n">
        <f aca="false">IF(AND(F348="ATM",E348&gt;2000,D348&lt;=4),1,0)</f>
        <v>0</v>
      </c>
      <c r="K348" s="1" t="n">
        <f aca="false">IF(COUNTIF('SQL Findings'!$A$4:$A$18,B348)&gt;0,1,0)</f>
        <v>1</v>
      </c>
      <c r="L348" s="1" t="n">
        <f aca="false">SUM(H348:K348)</f>
        <v>1</v>
      </c>
      <c r="M348" s="1" t="str">
        <f aca="false">IF(L348&gt;=2,"High",IF(L348=1,"Medium","Low"))</f>
        <v>Medium</v>
      </c>
    </row>
    <row r="349" customFormat="false" ht="15" hidden="false" customHeight="true" outlineLevel="0" collapsed="false">
      <c r="A349" s="1" t="str">
        <f aca="false">Transactions!A349</f>
        <v>TXN501076</v>
      </c>
      <c r="B349" s="1" t="str">
        <f aca="false">Transactions!B349</f>
        <v>ACC1047</v>
      </c>
      <c r="C349" s="1" t="str">
        <f aca="false">Transactions!I349</f>
        <v>2026-01-22</v>
      </c>
      <c r="D349" s="1" t="n">
        <f aca="false">Transactions!J349</f>
        <v>6</v>
      </c>
      <c r="E349" s="1" t="n">
        <f aca="false">Transactions!D349</f>
        <v>42.76</v>
      </c>
      <c r="F349" s="1" t="str">
        <f aca="false">Transactions!H349</f>
        <v>ATM</v>
      </c>
      <c r="G349" s="1" t="str">
        <f aca="false">Transactions!G349</f>
        <v>Travel</v>
      </c>
      <c r="H349" s="1" t="n">
        <f aca="false">IF(COUNTIFS($B$2:$B$1489,B349,$C$2:$C$1489,C349,$D$2:$D$1489,D349)&gt;6,1,0)</f>
        <v>0</v>
      </c>
      <c r="I349" s="1" t="n">
        <f aca="false">IF(AND(F349="Wire",E349&gt;=1000,MOD(E349,1000)=0),1,0)</f>
        <v>0</v>
      </c>
      <c r="J349" s="1" t="n">
        <f aca="false">IF(AND(F349="ATM",E349&gt;2000,D349&lt;=4),1,0)</f>
        <v>0</v>
      </c>
      <c r="K349" s="1" t="n">
        <f aca="false">IF(COUNTIF('SQL Findings'!$A$4:$A$18,B349)&gt;0,1,0)</f>
        <v>0</v>
      </c>
      <c r="L349" s="1" t="n">
        <f aca="false">SUM(H349:K349)</f>
        <v>0</v>
      </c>
      <c r="M349" s="1" t="str">
        <f aca="false">IF(L349&gt;=2,"High",IF(L349=1,"Medium","Low"))</f>
        <v>Low</v>
      </c>
    </row>
    <row r="350" customFormat="false" ht="15" hidden="false" customHeight="true" outlineLevel="0" collapsed="false">
      <c r="A350" s="1" t="str">
        <f aca="false">Transactions!A350</f>
        <v>TXN500671</v>
      </c>
      <c r="B350" s="1" t="str">
        <f aca="false">Transactions!B350</f>
        <v>ACC1029</v>
      </c>
      <c r="C350" s="1" t="str">
        <f aca="false">Transactions!I350</f>
        <v>2026-01-22</v>
      </c>
      <c r="D350" s="1" t="n">
        <f aca="false">Transactions!J350</f>
        <v>9</v>
      </c>
      <c r="E350" s="1" t="n">
        <f aca="false">Transactions!D350</f>
        <v>204.69</v>
      </c>
      <c r="F350" s="1" t="str">
        <f aca="false">Transactions!H350</f>
        <v>ATM</v>
      </c>
      <c r="G350" s="1" t="str">
        <f aca="false">Transactions!G350</f>
        <v>Electronics</v>
      </c>
      <c r="H350" s="1" t="n">
        <f aca="false">IF(COUNTIFS($B$2:$B$1489,B350,$C$2:$C$1489,C350,$D$2:$D$1489,D350)&gt;6,1,0)</f>
        <v>0</v>
      </c>
      <c r="I350" s="1" t="n">
        <f aca="false">IF(AND(F350="Wire",E350&gt;=1000,MOD(E350,1000)=0),1,0)</f>
        <v>0</v>
      </c>
      <c r="J350" s="1" t="n">
        <f aca="false">IF(AND(F350="ATM",E350&gt;2000,D350&lt;=4),1,0)</f>
        <v>0</v>
      </c>
      <c r="K350" s="1" t="n">
        <f aca="false">IF(COUNTIF('SQL Findings'!$A$4:$A$18,B350)&gt;0,1,0)</f>
        <v>0</v>
      </c>
      <c r="L350" s="1" t="n">
        <f aca="false">SUM(H350:K350)</f>
        <v>0</v>
      </c>
      <c r="M350" s="1" t="str">
        <f aca="false">IF(L350&gt;=2,"High",IF(L350=1,"Medium","Low"))</f>
        <v>Low</v>
      </c>
    </row>
    <row r="351" customFormat="false" ht="15" hidden="false" customHeight="true" outlineLevel="0" collapsed="false">
      <c r="A351" s="1" t="str">
        <f aca="false">Transactions!A351</f>
        <v>TXN501078</v>
      </c>
      <c r="B351" s="1" t="str">
        <f aca="false">Transactions!B351</f>
        <v>ACC1047</v>
      </c>
      <c r="C351" s="1" t="str">
        <f aca="false">Transactions!I351</f>
        <v>2026-01-22</v>
      </c>
      <c r="D351" s="1" t="n">
        <f aca="false">Transactions!J351</f>
        <v>10</v>
      </c>
      <c r="E351" s="1" t="n">
        <f aca="false">Transactions!D351</f>
        <v>45.36</v>
      </c>
      <c r="F351" s="1" t="str">
        <f aca="false">Transactions!H351</f>
        <v>Online</v>
      </c>
      <c r="G351" s="1" t="str">
        <f aca="false">Transactions!G351</f>
        <v>Electronics</v>
      </c>
      <c r="H351" s="1" t="n">
        <f aca="false">IF(COUNTIFS($B$2:$B$1489,B351,$C$2:$C$1489,C351,$D$2:$D$1489,D351)&gt;6,1,0)</f>
        <v>0</v>
      </c>
      <c r="I351" s="1" t="n">
        <f aca="false">IF(AND(F351="Wire",E351&gt;=1000,MOD(E351,1000)=0),1,0)</f>
        <v>0</v>
      </c>
      <c r="J351" s="1" t="n">
        <f aca="false">IF(AND(F351="ATM",E351&gt;2000,D351&lt;=4),1,0)</f>
        <v>0</v>
      </c>
      <c r="K351" s="1" t="n">
        <f aca="false">IF(COUNTIF('SQL Findings'!$A$4:$A$18,B351)&gt;0,1,0)</f>
        <v>0</v>
      </c>
      <c r="L351" s="1" t="n">
        <f aca="false">SUM(H351:K351)</f>
        <v>0</v>
      </c>
      <c r="M351" s="1" t="str">
        <f aca="false">IF(L351&gt;=2,"High",IF(L351=1,"Medium","Low"))</f>
        <v>Low</v>
      </c>
    </row>
    <row r="352" customFormat="false" ht="15" hidden="false" customHeight="true" outlineLevel="0" collapsed="false">
      <c r="A352" s="1" t="str">
        <f aca="false">Transactions!A352</f>
        <v>TXN500603</v>
      </c>
      <c r="B352" s="1" t="str">
        <f aca="false">Transactions!B352</f>
        <v>ACC1026</v>
      </c>
      <c r="C352" s="1" t="str">
        <f aca="false">Transactions!I352</f>
        <v>2026-01-22</v>
      </c>
      <c r="D352" s="1" t="n">
        <f aca="false">Transactions!J352</f>
        <v>11</v>
      </c>
      <c r="E352" s="1" t="n">
        <f aca="false">Transactions!D352</f>
        <v>145.86</v>
      </c>
      <c r="F352" s="1" t="str">
        <f aca="false">Transactions!H352</f>
        <v>Online</v>
      </c>
      <c r="G352" s="1" t="str">
        <f aca="false">Transactions!G352</f>
        <v>Travel</v>
      </c>
      <c r="H352" s="1" t="n">
        <f aca="false">IF(COUNTIFS($B$2:$B$1489,B352,$C$2:$C$1489,C352,$D$2:$D$1489,D352)&gt;6,1,0)</f>
        <v>0</v>
      </c>
      <c r="I352" s="1" t="n">
        <f aca="false">IF(AND(F352="Wire",E352&gt;=1000,MOD(E352,1000)=0),1,0)</f>
        <v>0</v>
      </c>
      <c r="J352" s="1" t="n">
        <f aca="false">IF(AND(F352="ATM",E352&gt;2000,D352&lt;=4),1,0)</f>
        <v>0</v>
      </c>
      <c r="K352" s="1" t="n">
        <f aca="false">IF(COUNTIF('SQL Findings'!$A$4:$A$18,B352)&gt;0,1,0)</f>
        <v>0</v>
      </c>
      <c r="L352" s="1" t="n">
        <f aca="false">SUM(H352:K352)</f>
        <v>0</v>
      </c>
      <c r="M352" s="1" t="str">
        <f aca="false">IF(L352&gt;=2,"High",IF(L352=1,"Medium","Low"))</f>
        <v>Low</v>
      </c>
    </row>
    <row r="353" customFormat="false" ht="15" hidden="false" customHeight="true" outlineLevel="0" collapsed="false">
      <c r="A353" s="1" t="str">
        <f aca="false">Transactions!A353</f>
        <v>TXN501352</v>
      </c>
      <c r="B353" s="1" t="str">
        <f aca="false">Transactions!B353</f>
        <v>ACC1058</v>
      </c>
      <c r="C353" s="1" t="str">
        <f aca="false">Transactions!I353</f>
        <v>2026-01-22</v>
      </c>
      <c r="D353" s="1" t="n">
        <f aca="false">Transactions!J353</f>
        <v>11</v>
      </c>
      <c r="E353" s="1" t="n">
        <f aca="false">Transactions!D353</f>
        <v>13.17</v>
      </c>
      <c r="F353" s="1" t="str">
        <f aca="false">Transactions!H353</f>
        <v>Online</v>
      </c>
      <c r="G353" s="1" t="str">
        <f aca="false">Transactions!G353</f>
        <v>Utilities</v>
      </c>
      <c r="H353" s="1" t="n">
        <f aca="false">IF(COUNTIFS($B$2:$B$1489,B353,$C$2:$C$1489,C353,$D$2:$D$1489,D353)&gt;6,1,0)</f>
        <v>0</v>
      </c>
      <c r="I353" s="1" t="n">
        <f aca="false">IF(AND(F353="Wire",E353&gt;=1000,MOD(E353,1000)=0),1,0)</f>
        <v>0</v>
      </c>
      <c r="J353" s="1" t="n">
        <f aca="false">IF(AND(F353="ATM",E353&gt;2000,D353&lt;=4),1,0)</f>
        <v>0</v>
      </c>
      <c r="K353" s="1" t="n">
        <f aca="false">IF(COUNTIF('SQL Findings'!$A$4:$A$18,B353)&gt;0,1,0)</f>
        <v>0</v>
      </c>
      <c r="L353" s="1" t="n">
        <f aca="false">SUM(H353:K353)</f>
        <v>0</v>
      </c>
      <c r="M353" s="1" t="str">
        <f aca="false">IF(L353&gt;=2,"High",IF(L353=1,"Medium","Low"))</f>
        <v>Low</v>
      </c>
    </row>
    <row r="354" customFormat="false" ht="15" hidden="false" customHeight="true" outlineLevel="0" collapsed="false">
      <c r="A354" s="1" t="str">
        <f aca="false">Transactions!A354</f>
        <v>TXN500886</v>
      </c>
      <c r="B354" s="1" t="str">
        <f aca="false">Transactions!B354</f>
        <v>ACC1038</v>
      </c>
      <c r="C354" s="1" t="str">
        <f aca="false">Transactions!I354</f>
        <v>2026-01-22</v>
      </c>
      <c r="D354" s="1" t="n">
        <f aca="false">Transactions!J354</f>
        <v>11</v>
      </c>
      <c r="E354" s="1" t="n">
        <f aca="false">Transactions!D354</f>
        <v>351.44</v>
      </c>
      <c r="F354" s="1" t="str">
        <f aca="false">Transactions!H354</f>
        <v>POS</v>
      </c>
      <c r="G354" s="1" t="str">
        <f aca="false">Transactions!G354</f>
        <v>Wire Transfer</v>
      </c>
      <c r="H354" s="1" t="n">
        <f aca="false">IF(COUNTIFS($B$2:$B$1489,B354,$C$2:$C$1489,C354,$D$2:$D$1489,D354)&gt;6,1,0)</f>
        <v>0</v>
      </c>
      <c r="I354" s="1" t="n">
        <f aca="false">IF(AND(F354="Wire",E354&gt;=1000,MOD(E354,1000)=0),1,0)</f>
        <v>0</v>
      </c>
      <c r="J354" s="1" t="n">
        <f aca="false">IF(AND(F354="ATM",E354&gt;2000,D354&lt;=4),1,0)</f>
        <v>0</v>
      </c>
      <c r="K354" s="1" t="n">
        <f aca="false">IF(COUNTIF('SQL Findings'!$A$4:$A$18,B354)&gt;0,1,0)</f>
        <v>0</v>
      </c>
      <c r="L354" s="1" t="n">
        <f aca="false">SUM(H354:K354)</f>
        <v>0</v>
      </c>
      <c r="M354" s="1" t="str">
        <f aca="false">IF(L354&gt;=2,"High",IF(L354=1,"Medium","Low"))</f>
        <v>Low</v>
      </c>
    </row>
    <row r="355" customFormat="false" ht="15" hidden="false" customHeight="true" outlineLevel="0" collapsed="false">
      <c r="A355" s="1" t="str">
        <f aca="false">Transactions!A355</f>
        <v>TXN501341</v>
      </c>
      <c r="B355" s="1" t="str">
        <f aca="false">Transactions!B355</f>
        <v>ACC1058</v>
      </c>
      <c r="C355" s="1" t="str">
        <f aca="false">Transactions!I355</f>
        <v>2026-01-22</v>
      </c>
      <c r="D355" s="1" t="n">
        <f aca="false">Transactions!J355</f>
        <v>13</v>
      </c>
      <c r="E355" s="1" t="n">
        <f aca="false">Transactions!D355</f>
        <v>77.05</v>
      </c>
      <c r="F355" s="1" t="str">
        <f aca="false">Transactions!H355</f>
        <v>ATM</v>
      </c>
      <c r="G355" s="1" t="str">
        <f aca="false">Transactions!G355</f>
        <v>Utilities</v>
      </c>
      <c r="H355" s="1" t="n">
        <f aca="false">IF(COUNTIFS($B$2:$B$1489,B355,$C$2:$C$1489,C355,$D$2:$D$1489,D355)&gt;6,1,0)</f>
        <v>0</v>
      </c>
      <c r="I355" s="1" t="n">
        <f aca="false">IF(AND(F355="Wire",E355&gt;=1000,MOD(E355,1000)=0),1,0)</f>
        <v>0</v>
      </c>
      <c r="J355" s="1" t="n">
        <f aca="false">IF(AND(F355="ATM",E355&gt;2000,D355&lt;=4),1,0)</f>
        <v>0</v>
      </c>
      <c r="K355" s="1" t="n">
        <f aca="false">IF(COUNTIF('SQL Findings'!$A$4:$A$18,B355)&gt;0,1,0)</f>
        <v>0</v>
      </c>
      <c r="L355" s="1" t="n">
        <f aca="false">SUM(H355:K355)</f>
        <v>0</v>
      </c>
      <c r="M355" s="1" t="str">
        <f aca="false">IF(L355&gt;=2,"High",IF(L355=1,"Medium","Low"))</f>
        <v>Low</v>
      </c>
    </row>
    <row r="356" customFormat="false" ht="15" hidden="false" customHeight="true" outlineLevel="0" collapsed="false">
      <c r="A356" s="1" t="str">
        <f aca="false">Transactions!A356</f>
        <v>TXN500091</v>
      </c>
      <c r="B356" s="1" t="str">
        <f aca="false">Transactions!B356</f>
        <v>ACC1004</v>
      </c>
      <c r="C356" s="1" t="str">
        <f aca="false">Transactions!I356</f>
        <v>2026-01-22</v>
      </c>
      <c r="D356" s="1" t="n">
        <f aca="false">Transactions!J356</f>
        <v>14</v>
      </c>
      <c r="E356" s="1" t="n">
        <f aca="false">Transactions!D356</f>
        <v>72.77</v>
      </c>
      <c r="F356" s="1" t="str">
        <f aca="false">Transactions!H356</f>
        <v>POS</v>
      </c>
      <c r="G356" s="1" t="str">
        <f aca="false">Transactions!G356</f>
        <v>Cash Withdrawal</v>
      </c>
      <c r="H356" s="1" t="n">
        <f aca="false">IF(COUNTIFS($B$2:$B$1489,B356,$C$2:$C$1489,C356,$D$2:$D$1489,D356)&gt;6,1,0)</f>
        <v>0</v>
      </c>
      <c r="I356" s="1" t="n">
        <f aca="false">IF(AND(F356="Wire",E356&gt;=1000,MOD(E356,1000)=0),1,0)</f>
        <v>0</v>
      </c>
      <c r="J356" s="1" t="n">
        <f aca="false">IF(AND(F356="ATM",E356&gt;2000,D356&lt;=4),1,0)</f>
        <v>0</v>
      </c>
      <c r="K356" s="1" t="n">
        <f aca="false">IF(COUNTIF('SQL Findings'!$A$4:$A$18,B356)&gt;0,1,0)</f>
        <v>1</v>
      </c>
      <c r="L356" s="1" t="n">
        <f aca="false">SUM(H356:K356)</f>
        <v>1</v>
      </c>
      <c r="M356" s="1" t="str">
        <f aca="false">IF(L356&gt;=2,"High",IF(L356=1,"Medium","Low"))</f>
        <v>Medium</v>
      </c>
    </row>
    <row r="357" customFormat="false" ht="15" hidden="false" customHeight="true" outlineLevel="0" collapsed="false">
      <c r="A357" s="1" t="str">
        <f aca="false">Transactions!A357</f>
        <v>TXN501026</v>
      </c>
      <c r="B357" s="1" t="str">
        <f aca="false">Transactions!B357</f>
        <v>ACC1044</v>
      </c>
      <c r="C357" s="1" t="str">
        <f aca="false">Transactions!I357</f>
        <v>2026-01-22</v>
      </c>
      <c r="D357" s="1" t="n">
        <f aca="false">Transactions!J357</f>
        <v>14</v>
      </c>
      <c r="E357" s="1" t="n">
        <f aca="false">Transactions!D357</f>
        <v>98.76</v>
      </c>
      <c r="F357" s="1" t="str">
        <f aca="false">Transactions!H357</f>
        <v>ATM</v>
      </c>
      <c r="G357" s="1" t="str">
        <f aca="false">Transactions!G357</f>
        <v>Dining</v>
      </c>
      <c r="H357" s="1" t="n">
        <f aca="false">IF(COUNTIFS($B$2:$B$1489,B357,$C$2:$C$1489,C357,$D$2:$D$1489,D357)&gt;6,1,0)</f>
        <v>0</v>
      </c>
      <c r="I357" s="1" t="n">
        <f aca="false">IF(AND(F357="Wire",E357&gt;=1000,MOD(E357,1000)=0),1,0)</f>
        <v>0</v>
      </c>
      <c r="J357" s="1" t="n">
        <f aca="false">IF(AND(F357="ATM",E357&gt;2000,D357&lt;=4),1,0)</f>
        <v>0</v>
      </c>
      <c r="K357" s="1" t="n">
        <f aca="false">IF(COUNTIF('SQL Findings'!$A$4:$A$18,B357)&gt;0,1,0)</f>
        <v>0</v>
      </c>
      <c r="L357" s="1" t="n">
        <f aca="false">SUM(H357:K357)</f>
        <v>0</v>
      </c>
      <c r="M357" s="1" t="str">
        <f aca="false">IF(L357&gt;=2,"High",IF(L357=1,"Medium","Low"))</f>
        <v>Low</v>
      </c>
    </row>
    <row r="358" customFormat="false" ht="15" hidden="false" customHeight="true" outlineLevel="0" collapsed="false">
      <c r="A358" s="1" t="str">
        <f aca="false">Transactions!A358</f>
        <v>TXN500519</v>
      </c>
      <c r="B358" s="1" t="str">
        <f aca="false">Transactions!B358</f>
        <v>ACC1023</v>
      </c>
      <c r="C358" s="1" t="str">
        <f aca="false">Transactions!I358</f>
        <v>2026-01-22</v>
      </c>
      <c r="D358" s="1" t="n">
        <f aca="false">Transactions!J358</f>
        <v>15</v>
      </c>
      <c r="E358" s="1" t="n">
        <f aca="false">Transactions!D358</f>
        <v>72.92</v>
      </c>
      <c r="F358" s="1" t="str">
        <f aca="false">Transactions!H358</f>
        <v>POS</v>
      </c>
      <c r="G358" s="1" t="str">
        <f aca="false">Transactions!G358</f>
        <v>Travel</v>
      </c>
      <c r="H358" s="1" t="n">
        <f aca="false">IF(COUNTIFS($B$2:$B$1489,B358,$C$2:$C$1489,C358,$D$2:$D$1489,D358)&gt;6,1,0)</f>
        <v>0</v>
      </c>
      <c r="I358" s="1" t="n">
        <f aca="false">IF(AND(F358="Wire",E358&gt;=1000,MOD(E358,1000)=0),1,0)</f>
        <v>0</v>
      </c>
      <c r="J358" s="1" t="n">
        <f aca="false">IF(AND(F358="ATM",E358&gt;2000,D358&lt;=4),1,0)</f>
        <v>0</v>
      </c>
      <c r="K358" s="1" t="n">
        <f aca="false">IF(COUNTIF('SQL Findings'!$A$4:$A$18,B358)&gt;0,1,0)</f>
        <v>0</v>
      </c>
      <c r="L358" s="1" t="n">
        <f aca="false">SUM(H358:K358)</f>
        <v>0</v>
      </c>
      <c r="M358" s="1" t="str">
        <f aca="false">IF(L358&gt;=2,"High",IF(L358=1,"Medium","Low"))</f>
        <v>Low</v>
      </c>
    </row>
    <row r="359" customFormat="false" ht="15" hidden="false" customHeight="true" outlineLevel="0" collapsed="false">
      <c r="A359" s="1" t="str">
        <f aca="false">Transactions!A359</f>
        <v>TXN500205</v>
      </c>
      <c r="B359" s="1" t="str">
        <f aca="false">Transactions!B359</f>
        <v>ACC1008</v>
      </c>
      <c r="C359" s="1" t="str">
        <f aca="false">Transactions!I359</f>
        <v>2026-01-22</v>
      </c>
      <c r="D359" s="1" t="n">
        <f aca="false">Transactions!J359</f>
        <v>15</v>
      </c>
      <c r="E359" s="1" t="n">
        <f aca="false">Transactions!D359</f>
        <v>19.3</v>
      </c>
      <c r="F359" s="1" t="str">
        <f aca="false">Transactions!H359</f>
        <v>POS</v>
      </c>
      <c r="G359" s="1" t="str">
        <f aca="false">Transactions!G359</f>
        <v>Retail</v>
      </c>
      <c r="H359" s="1" t="n">
        <f aca="false">IF(COUNTIFS($B$2:$B$1489,B359,$C$2:$C$1489,C359,$D$2:$D$1489,D359)&gt;6,1,0)</f>
        <v>0</v>
      </c>
      <c r="I359" s="1" t="n">
        <f aca="false">IF(AND(F359="Wire",E359&gt;=1000,MOD(E359,1000)=0),1,0)</f>
        <v>0</v>
      </c>
      <c r="J359" s="1" t="n">
        <f aca="false">IF(AND(F359="ATM",E359&gt;2000,D359&lt;=4),1,0)</f>
        <v>0</v>
      </c>
      <c r="K359" s="1" t="n">
        <f aca="false">IF(COUNTIF('SQL Findings'!$A$4:$A$18,B359)&gt;0,1,0)</f>
        <v>0</v>
      </c>
      <c r="L359" s="1" t="n">
        <f aca="false">SUM(H359:K359)</f>
        <v>0</v>
      </c>
      <c r="M359" s="1" t="str">
        <f aca="false">IF(L359&gt;=2,"High",IF(L359=1,"Medium","Low"))</f>
        <v>Low</v>
      </c>
    </row>
    <row r="360" customFormat="false" ht="15" hidden="false" customHeight="true" outlineLevel="0" collapsed="false">
      <c r="A360" s="1" t="str">
        <f aca="false">Transactions!A360</f>
        <v>TXN500113</v>
      </c>
      <c r="B360" s="1" t="str">
        <f aca="false">Transactions!B360</f>
        <v>ACC1004</v>
      </c>
      <c r="C360" s="1" t="str">
        <f aca="false">Transactions!I360</f>
        <v>2026-01-22</v>
      </c>
      <c r="D360" s="1" t="n">
        <f aca="false">Transactions!J360</f>
        <v>17</v>
      </c>
      <c r="E360" s="1" t="n">
        <f aca="false">Transactions!D360</f>
        <v>70.4</v>
      </c>
      <c r="F360" s="1" t="str">
        <f aca="false">Transactions!H360</f>
        <v>ATM</v>
      </c>
      <c r="G360" s="1" t="str">
        <f aca="false">Transactions!G360</f>
        <v>Travel</v>
      </c>
      <c r="H360" s="1" t="n">
        <f aca="false">IF(COUNTIFS($B$2:$B$1489,B360,$C$2:$C$1489,C360,$D$2:$D$1489,D360)&gt;6,1,0)</f>
        <v>0</v>
      </c>
      <c r="I360" s="1" t="n">
        <f aca="false">IF(AND(F360="Wire",E360&gt;=1000,MOD(E360,1000)=0),1,0)</f>
        <v>0</v>
      </c>
      <c r="J360" s="1" t="n">
        <f aca="false">IF(AND(F360="ATM",E360&gt;2000,D360&lt;=4),1,0)</f>
        <v>0</v>
      </c>
      <c r="K360" s="1" t="n">
        <f aca="false">IF(COUNTIF('SQL Findings'!$A$4:$A$18,B360)&gt;0,1,0)</f>
        <v>1</v>
      </c>
      <c r="L360" s="1" t="n">
        <f aca="false">SUM(H360:K360)</f>
        <v>1</v>
      </c>
      <c r="M360" s="1" t="str">
        <f aca="false">IF(L360&gt;=2,"High",IF(L360=1,"Medium","Low"))</f>
        <v>Medium</v>
      </c>
    </row>
    <row r="361" customFormat="false" ht="15" hidden="false" customHeight="true" outlineLevel="0" collapsed="false">
      <c r="A361" s="1" t="str">
        <f aca="false">Transactions!A361</f>
        <v>TXN500750</v>
      </c>
      <c r="B361" s="1" t="str">
        <f aca="false">Transactions!B361</f>
        <v>ACC1032</v>
      </c>
      <c r="C361" s="1" t="str">
        <f aca="false">Transactions!I361</f>
        <v>2026-01-22</v>
      </c>
      <c r="D361" s="1" t="n">
        <f aca="false">Transactions!J361</f>
        <v>18</v>
      </c>
      <c r="E361" s="1" t="n">
        <f aca="false">Transactions!D361</f>
        <v>18.8</v>
      </c>
      <c r="F361" s="1" t="str">
        <f aca="false">Transactions!H361</f>
        <v>ATM</v>
      </c>
      <c r="G361" s="1" t="str">
        <f aca="false">Transactions!G361</f>
        <v>Electronics</v>
      </c>
      <c r="H361" s="1" t="n">
        <f aca="false">IF(COUNTIFS($B$2:$B$1489,B361,$C$2:$C$1489,C361,$D$2:$D$1489,D361)&gt;6,1,0)</f>
        <v>0</v>
      </c>
      <c r="I361" s="1" t="n">
        <f aca="false">IF(AND(F361="Wire",E361&gt;=1000,MOD(E361,1000)=0),1,0)</f>
        <v>0</v>
      </c>
      <c r="J361" s="1" t="n">
        <f aca="false">IF(AND(F361="ATM",E361&gt;2000,D361&lt;=4),1,0)</f>
        <v>0</v>
      </c>
      <c r="K361" s="1" t="n">
        <f aca="false">IF(COUNTIF('SQL Findings'!$A$4:$A$18,B361)&gt;0,1,0)</f>
        <v>0</v>
      </c>
      <c r="L361" s="1" t="n">
        <f aca="false">SUM(H361:K361)</f>
        <v>0</v>
      </c>
      <c r="M361" s="1" t="str">
        <f aca="false">IF(L361&gt;=2,"High",IF(L361=1,"Medium","Low"))</f>
        <v>Low</v>
      </c>
    </row>
    <row r="362" customFormat="false" ht="15" hidden="false" customHeight="true" outlineLevel="0" collapsed="false">
      <c r="A362" s="1" t="str">
        <f aca="false">Transactions!A362</f>
        <v>TXN500587</v>
      </c>
      <c r="B362" s="1" t="str">
        <f aca="false">Transactions!B362</f>
        <v>ACC1025</v>
      </c>
      <c r="C362" s="1" t="str">
        <f aca="false">Transactions!I362</f>
        <v>2026-01-22</v>
      </c>
      <c r="D362" s="1" t="n">
        <f aca="false">Transactions!J362</f>
        <v>20</v>
      </c>
      <c r="E362" s="1" t="n">
        <f aca="false">Transactions!D362</f>
        <v>44.11</v>
      </c>
      <c r="F362" s="1" t="str">
        <f aca="false">Transactions!H362</f>
        <v>ATM</v>
      </c>
      <c r="G362" s="1" t="str">
        <f aca="false">Transactions!G362</f>
        <v>Dining</v>
      </c>
      <c r="H362" s="1" t="n">
        <f aca="false">IF(COUNTIFS($B$2:$B$1489,B362,$C$2:$C$1489,C362,$D$2:$D$1489,D362)&gt;6,1,0)</f>
        <v>0</v>
      </c>
      <c r="I362" s="1" t="n">
        <f aca="false">IF(AND(F362="Wire",E362&gt;=1000,MOD(E362,1000)=0),1,0)</f>
        <v>0</v>
      </c>
      <c r="J362" s="1" t="n">
        <f aca="false">IF(AND(F362="ATM",E362&gt;2000,D362&lt;=4),1,0)</f>
        <v>0</v>
      </c>
      <c r="K362" s="1" t="n">
        <f aca="false">IF(COUNTIF('SQL Findings'!$A$4:$A$18,B362)&gt;0,1,0)</f>
        <v>0</v>
      </c>
      <c r="L362" s="1" t="n">
        <f aca="false">SUM(H362:K362)</f>
        <v>0</v>
      </c>
      <c r="M362" s="1" t="str">
        <f aca="false">IF(L362&gt;=2,"High",IF(L362=1,"Medium","Low"))</f>
        <v>Low</v>
      </c>
    </row>
    <row r="363" customFormat="false" ht="15" hidden="false" customHeight="true" outlineLevel="0" collapsed="false">
      <c r="A363" s="1" t="str">
        <f aca="false">Transactions!A363</f>
        <v>TXN501178</v>
      </c>
      <c r="B363" s="1" t="str">
        <f aca="false">Transactions!B363</f>
        <v>ACC1052</v>
      </c>
      <c r="C363" s="1" t="str">
        <f aca="false">Transactions!I363</f>
        <v>2026-01-22</v>
      </c>
      <c r="D363" s="1" t="n">
        <f aca="false">Transactions!J363</f>
        <v>23</v>
      </c>
      <c r="E363" s="1" t="n">
        <f aca="false">Transactions!D363</f>
        <v>61.04</v>
      </c>
      <c r="F363" s="1" t="str">
        <f aca="false">Transactions!H363</f>
        <v>ATM</v>
      </c>
      <c r="G363" s="1" t="str">
        <f aca="false">Transactions!G363</f>
        <v>Online Marketplace</v>
      </c>
      <c r="H363" s="1" t="n">
        <f aca="false">IF(COUNTIFS($B$2:$B$1489,B363,$C$2:$C$1489,C363,$D$2:$D$1489,D363)&gt;6,1,0)</f>
        <v>0</v>
      </c>
      <c r="I363" s="1" t="n">
        <f aca="false">IF(AND(F363="Wire",E363&gt;=1000,MOD(E363,1000)=0),1,0)</f>
        <v>0</v>
      </c>
      <c r="J363" s="1" t="n">
        <f aca="false">IF(AND(F363="ATM",E363&gt;2000,D363&lt;=4),1,0)</f>
        <v>0</v>
      </c>
      <c r="K363" s="1" t="n">
        <f aca="false">IF(COUNTIF('SQL Findings'!$A$4:$A$18,B363)&gt;0,1,0)</f>
        <v>0</v>
      </c>
      <c r="L363" s="1" t="n">
        <f aca="false">SUM(H363:K363)</f>
        <v>0</v>
      </c>
      <c r="M363" s="1" t="str">
        <f aca="false">IF(L363&gt;=2,"High",IF(L363=1,"Medium","Low"))</f>
        <v>Low</v>
      </c>
    </row>
    <row r="364" customFormat="false" ht="15" hidden="false" customHeight="true" outlineLevel="0" collapsed="false">
      <c r="A364" s="1" t="str">
        <f aca="false">Transactions!A364</f>
        <v>TXN500702</v>
      </c>
      <c r="B364" s="1" t="str">
        <f aca="false">Transactions!B364</f>
        <v>ACC1030</v>
      </c>
      <c r="C364" s="1" t="str">
        <f aca="false">Transactions!I364</f>
        <v>2026-01-23</v>
      </c>
      <c r="D364" s="1" t="n">
        <f aca="false">Transactions!J364</f>
        <v>1</v>
      </c>
      <c r="E364" s="1" t="n">
        <f aca="false">Transactions!D364</f>
        <v>171.42</v>
      </c>
      <c r="F364" s="1" t="str">
        <f aca="false">Transactions!H364</f>
        <v>ATM</v>
      </c>
      <c r="G364" s="1" t="str">
        <f aca="false">Transactions!G364</f>
        <v>Online Marketplace</v>
      </c>
      <c r="H364" s="1" t="n">
        <f aca="false">IF(COUNTIFS($B$2:$B$1489,B364,$C$2:$C$1489,C364,$D$2:$D$1489,D364)&gt;6,1,0)</f>
        <v>0</v>
      </c>
      <c r="I364" s="1" t="n">
        <f aca="false">IF(AND(F364="Wire",E364&gt;=1000,MOD(E364,1000)=0),1,0)</f>
        <v>0</v>
      </c>
      <c r="J364" s="1" t="n">
        <f aca="false">IF(AND(F364="ATM",E364&gt;2000,D364&lt;=4),1,0)</f>
        <v>0</v>
      </c>
      <c r="K364" s="1" t="n">
        <f aca="false">IF(COUNTIF('SQL Findings'!$A$4:$A$18,B364)&gt;0,1,0)</f>
        <v>1</v>
      </c>
      <c r="L364" s="1" t="n">
        <f aca="false">SUM(H364:K364)</f>
        <v>1</v>
      </c>
      <c r="M364" s="1" t="str">
        <f aca="false">IF(L364&gt;=2,"High",IF(L364=1,"Medium","Low"))</f>
        <v>Medium</v>
      </c>
    </row>
    <row r="365" customFormat="false" ht="15" hidden="false" customHeight="true" outlineLevel="0" collapsed="false">
      <c r="A365" s="1" t="str">
        <f aca="false">Transactions!A365</f>
        <v>TXN500723</v>
      </c>
      <c r="B365" s="1" t="str">
        <f aca="false">Transactions!B365</f>
        <v>ACC1031</v>
      </c>
      <c r="C365" s="1" t="str">
        <f aca="false">Transactions!I365</f>
        <v>2026-01-23</v>
      </c>
      <c r="D365" s="1" t="n">
        <f aca="false">Transactions!J365</f>
        <v>6</v>
      </c>
      <c r="E365" s="1" t="n">
        <f aca="false">Transactions!D365</f>
        <v>19.82</v>
      </c>
      <c r="F365" s="1" t="str">
        <f aca="false">Transactions!H365</f>
        <v>ATM</v>
      </c>
      <c r="G365" s="1" t="str">
        <f aca="false">Transactions!G365</f>
        <v>Cash Withdrawal</v>
      </c>
      <c r="H365" s="1" t="n">
        <f aca="false">IF(COUNTIFS($B$2:$B$1489,B365,$C$2:$C$1489,C365,$D$2:$D$1489,D365)&gt;6,1,0)</f>
        <v>0</v>
      </c>
      <c r="I365" s="1" t="n">
        <f aca="false">IF(AND(F365="Wire",E365&gt;=1000,MOD(E365,1000)=0),1,0)</f>
        <v>0</v>
      </c>
      <c r="J365" s="1" t="n">
        <f aca="false">IF(AND(F365="ATM",E365&gt;2000,D365&lt;=4),1,0)</f>
        <v>0</v>
      </c>
      <c r="K365" s="1" t="n">
        <f aca="false">IF(COUNTIF('SQL Findings'!$A$4:$A$18,B365)&gt;0,1,0)</f>
        <v>0</v>
      </c>
      <c r="L365" s="1" t="n">
        <f aca="false">SUM(H365:K365)</f>
        <v>0</v>
      </c>
      <c r="M365" s="1" t="str">
        <f aca="false">IF(L365&gt;=2,"High",IF(L365=1,"Medium","Low"))</f>
        <v>Low</v>
      </c>
    </row>
    <row r="366" customFormat="false" ht="15" hidden="false" customHeight="true" outlineLevel="0" collapsed="false">
      <c r="A366" s="1" t="str">
        <f aca="false">Transactions!A366</f>
        <v>TXN500250</v>
      </c>
      <c r="B366" s="1" t="str">
        <f aca="false">Transactions!B366</f>
        <v>ACC1010</v>
      </c>
      <c r="C366" s="1" t="str">
        <f aca="false">Transactions!I366</f>
        <v>2026-01-23</v>
      </c>
      <c r="D366" s="1" t="n">
        <f aca="false">Transactions!J366</f>
        <v>8</v>
      </c>
      <c r="E366" s="1" t="n">
        <f aca="false">Transactions!D366</f>
        <v>96.01</v>
      </c>
      <c r="F366" s="1" t="str">
        <f aca="false">Transactions!H366</f>
        <v>ATM</v>
      </c>
      <c r="G366" s="1" t="str">
        <f aca="false">Transactions!G366</f>
        <v>Wire Transfer</v>
      </c>
      <c r="H366" s="1" t="n">
        <f aca="false">IF(COUNTIFS($B$2:$B$1489,B366,$C$2:$C$1489,C366,$D$2:$D$1489,D366)&gt;6,1,0)</f>
        <v>0</v>
      </c>
      <c r="I366" s="1" t="n">
        <f aca="false">IF(AND(F366="Wire",E366&gt;=1000,MOD(E366,1000)=0),1,0)</f>
        <v>0</v>
      </c>
      <c r="J366" s="1" t="n">
        <f aca="false">IF(AND(F366="ATM",E366&gt;2000,D366&lt;=4),1,0)</f>
        <v>0</v>
      </c>
      <c r="K366" s="1" t="n">
        <f aca="false">IF(COUNTIF('SQL Findings'!$A$4:$A$18,B366)&gt;0,1,0)</f>
        <v>0</v>
      </c>
      <c r="L366" s="1" t="n">
        <f aca="false">SUM(H366:K366)</f>
        <v>0</v>
      </c>
      <c r="M366" s="1" t="str">
        <f aca="false">IF(L366&gt;=2,"High",IF(L366=1,"Medium","Low"))</f>
        <v>Low</v>
      </c>
    </row>
    <row r="367" customFormat="false" ht="15" hidden="false" customHeight="true" outlineLevel="0" collapsed="false">
      <c r="A367" s="1" t="str">
        <f aca="false">Transactions!A367</f>
        <v>TXN501307</v>
      </c>
      <c r="B367" s="1" t="str">
        <f aca="false">Transactions!B367</f>
        <v>ACC1057</v>
      </c>
      <c r="C367" s="1" t="str">
        <f aca="false">Transactions!I367</f>
        <v>2026-01-23</v>
      </c>
      <c r="D367" s="1" t="n">
        <f aca="false">Transactions!J367</f>
        <v>8</v>
      </c>
      <c r="E367" s="1" t="n">
        <f aca="false">Transactions!D367</f>
        <v>68.4</v>
      </c>
      <c r="F367" s="1" t="str">
        <f aca="false">Transactions!H367</f>
        <v>ATM</v>
      </c>
      <c r="G367" s="1" t="str">
        <f aca="false">Transactions!G367</f>
        <v>Electronics</v>
      </c>
      <c r="H367" s="1" t="n">
        <f aca="false">IF(COUNTIFS($B$2:$B$1489,B367,$C$2:$C$1489,C367,$D$2:$D$1489,D367)&gt;6,1,0)</f>
        <v>0</v>
      </c>
      <c r="I367" s="1" t="n">
        <f aca="false">IF(AND(F367="Wire",E367&gt;=1000,MOD(E367,1000)=0),1,0)</f>
        <v>0</v>
      </c>
      <c r="J367" s="1" t="n">
        <f aca="false">IF(AND(F367="ATM",E367&gt;2000,D367&lt;=4),1,0)</f>
        <v>0</v>
      </c>
      <c r="K367" s="1" t="n">
        <f aca="false">IF(COUNTIF('SQL Findings'!$A$4:$A$18,B367)&gt;0,1,0)</f>
        <v>1</v>
      </c>
      <c r="L367" s="1" t="n">
        <f aca="false">SUM(H367:K367)</f>
        <v>1</v>
      </c>
      <c r="M367" s="1" t="str">
        <f aca="false">IF(L367&gt;=2,"High",IF(L367=1,"Medium","Low"))</f>
        <v>Medium</v>
      </c>
    </row>
    <row r="368" customFormat="false" ht="15" hidden="false" customHeight="true" outlineLevel="0" collapsed="false">
      <c r="A368" s="1" t="str">
        <f aca="false">Transactions!A368</f>
        <v>TXN501372</v>
      </c>
      <c r="B368" s="1" t="str">
        <f aca="false">Transactions!B368</f>
        <v>ACC1059</v>
      </c>
      <c r="C368" s="1" t="str">
        <f aca="false">Transactions!I368</f>
        <v>2026-01-23</v>
      </c>
      <c r="D368" s="1" t="n">
        <f aca="false">Transactions!J368</f>
        <v>11</v>
      </c>
      <c r="E368" s="1" t="n">
        <f aca="false">Transactions!D368</f>
        <v>311.23</v>
      </c>
      <c r="F368" s="1" t="str">
        <f aca="false">Transactions!H368</f>
        <v>ATM</v>
      </c>
      <c r="G368" s="1" t="str">
        <f aca="false">Transactions!G368</f>
        <v>Dining</v>
      </c>
      <c r="H368" s="1" t="n">
        <f aca="false">IF(COUNTIFS($B$2:$B$1489,B368,$C$2:$C$1489,C368,$D$2:$D$1489,D368)&gt;6,1,0)</f>
        <v>0</v>
      </c>
      <c r="I368" s="1" t="n">
        <f aca="false">IF(AND(F368="Wire",E368&gt;=1000,MOD(E368,1000)=0),1,0)</f>
        <v>0</v>
      </c>
      <c r="J368" s="1" t="n">
        <f aca="false">IF(AND(F368="ATM",E368&gt;2000,D368&lt;=4),1,0)</f>
        <v>0</v>
      </c>
      <c r="K368" s="1" t="n">
        <f aca="false">IF(COUNTIF('SQL Findings'!$A$4:$A$18,B368)&gt;0,1,0)</f>
        <v>0</v>
      </c>
      <c r="L368" s="1" t="n">
        <f aca="false">SUM(H368:K368)</f>
        <v>0</v>
      </c>
      <c r="M368" s="1" t="str">
        <f aca="false">IF(L368&gt;=2,"High",IF(L368=1,"Medium","Low"))</f>
        <v>Low</v>
      </c>
    </row>
    <row r="369" customFormat="false" ht="15" hidden="false" customHeight="true" outlineLevel="0" collapsed="false">
      <c r="A369" s="1" t="str">
        <f aca="false">Transactions!A369</f>
        <v>TXN500433</v>
      </c>
      <c r="B369" s="1" t="str">
        <f aca="false">Transactions!B369</f>
        <v>ACC1019</v>
      </c>
      <c r="C369" s="1" t="str">
        <f aca="false">Transactions!I369</f>
        <v>2026-01-23</v>
      </c>
      <c r="D369" s="1" t="n">
        <f aca="false">Transactions!J369</f>
        <v>11</v>
      </c>
      <c r="E369" s="1" t="n">
        <f aca="false">Transactions!D369</f>
        <v>52.33</v>
      </c>
      <c r="F369" s="1" t="str">
        <f aca="false">Transactions!H369</f>
        <v>ATM</v>
      </c>
      <c r="G369" s="1" t="str">
        <f aca="false">Transactions!G369</f>
        <v>Cash Withdrawal</v>
      </c>
      <c r="H369" s="1" t="n">
        <f aca="false">IF(COUNTIFS($B$2:$B$1489,B369,$C$2:$C$1489,C369,$D$2:$D$1489,D369)&gt;6,1,0)</f>
        <v>0</v>
      </c>
      <c r="I369" s="1" t="n">
        <f aca="false">IF(AND(F369="Wire",E369&gt;=1000,MOD(E369,1000)=0),1,0)</f>
        <v>0</v>
      </c>
      <c r="J369" s="1" t="n">
        <f aca="false">IF(AND(F369="ATM",E369&gt;2000,D369&lt;=4),1,0)</f>
        <v>0</v>
      </c>
      <c r="K369" s="1" t="n">
        <f aca="false">IF(COUNTIF('SQL Findings'!$A$4:$A$18,B369)&gt;0,1,0)</f>
        <v>0</v>
      </c>
      <c r="L369" s="1" t="n">
        <f aca="false">SUM(H369:K369)</f>
        <v>0</v>
      </c>
      <c r="M369" s="1" t="str">
        <f aca="false">IF(L369&gt;=2,"High",IF(L369=1,"Medium","Low"))</f>
        <v>Low</v>
      </c>
    </row>
    <row r="370" customFormat="false" ht="15" hidden="false" customHeight="true" outlineLevel="0" collapsed="false">
      <c r="A370" s="1" t="str">
        <f aca="false">Transactions!A370</f>
        <v>TXN500018</v>
      </c>
      <c r="B370" s="1" t="str">
        <f aca="false">Transactions!B370</f>
        <v>ACC1000</v>
      </c>
      <c r="C370" s="1" t="str">
        <f aca="false">Transactions!I370</f>
        <v>2026-01-23</v>
      </c>
      <c r="D370" s="1" t="n">
        <f aca="false">Transactions!J370</f>
        <v>12</v>
      </c>
      <c r="E370" s="1" t="n">
        <f aca="false">Transactions!D370</f>
        <v>88.48</v>
      </c>
      <c r="F370" s="1" t="str">
        <f aca="false">Transactions!H370</f>
        <v>ATM</v>
      </c>
      <c r="G370" s="1" t="str">
        <f aca="false">Transactions!G370</f>
        <v>Utilities</v>
      </c>
      <c r="H370" s="1" t="n">
        <f aca="false">IF(COUNTIFS($B$2:$B$1489,B370,$C$2:$C$1489,C370,$D$2:$D$1489,D370)&gt;6,1,0)</f>
        <v>0</v>
      </c>
      <c r="I370" s="1" t="n">
        <f aca="false">IF(AND(F370="Wire",E370&gt;=1000,MOD(E370,1000)=0),1,0)</f>
        <v>0</v>
      </c>
      <c r="J370" s="1" t="n">
        <f aca="false">IF(AND(F370="ATM",E370&gt;2000,D370&lt;=4),1,0)</f>
        <v>0</v>
      </c>
      <c r="K370" s="1" t="n">
        <f aca="false">IF(COUNTIF('SQL Findings'!$A$4:$A$18,B370)&gt;0,1,0)</f>
        <v>1</v>
      </c>
      <c r="L370" s="1" t="n">
        <f aca="false">SUM(H370:K370)</f>
        <v>1</v>
      </c>
      <c r="M370" s="1" t="str">
        <f aca="false">IF(L370&gt;=2,"High",IF(L370=1,"Medium","Low"))</f>
        <v>Medium</v>
      </c>
    </row>
    <row r="371" customFormat="false" ht="15" hidden="false" customHeight="true" outlineLevel="0" collapsed="false">
      <c r="A371" s="1" t="str">
        <f aca="false">Transactions!A371</f>
        <v>TXN500588</v>
      </c>
      <c r="B371" s="1" t="str">
        <f aca="false">Transactions!B371</f>
        <v>ACC1025</v>
      </c>
      <c r="C371" s="1" t="str">
        <f aca="false">Transactions!I371</f>
        <v>2026-01-23</v>
      </c>
      <c r="D371" s="1" t="n">
        <f aca="false">Transactions!J371</f>
        <v>12</v>
      </c>
      <c r="E371" s="1" t="n">
        <f aca="false">Transactions!D371</f>
        <v>31.04</v>
      </c>
      <c r="F371" s="1" t="str">
        <f aca="false">Transactions!H371</f>
        <v>Online</v>
      </c>
      <c r="G371" s="1" t="str">
        <f aca="false">Transactions!G371</f>
        <v>Wire Transfer</v>
      </c>
      <c r="H371" s="1" t="n">
        <f aca="false">IF(COUNTIFS($B$2:$B$1489,B371,$C$2:$C$1489,C371,$D$2:$D$1489,D371)&gt;6,1,0)</f>
        <v>0</v>
      </c>
      <c r="I371" s="1" t="n">
        <f aca="false">IF(AND(F371="Wire",E371&gt;=1000,MOD(E371,1000)=0),1,0)</f>
        <v>0</v>
      </c>
      <c r="J371" s="1" t="n">
        <f aca="false">IF(AND(F371="ATM",E371&gt;2000,D371&lt;=4),1,0)</f>
        <v>0</v>
      </c>
      <c r="K371" s="1" t="n">
        <f aca="false">IF(COUNTIF('SQL Findings'!$A$4:$A$18,B371)&gt;0,1,0)</f>
        <v>0</v>
      </c>
      <c r="L371" s="1" t="n">
        <f aca="false">SUM(H371:K371)</f>
        <v>0</v>
      </c>
      <c r="M371" s="1" t="str">
        <f aca="false">IF(L371&gt;=2,"High",IF(L371=1,"Medium","Low"))</f>
        <v>Low</v>
      </c>
    </row>
    <row r="372" customFormat="false" ht="15" hidden="false" customHeight="true" outlineLevel="0" collapsed="false">
      <c r="A372" s="1" t="str">
        <f aca="false">Transactions!A372</f>
        <v>TXN500917</v>
      </c>
      <c r="B372" s="1" t="str">
        <f aca="false">Transactions!B372</f>
        <v>ACC1039</v>
      </c>
      <c r="C372" s="1" t="str">
        <f aca="false">Transactions!I372</f>
        <v>2026-01-23</v>
      </c>
      <c r="D372" s="1" t="n">
        <f aca="false">Transactions!J372</f>
        <v>15</v>
      </c>
      <c r="E372" s="1" t="n">
        <f aca="false">Transactions!D372</f>
        <v>115.25</v>
      </c>
      <c r="F372" s="1" t="str">
        <f aca="false">Transactions!H372</f>
        <v>POS</v>
      </c>
      <c r="G372" s="1" t="str">
        <f aca="false">Transactions!G372</f>
        <v>Wire Transfer</v>
      </c>
      <c r="H372" s="1" t="n">
        <f aca="false">IF(COUNTIFS($B$2:$B$1489,B372,$C$2:$C$1489,C372,$D$2:$D$1489,D372)&gt;6,1,0)</f>
        <v>0</v>
      </c>
      <c r="I372" s="1" t="n">
        <f aca="false">IF(AND(F372="Wire",E372&gt;=1000,MOD(E372,1000)=0),1,0)</f>
        <v>0</v>
      </c>
      <c r="J372" s="1" t="n">
        <f aca="false">IF(AND(F372="ATM",E372&gt;2000,D372&lt;=4),1,0)</f>
        <v>0</v>
      </c>
      <c r="K372" s="1" t="n">
        <f aca="false">IF(COUNTIF('SQL Findings'!$A$4:$A$18,B372)&gt;0,1,0)</f>
        <v>0</v>
      </c>
      <c r="L372" s="1" t="n">
        <f aca="false">SUM(H372:K372)</f>
        <v>0</v>
      </c>
      <c r="M372" s="1" t="str">
        <f aca="false">IF(L372&gt;=2,"High",IF(L372=1,"Medium","Low"))</f>
        <v>Low</v>
      </c>
    </row>
    <row r="373" customFormat="false" ht="15" hidden="false" customHeight="true" outlineLevel="0" collapsed="false">
      <c r="A373" s="1" t="str">
        <f aca="false">Transactions!A373</f>
        <v>TXN501135</v>
      </c>
      <c r="B373" s="1" t="str">
        <f aca="false">Transactions!B373</f>
        <v>ACC1050</v>
      </c>
      <c r="C373" s="1" t="str">
        <f aca="false">Transactions!I373</f>
        <v>2026-01-23</v>
      </c>
      <c r="D373" s="1" t="n">
        <f aca="false">Transactions!J373</f>
        <v>17</v>
      </c>
      <c r="E373" s="1" t="n">
        <f aca="false">Transactions!D373</f>
        <v>53.53</v>
      </c>
      <c r="F373" s="1" t="str">
        <f aca="false">Transactions!H373</f>
        <v>Online</v>
      </c>
      <c r="G373" s="1" t="str">
        <f aca="false">Transactions!G373</f>
        <v>Electronics</v>
      </c>
      <c r="H373" s="1" t="n">
        <f aca="false">IF(COUNTIFS($B$2:$B$1489,B373,$C$2:$C$1489,C373,$D$2:$D$1489,D373)&gt;6,1,0)</f>
        <v>0</v>
      </c>
      <c r="I373" s="1" t="n">
        <f aca="false">IF(AND(F373="Wire",E373&gt;=1000,MOD(E373,1000)=0),1,0)</f>
        <v>0</v>
      </c>
      <c r="J373" s="1" t="n">
        <f aca="false">IF(AND(F373="ATM",E373&gt;2000,D373&lt;=4),1,0)</f>
        <v>0</v>
      </c>
      <c r="K373" s="1" t="n">
        <f aca="false">IF(COUNTIF('SQL Findings'!$A$4:$A$18,B373)&gt;0,1,0)</f>
        <v>0</v>
      </c>
      <c r="L373" s="1" t="n">
        <f aca="false">SUM(H373:K373)</f>
        <v>0</v>
      </c>
      <c r="M373" s="1" t="str">
        <f aca="false">IF(L373&gt;=2,"High",IF(L373=1,"Medium","Low"))</f>
        <v>Low</v>
      </c>
    </row>
    <row r="374" customFormat="false" ht="15" hidden="false" customHeight="true" outlineLevel="0" collapsed="false">
      <c r="A374" s="1" t="str">
        <f aca="false">Transactions!A374</f>
        <v>TXN500070</v>
      </c>
      <c r="B374" s="1" t="str">
        <f aca="false">Transactions!B374</f>
        <v>ACC1003</v>
      </c>
      <c r="C374" s="1" t="str">
        <f aca="false">Transactions!I374</f>
        <v>2026-01-23</v>
      </c>
      <c r="D374" s="1" t="n">
        <f aca="false">Transactions!J374</f>
        <v>18</v>
      </c>
      <c r="E374" s="1" t="n">
        <f aca="false">Transactions!D374</f>
        <v>37.31</v>
      </c>
      <c r="F374" s="1" t="str">
        <f aca="false">Transactions!H374</f>
        <v>ATM</v>
      </c>
      <c r="G374" s="1" t="str">
        <f aca="false">Transactions!G374</f>
        <v>Travel</v>
      </c>
      <c r="H374" s="1" t="n">
        <f aca="false">IF(COUNTIFS($B$2:$B$1489,B374,$C$2:$C$1489,C374,$D$2:$D$1489,D374)&gt;6,1,0)</f>
        <v>0</v>
      </c>
      <c r="I374" s="1" t="n">
        <f aca="false">IF(AND(F374="Wire",E374&gt;=1000,MOD(E374,1000)=0),1,0)</f>
        <v>0</v>
      </c>
      <c r="J374" s="1" t="n">
        <f aca="false">IF(AND(F374="ATM",E374&gt;2000,D374&lt;=4),1,0)</f>
        <v>0</v>
      </c>
      <c r="K374" s="1" t="n">
        <f aca="false">IF(COUNTIF('SQL Findings'!$A$4:$A$18,B374)&gt;0,1,0)</f>
        <v>0</v>
      </c>
      <c r="L374" s="1" t="n">
        <f aca="false">SUM(H374:K374)</f>
        <v>0</v>
      </c>
      <c r="M374" s="1" t="str">
        <f aca="false">IF(L374&gt;=2,"High",IF(L374=1,"Medium","Low"))</f>
        <v>Low</v>
      </c>
    </row>
    <row r="375" customFormat="false" ht="15" hidden="false" customHeight="true" outlineLevel="0" collapsed="false">
      <c r="A375" s="1" t="str">
        <f aca="false">Transactions!A375</f>
        <v>TXN500377</v>
      </c>
      <c r="B375" s="1" t="str">
        <f aca="false">Transactions!B375</f>
        <v>ACC1016</v>
      </c>
      <c r="C375" s="1" t="str">
        <f aca="false">Transactions!I375</f>
        <v>2026-01-23</v>
      </c>
      <c r="D375" s="1" t="n">
        <f aca="false">Transactions!J375</f>
        <v>19</v>
      </c>
      <c r="E375" s="1" t="n">
        <f aca="false">Transactions!D375</f>
        <v>146.22</v>
      </c>
      <c r="F375" s="1" t="str">
        <f aca="false">Transactions!H375</f>
        <v>ATM</v>
      </c>
      <c r="G375" s="1" t="str">
        <f aca="false">Transactions!G375</f>
        <v>Electronics</v>
      </c>
      <c r="H375" s="1" t="n">
        <f aca="false">IF(COUNTIFS($B$2:$B$1489,B375,$C$2:$C$1489,C375,$D$2:$D$1489,D375)&gt;6,1,0)</f>
        <v>0</v>
      </c>
      <c r="I375" s="1" t="n">
        <f aca="false">IF(AND(F375="Wire",E375&gt;=1000,MOD(E375,1000)=0),1,0)</f>
        <v>0</v>
      </c>
      <c r="J375" s="1" t="n">
        <f aca="false">IF(AND(F375="ATM",E375&gt;2000,D375&lt;=4),1,0)</f>
        <v>0</v>
      </c>
      <c r="K375" s="1" t="n">
        <f aca="false">IF(COUNTIF('SQL Findings'!$A$4:$A$18,B375)&gt;0,1,0)</f>
        <v>0</v>
      </c>
      <c r="L375" s="1" t="n">
        <f aca="false">SUM(H375:K375)</f>
        <v>0</v>
      </c>
      <c r="M375" s="1" t="str">
        <f aca="false">IF(L375&gt;=2,"High",IF(L375=1,"Medium","Low"))</f>
        <v>Low</v>
      </c>
    </row>
    <row r="376" customFormat="false" ht="15" hidden="false" customHeight="true" outlineLevel="0" collapsed="false">
      <c r="A376" s="1" t="str">
        <f aca="false">Transactions!A376</f>
        <v>TXN500730</v>
      </c>
      <c r="B376" s="1" t="str">
        <f aca="false">Transactions!B376</f>
        <v>ACC1031</v>
      </c>
      <c r="C376" s="1" t="str">
        <f aca="false">Transactions!I376</f>
        <v>2026-01-23</v>
      </c>
      <c r="D376" s="1" t="n">
        <f aca="false">Transactions!J376</f>
        <v>20</v>
      </c>
      <c r="E376" s="1" t="n">
        <f aca="false">Transactions!D376</f>
        <v>33.1</v>
      </c>
      <c r="F376" s="1" t="str">
        <f aca="false">Transactions!H376</f>
        <v>POS</v>
      </c>
      <c r="G376" s="1" t="str">
        <f aca="false">Transactions!G376</f>
        <v>Cash Withdrawal</v>
      </c>
      <c r="H376" s="1" t="n">
        <f aca="false">IF(COUNTIFS($B$2:$B$1489,B376,$C$2:$C$1489,C376,$D$2:$D$1489,D376)&gt;6,1,0)</f>
        <v>0</v>
      </c>
      <c r="I376" s="1" t="n">
        <f aca="false">IF(AND(F376="Wire",E376&gt;=1000,MOD(E376,1000)=0),1,0)</f>
        <v>0</v>
      </c>
      <c r="J376" s="1" t="n">
        <f aca="false">IF(AND(F376="ATM",E376&gt;2000,D376&lt;=4),1,0)</f>
        <v>0</v>
      </c>
      <c r="K376" s="1" t="n">
        <f aca="false">IF(COUNTIF('SQL Findings'!$A$4:$A$18,B376)&gt;0,1,0)</f>
        <v>0</v>
      </c>
      <c r="L376" s="1" t="n">
        <f aca="false">SUM(H376:K376)</f>
        <v>0</v>
      </c>
      <c r="M376" s="1" t="str">
        <f aca="false">IF(L376&gt;=2,"High",IF(L376=1,"Medium","Low"))</f>
        <v>Low</v>
      </c>
    </row>
    <row r="377" customFormat="false" ht="15" hidden="false" customHeight="true" outlineLevel="0" collapsed="false">
      <c r="A377" s="1" t="str">
        <f aca="false">Transactions!A377</f>
        <v>TXN500565</v>
      </c>
      <c r="B377" s="1" t="str">
        <f aca="false">Transactions!B377</f>
        <v>ACC1025</v>
      </c>
      <c r="C377" s="1" t="str">
        <f aca="false">Transactions!I377</f>
        <v>2026-01-23</v>
      </c>
      <c r="D377" s="1" t="n">
        <f aca="false">Transactions!J377</f>
        <v>22</v>
      </c>
      <c r="E377" s="1" t="n">
        <f aca="false">Transactions!D377</f>
        <v>196.58</v>
      </c>
      <c r="F377" s="1" t="str">
        <f aca="false">Transactions!H377</f>
        <v>ATM</v>
      </c>
      <c r="G377" s="1" t="str">
        <f aca="false">Transactions!G377</f>
        <v>Utilities</v>
      </c>
      <c r="H377" s="1" t="n">
        <f aca="false">IF(COUNTIFS($B$2:$B$1489,B377,$C$2:$C$1489,C377,$D$2:$D$1489,D377)&gt;6,1,0)</f>
        <v>0</v>
      </c>
      <c r="I377" s="1" t="n">
        <f aca="false">IF(AND(F377="Wire",E377&gt;=1000,MOD(E377,1000)=0),1,0)</f>
        <v>0</v>
      </c>
      <c r="J377" s="1" t="n">
        <f aca="false">IF(AND(F377="ATM",E377&gt;2000,D377&lt;=4),1,0)</f>
        <v>0</v>
      </c>
      <c r="K377" s="1" t="n">
        <f aca="false">IF(COUNTIF('SQL Findings'!$A$4:$A$18,B377)&gt;0,1,0)</f>
        <v>0</v>
      </c>
      <c r="L377" s="1" t="n">
        <f aca="false">SUM(H377:K377)</f>
        <v>0</v>
      </c>
      <c r="M377" s="1" t="str">
        <f aca="false">IF(L377&gt;=2,"High",IF(L377=1,"Medium","Low"))</f>
        <v>Low</v>
      </c>
    </row>
    <row r="378" customFormat="false" ht="15" hidden="false" customHeight="true" outlineLevel="0" collapsed="false">
      <c r="A378" s="1" t="str">
        <f aca="false">Transactions!A378</f>
        <v>TXN500458</v>
      </c>
      <c r="B378" s="1" t="str">
        <f aca="false">Transactions!B378</f>
        <v>ACC1020</v>
      </c>
      <c r="C378" s="1" t="str">
        <f aca="false">Transactions!I378</f>
        <v>2026-01-24</v>
      </c>
      <c r="D378" s="1" t="n">
        <f aca="false">Transactions!J378</f>
        <v>0</v>
      </c>
      <c r="E378" s="1" t="n">
        <f aca="false">Transactions!D378</f>
        <v>26.27</v>
      </c>
      <c r="F378" s="1" t="str">
        <f aca="false">Transactions!H378</f>
        <v>ATM</v>
      </c>
      <c r="G378" s="1" t="str">
        <f aca="false">Transactions!G378</f>
        <v>Utilities</v>
      </c>
      <c r="H378" s="1" t="n">
        <f aca="false">IF(COUNTIFS($B$2:$B$1489,B378,$C$2:$C$1489,C378,$D$2:$D$1489,D378)&gt;6,1,0)</f>
        <v>0</v>
      </c>
      <c r="I378" s="1" t="n">
        <f aca="false">IF(AND(F378="Wire",E378&gt;=1000,MOD(E378,1000)=0),1,0)</f>
        <v>0</v>
      </c>
      <c r="J378" s="1" t="n">
        <f aca="false">IF(AND(F378="ATM",E378&gt;2000,D378&lt;=4),1,0)</f>
        <v>0</v>
      </c>
      <c r="K378" s="1" t="n">
        <f aca="false">IF(COUNTIF('SQL Findings'!$A$4:$A$18,B378)&gt;0,1,0)</f>
        <v>0</v>
      </c>
      <c r="L378" s="1" t="n">
        <f aca="false">SUM(H378:K378)</f>
        <v>0</v>
      </c>
      <c r="M378" s="1" t="str">
        <f aca="false">IF(L378&gt;=2,"High",IF(L378=1,"Medium","Low"))</f>
        <v>Low</v>
      </c>
    </row>
    <row r="379" customFormat="false" ht="15" hidden="false" customHeight="true" outlineLevel="0" collapsed="false">
      <c r="A379" s="1" t="str">
        <f aca="false">Transactions!A379</f>
        <v>TXN501242</v>
      </c>
      <c r="B379" s="1" t="str">
        <f aca="false">Transactions!B379</f>
        <v>ACC1054</v>
      </c>
      <c r="C379" s="1" t="str">
        <f aca="false">Transactions!I379</f>
        <v>2026-01-24</v>
      </c>
      <c r="D379" s="1" t="n">
        <f aca="false">Transactions!J379</f>
        <v>6</v>
      </c>
      <c r="E379" s="1" t="n">
        <f aca="false">Transactions!D379</f>
        <v>55.52</v>
      </c>
      <c r="F379" s="1" t="str">
        <f aca="false">Transactions!H379</f>
        <v>POS</v>
      </c>
      <c r="G379" s="1" t="str">
        <f aca="false">Transactions!G379</f>
        <v>Cash Withdrawal</v>
      </c>
      <c r="H379" s="1" t="n">
        <f aca="false">IF(COUNTIFS($B$2:$B$1489,B379,$C$2:$C$1489,C379,$D$2:$D$1489,D379)&gt;6,1,0)</f>
        <v>0</v>
      </c>
      <c r="I379" s="1" t="n">
        <f aca="false">IF(AND(F379="Wire",E379&gt;=1000,MOD(E379,1000)=0),1,0)</f>
        <v>0</v>
      </c>
      <c r="J379" s="1" t="n">
        <f aca="false">IF(AND(F379="ATM",E379&gt;2000,D379&lt;=4),1,0)</f>
        <v>0</v>
      </c>
      <c r="K379" s="1" t="n">
        <f aca="false">IF(COUNTIF('SQL Findings'!$A$4:$A$18,B379)&gt;0,1,0)</f>
        <v>0</v>
      </c>
      <c r="L379" s="1" t="n">
        <f aca="false">SUM(H379:K379)</f>
        <v>0</v>
      </c>
      <c r="M379" s="1" t="str">
        <f aca="false">IF(L379&gt;=2,"High",IF(L379=1,"Medium","Low"))</f>
        <v>Low</v>
      </c>
    </row>
    <row r="380" customFormat="false" ht="15" hidden="false" customHeight="true" outlineLevel="0" collapsed="false">
      <c r="A380" s="1" t="str">
        <f aca="false">Transactions!A380</f>
        <v>TXN500952</v>
      </c>
      <c r="B380" s="1" t="str">
        <f aca="false">Transactions!B380</f>
        <v>ACC1041</v>
      </c>
      <c r="C380" s="1" t="str">
        <f aca="false">Transactions!I380</f>
        <v>2026-01-24</v>
      </c>
      <c r="D380" s="1" t="n">
        <f aca="false">Transactions!J380</f>
        <v>7</v>
      </c>
      <c r="E380" s="1" t="n">
        <f aca="false">Transactions!D380</f>
        <v>91.55</v>
      </c>
      <c r="F380" s="1" t="str">
        <f aca="false">Transactions!H380</f>
        <v>POS</v>
      </c>
      <c r="G380" s="1" t="str">
        <f aca="false">Transactions!G380</f>
        <v>Utilities</v>
      </c>
      <c r="H380" s="1" t="n">
        <f aca="false">IF(COUNTIFS($B$2:$B$1489,B380,$C$2:$C$1489,C380,$D$2:$D$1489,D380)&gt;6,1,0)</f>
        <v>0</v>
      </c>
      <c r="I380" s="1" t="n">
        <f aca="false">IF(AND(F380="Wire",E380&gt;=1000,MOD(E380,1000)=0),1,0)</f>
        <v>0</v>
      </c>
      <c r="J380" s="1" t="n">
        <f aca="false">IF(AND(F380="ATM",E380&gt;2000,D380&lt;=4),1,0)</f>
        <v>0</v>
      </c>
      <c r="K380" s="1" t="n">
        <f aca="false">IF(COUNTIF('SQL Findings'!$A$4:$A$18,B380)&gt;0,1,0)</f>
        <v>1</v>
      </c>
      <c r="L380" s="1" t="n">
        <f aca="false">SUM(H380:K380)</f>
        <v>1</v>
      </c>
      <c r="M380" s="1" t="str">
        <f aca="false">IF(L380&gt;=2,"High",IF(L380=1,"Medium","Low"))</f>
        <v>Medium</v>
      </c>
    </row>
    <row r="381" customFormat="false" ht="15" hidden="false" customHeight="true" outlineLevel="0" collapsed="false">
      <c r="A381" s="1" t="str">
        <f aca="false">Transactions!A381</f>
        <v>TXN500038</v>
      </c>
      <c r="B381" s="1" t="str">
        <f aca="false">Transactions!B381</f>
        <v>ACC1001</v>
      </c>
      <c r="C381" s="1" t="str">
        <f aca="false">Transactions!I381</f>
        <v>2026-01-24</v>
      </c>
      <c r="D381" s="1" t="n">
        <f aca="false">Transactions!J381</f>
        <v>8</v>
      </c>
      <c r="E381" s="1" t="n">
        <f aca="false">Transactions!D381</f>
        <v>11.43</v>
      </c>
      <c r="F381" s="1" t="str">
        <f aca="false">Transactions!H381</f>
        <v>Online</v>
      </c>
      <c r="G381" s="1" t="str">
        <f aca="false">Transactions!G381</f>
        <v>Electronics</v>
      </c>
      <c r="H381" s="1" t="n">
        <f aca="false">IF(COUNTIFS($B$2:$B$1489,B381,$C$2:$C$1489,C381,$D$2:$D$1489,D381)&gt;6,1,0)</f>
        <v>0</v>
      </c>
      <c r="I381" s="1" t="n">
        <f aca="false">IF(AND(F381="Wire",E381&gt;=1000,MOD(E381,1000)=0),1,0)</f>
        <v>0</v>
      </c>
      <c r="J381" s="1" t="n">
        <f aca="false">IF(AND(F381="ATM",E381&gt;2000,D381&lt;=4),1,0)</f>
        <v>0</v>
      </c>
      <c r="K381" s="1" t="n">
        <f aca="false">IF(COUNTIF('SQL Findings'!$A$4:$A$18,B381)&gt;0,1,0)</f>
        <v>1</v>
      </c>
      <c r="L381" s="1" t="n">
        <f aca="false">SUM(H381:K381)</f>
        <v>1</v>
      </c>
      <c r="M381" s="1" t="str">
        <f aca="false">IF(L381&gt;=2,"High",IF(L381=1,"Medium","Low"))</f>
        <v>Medium</v>
      </c>
    </row>
    <row r="382" customFormat="false" ht="15" hidden="false" customHeight="true" outlineLevel="0" collapsed="false">
      <c r="A382" s="1" t="str">
        <f aca="false">Transactions!A382</f>
        <v>TXN500712</v>
      </c>
      <c r="B382" s="1" t="str">
        <f aca="false">Transactions!B382</f>
        <v>ACC1030</v>
      </c>
      <c r="C382" s="1" t="str">
        <f aca="false">Transactions!I382</f>
        <v>2026-01-24</v>
      </c>
      <c r="D382" s="1" t="n">
        <f aca="false">Transactions!J382</f>
        <v>8</v>
      </c>
      <c r="E382" s="1" t="n">
        <f aca="false">Transactions!D382</f>
        <v>61.13</v>
      </c>
      <c r="F382" s="1" t="str">
        <f aca="false">Transactions!H382</f>
        <v>POS</v>
      </c>
      <c r="G382" s="1" t="str">
        <f aca="false">Transactions!G382</f>
        <v>Travel</v>
      </c>
      <c r="H382" s="1" t="n">
        <f aca="false">IF(COUNTIFS($B$2:$B$1489,B382,$C$2:$C$1489,C382,$D$2:$D$1489,D382)&gt;6,1,0)</f>
        <v>0</v>
      </c>
      <c r="I382" s="1" t="n">
        <f aca="false">IF(AND(F382="Wire",E382&gt;=1000,MOD(E382,1000)=0),1,0)</f>
        <v>0</v>
      </c>
      <c r="J382" s="1" t="n">
        <f aca="false">IF(AND(F382="ATM",E382&gt;2000,D382&lt;=4),1,0)</f>
        <v>0</v>
      </c>
      <c r="K382" s="1" t="n">
        <f aca="false">IF(COUNTIF('SQL Findings'!$A$4:$A$18,B382)&gt;0,1,0)</f>
        <v>1</v>
      </c>
      <c r="L382" s="1" t="n">
        <f aca="false">SUM(H382:K382)</f>
        <v>1</v>
      </c>
      <c r="M382" s="1" t="str">
        <f aca="false">IF(L382&gt;=2,"High",IF(L382=1,"Medium","Low"))</f>
        <v>Medium</v>
      </c>
    </row>
    <row r="383" customFormat="false" ht="15" hidden="false" customHeight="true" outlineLevel="0" collapsed="false">
      <c r="A383" s="1" t="str">
        <f aca="false">Transactions!A383</f>
        <v>TXN500600</v>
      </c>
      <c r="B383" s="1" t="str">
        <f aca="false">Transactions!B383</f>
        <v>ACC1026</v>
      </c>
      <c r="C383" s="1" t="str">
        <f aca="false">Transactions!I383</f>
        <v>2026-01-24</v>
      </c>
      <c r="D383" s="1" t="n">
        <f aca="false">Transactions!J383</f>
        <v>9</v>
      </c>
      <c r="E383" s="1" t="n">
        <f aca="false">Transactions!D383</f>
        <v>93.65</v>
      </c>
      <c r="F383" s="1" t="str">
        <f aca="false">Transactions!H383</f>
        <v>Online</v>
      </c>
      <c r="G383" s="1" t="str">
        <f aca="false">Transactions!G383</f>
        <v>Wire Transfer</v>
      </c>
      <c r="H383" s="1" t="n">
        <f aca="false">IF(COUNTIFS($B$2:$B$1489,B383,$C$2:$C$1489,C383,$D$2:$D$1489,D383)&gt;6,1,0)</f>
        <v>0</v>
      </c>
      <c r="I383" s="1" t="n">
        <f aca="false">IF(AND(F383="Wire",E383&gt;=1000,MOD(E383,1000)=0),1,0)</f>
        <v>0</v>
      </c>
      <c r="J383" s="1" t="n">
        <f aca="false">IF(AND(F383="ATM",E383&gt;2000,D383&lt;=4),1,0)</f>
        <v>0</v>
      </c>
      <c r="K383" s="1" t="n">
        <f aca="false">IF(COUNTIF('SQL Findings'!$A$4:$A$18,B383)&gt;0,1,0)</f>
        <v>0</v>
      </c>
      <c r="L383" s="1" t="n">
        <f aca="false">SUM(H383:K383)</f>
        <v>0</v>
      </c>
      <c r="M383" s="1" t="str">
        <f aca="false">IF(L383&gt;=2,"High",IF(L383=1,"Medium","Low"))</f>
        <v>Low</v>
      </c>
    </row>
    <row r="384" customFormat="false" ht="15" hidden="false" customHeight="true" outlineLevel="0" collapsed="false">
      <c r="A384" s="1" t="str">
        <f aca="false">Transactions!A384</f>
        <v>TXN501057</v>
      </c>
      <c r="B384" s="1" t="str">
        <f aca="false">Transactions!B384</f>
        <v>ACC1046</v>
      </c>
      <c r="C384" s="1" t="str">
        <f aca="false">Transactions!I384</f>
        <v>2026-01-24</v>
      </c>
      <c r="D384" s="1" t="n">
        <f aca="false">Transactions!J384</f>
        <v>11</v>
      </c>
      <c r="E384" s="1" t="n">
        <f aca="false">Transactions!D384</f>
        <v>65.17</v>
      </c>
      <c r="F384" s="1" t="str">
        <f aca="false">Transactions!H384</f>
        <v>ATM</v>
      </c>
      <c r="G384" s="1" t="str">
        <f aca="false">Transactions!G384</f>
        <v>Wire Transfer</v>
      </c>
      <c r="H384" s="1" t="n">
        <f aca="false">IF(COUNTIFS($B$2:$B$1489,B384,$C$2:$C$1489,C384,$D$2:$D$1489,D384)&gt;6,1,0)</f>
        <v>0</v>
      </c>
      <c r="I384" s="1" t="n">
        <f aca="false">IF(AND(F384="Wire",E384&gt;=1000,MOD(E384,1000)=0),1,0)</f>
        <v>0</v>
      </c>
      <c r="J384" s="1" t="n">
        <f aca="false">IF(AND(F384="ATM",E384&gt;2000,D384&lt;=4),1,0)</f>
        <v>0</v>
      </c>
      <c r="K384" s="1" t="n">
        <f aca="false">IF(COUNTIF('SQL Findings'!$A$4:$A$18,B384)&gt;0,1,0)</f>
        <v>0</v>
      </c>
      <c r="L384" s="1" t="n">
        <f aca="false">SUM(H384:K384)</f>
        <v>0</v>
      </c>
      <c r="M384" s="1" t="str">
        <f aca="false">IF(L384&gt;=2,"High",IF(L384=1,"Medium","Low"))</f>
        <v>Low</v>
      </c>
    </row>
    <row r="385" customFormat="false" ht="15" hidden="false" customHeight="true" outlineLevel="0" collapsed="false">
      <c r="A385" s="1" t="str">
        <f aca="false">Transactions!A385</f>
        <v>TXN500374</v>
      </c>
      <c r="B385" s="1" t="str">
        <f aca="false">Transactions!B385</f>
        <v>ACC1016</v>
      </c>
      <c r="C385" s="1" t="str">
        <f aca="false">Transactions!I385</f>
        <v>2026-01-24</v>
      </c>
      <c r="D385" s="1" t="n">
        <f aca="false">Transactions!J385</f>
        <v>11</v>
      </c>
      <c r="E385" s="1" t="n">
        <f aca="false">Transactions!D385</f>
        <v>158.12</v>
      </c>
      <c r="F385" s="1" t="str">
        <f aca="false">Transactions!H385</f>
        <v>Online</v>
      </c>
      <c r="G385" s="1" t="str">
        <f aca="false">Transactions!G385</f>
        <v>Electronics</v>
      </c>
      <c r="H385" s="1" t="n">
        <f aca="false">IF(COUNTIFS($B$2:$B$1489,B385,$C$2:$C$1489,C385,$D$2:$D$1489,D385)&gt;6,1,0)</f>
        <v>0</v>
      </c>
      <c r="I385" s="1" t="n">
        <f aca="false">IF(AND(F385="Wire",E385&gt;=1000,MOD(E385,1000)=0),1,0)</f>
        <v>0</v>
      </c>
      <c r="J385" s="1" t="n">
        <f aca="false">IF(AND(F385="ATM",E385&gt;2000,D385&lt;=4),1,0)</f>
        <v>0</v>
      </c>
      <c r="K385" s="1" t="n">
        <f aca="false">IF(COUNTIF('SQL Findings'!$A$4:$A$18,B385)&gt;0,1,0)</f>
        <v>0</v>
      </c>
      <c r="L385" s="1" t="n">
        <f aca="false">SUM(H385:K385)</f>
        <v>0</v>
      </c>
      <c r="M385" s="1" t="str">
        <f aca="false">IF(L385&gt;=2,"High",IF(L385=1,"Medium","Low"))</f>
        <v>Low</v>
      </c>
    </row>
    <row r="386" customFormat="false" ht="15" hidden="false" customHeight="true" outlineLevel="0" collapsed="false">
      <c r="A386" s="1" t="str">
        <f aca="false">Transactions!A386</f>
        <v>TXN501147</v>
      </c>
      <c r="B386" s="1" t="str">
        <f aca="false">Transactions!B386</f>
        <v>ACC1050</v>
      </c>
      <c r="C386" s="1" t="str">
        <f aca="false">Transactions!I386</f>
        <v>2026-01-24</v>
      </c>
      <c r="D386" s="1" t="n">
        <f aca="false">Transactions!J386</f>
        <v>12</v>
      </c>
      <c r="E386" s="1" t="n">
        <f aca="false">Transactions!D386</f>
        <v>24.86</v>
      </c>
      <c r="F386" s="1" t="str">
        <f aca="false">Transactions!H386</f>
        <v>ATM</v>
      </c>
      <c r="G386" s="1" t="str">
        <f aca="false">Transactions!G386</f>
        <v>Cash Withdrawal</v>
      </c>
      <c r="H386" s="1" t="n">
        <f aca="false">IF(COUNTIFS($B$2:$B$1489,B386,$C$2:$C$1489,C386,$D$2:$D$1489,D386)&gt;6,1,0)</f>
        <v>0</v>
      </c>
      <c r="I386" s="1" t="n">
        <f aca="false">IF(AND(F386="Wire",E386&gt;=1000,MOD(E386,1000)=0),1,0)</f>
        <v>0</v>
      </c>
      <c r="J386" s="1" t="n">
        <f aca="false">IF(AND(F386="ATM",E386&gt;2000,D386&lt;=4),1,0)</f>
        <v>0</v>
      </c>
      <c r="K386" s="1" t="n">
        <f aca="false">IF(COUNTIF('SQL Findings'!$A$4:$A$18,B386)&gt;0,1,0)</f>
        <v>0</v>
      </c>
      <c r="L386" s="1" t="n">
        <f aca="false">SUM(H386:K386)</f>
        <v>0</v>
      </c>
      <c r="M386" s="1" t="str">
        <f aca="false">IF(L386&gt;=2,"High",IF(L386=1,"Medium","Low"))</f>
        <v>Low</v>
      </c>
    </row>
    <row r="387" customFormat="false" ht="15" hidden="false" customHeight="true" outlineLevel="0" collapsed="false">
      <c r="A387" s="1" t="str">
        <f aca="false">Transactions!A387</f>
        <v>TXN500995</v>
      </c>
      <c r="B387" s="1" t="str">
        <f aca="false">Transactions!B387</f>
        <v>ACC1043</v>
      </c>
      <c r="C387" s="1" t="str">
        <f aca="false">Transactions!I387</f>
        <v>2026-01-24</v>
      </c>
      <c r="D387" s="1" t="n">
        <f aca="false">Transactions!J387</f>
        <v>13</v>
      </c>
      <c r="E387" s="1" t="n">
        <f aca="false">Transactions!D387</f>
        <v>27.07</v>
      </c>
      <c r="F387" s="1" t="str">
        <f aca="false">Transactions!H387</f>
        <v>POS</v>
      </c>
      <c r="G387" s="1" t="str">
        <f aca="false">Transactions!G387</f>
        <v>Utilities</v>
      </c>
      <c r="H387" s="1" t="n">
        <f aca="false">IF(COUNTIFS($B$2:$B$1489,B387,$C$2:$C$1489,C387,$D$2:$D$1489,D387)&gt;6,1,0)</f>
        <v>0</v>
      </c>
      <c r="I387" s="1" t="n">
        <f aca="false">IF(AND(F387="Wire",E387&gt;=1000,MOD(E387,1000)=0),1,0)</f>
        <v>0</v>
      </c>
      <c r="J387" s="1" t="n">
        <f aca="false">IF(AND(F387="ATM",E387&gt;2000,D387&lt;=4),1,0)</f>
        <v>0</v>
      </c>
      <c r="K387" s="1" t="n">
        <f aca="false">IF(COUNTIF('SQL Findings'!$A$4:$A$18,B387)&gt;0,1,0)</f>
        <v>0</v>
      </c>
      <c r="L387" s="1" t="n">
        <f aca="false">SUM(H387:K387)</f>
        <v>0</v>
      </c>
      <c r="M387" s="1" t="str">
        <f aca="false">IF(L387&gt;=2,"High",IF(L387=1,"Medium","Low"))</f>
        <v>Low</v>
      </c>
    </row>
    <row r="388" customFormat="false" ht="15" hidden="false" customHeight="true" outlineLevel="0" collapsed="false">
      <c r="A388" s="1" t="str">
        <f aca="false">Transactions!A388</f>
        <v>TXN501059</v>
      </c>
      <c r="B388" s="1" t="str">
        <f aca="false">Transactions!B388</f>
        <v>ACC1046</v>
      </c>
      <c r="C388" s="1" t="str">
        <f aca="false">Transactions!I388</f>
        <v>2026-01-24</v>
      </c>
      <c r="D388" s="1" t="n">
        <f aca="false">Transactions!J388</f>
        <v>13</v>
      </c>
      <c r="E388" s="1" t="n">
        <f aca="false">Transactions!D388</f>
        <v>108.77</v>
      </c>
      <c r="F388" s="1" t="str">
        <f aca="false">Transactions!H388</f>
        <v>POS</v>
      </c>
      <c r="G388" s="1" t="str">
        <f aca="false">Transactions!G388</f>
        <v>Dining</v>
      </c>
      <c r="H388" s="1" t="n">
        <f aca="false">IF(COUNTIFS($B$2:$B$1489,B388,$C$2:$C$1489,C388,$D$2:$D$1489,D388)&gt;6,1,0)</f>
        <v>0</v>
      </c>
      <c r="I388" s="1" t="n">
        <f aca="false">IF(AND(F388="Wire",E388&gt;=1000,MOD(E388,1000)=0),1,0)</f>
        <v>0</v>
      </c>
      <c r="J388" s="1" t="n">
        <f aca="false">IF(AND(F388="ATM",E388&gt;2000,D388&lt;=4),1,0)</f>
        <v>0</v>
      </c>
      <c r="K388" s="1" t="n">
        <f aca="false">IF(COUNTIF('SQL Findings'!$A$4:$A$18,B388)&gt;0,1,0)</f>
        <v>0</v>
      </c>
      <c r="L388" s="1" t="n">
        <f aca="false">SUM(H388:K388)</f>
        <v>0</v>
      </c>
      <c r="M388" s="1" t="str">
        <f aca="false">IF(L388&gt;=2,"High",IF(L388=1,"Medium","Low"))</f>
        <v>Low</v>
      </c>
    </row>
    <row r="389" customFormat="false" ht="15" hidden="false" customHeight="true" outlineLevel="0" collapsed="false">
      <c r="A389" s="1" t="str">
        <f aca="false">Transactions!A389</f>
        <v>TXN501254</v>
      </c>
      <c r="B389" s="1" t="str">
        <f aca="false">Transactions!B389</f>
        <v>ACC1055</v>
      </c>
      <c r="C389" s="1" t="str">
        <f aca="false">Transactions!I389</f>
        <v>2026-01-24</v>
      </c>
      <c r="D389" s="1" t="n">
        <f aca="false">Transactions!J389</f>
        <v>18</v>
      </c>
      <c r="E389" s="1" t="n">
        <f aca="false">Transactions!D389</f>
        <v>93.38</v>
      </c>
      <c r="F389" s="1" t="str">
        <f aca="false">Transactions!H389</f>
        <v>POS</v>
      </c>
      <c r="G389" s="1" t="str">
        <f aca="false">Transactions!G389</f>
        <v>Utilities</v>
      </c>
      <c r="H389" s="1" t="n">
        <f aca="false">IF(COUNTIFS($B$2:$B$1489,B389,$C$2:$C$1489,C389,$D$2:$D$1489,D389)&gt;6,1,0)</f>
        <v>0</v>
      </c>
      <c r="I389" s="1" t="n">
        <f aca="false">IF(AND(F389="Wire",E389&gt;=1000,MOD(E389,1000)=0),1,0)</f>
        <v>0</v>
      </c>
      <c r="J389" s="1" t="n">
        <f aca="false">IF(AND(F389="ATM",E389&gt;2000,D389&lt;=4),1,0)</f>
        <v>0</v>
      </c>
      <c r="K389" s="1" t="n">
        <f aca="false">IF(COUNTIF('SQL Findings'!$A$4:$A$18,B389)&gt;0,1,0)</f>
        <v>1</v>
      </c>
      <c r="L389" s="1" t="n">
        <f aca="false">SUM(H389:K389)</f>
        <v>1</v>
      </c>
      <c r="M389" s="1" t="str">
        <f aca="false">IF(L389&gt;=2,"High",IF(L389=1,"Medium","Low"))</f>
        <v>Medium</v>
      </c>
    </row>
    <row r="390" customFormat="false" ht="15" hidden="false" customHeight="true" outlineLevel="0" collapsed="false">
      <c r="A390" s="1" t="str">
        <f aca="false">Transactions!A390</f>
        <v>TXN501130</v>
      </c>
      <c r="B390" s="1" t="str">
        <f aca="false">Transactions!B390</f>
        <v>ACC1050</v>
      </c>
      <c r="C390" s="1" t="str">
        <f aca="false">Transactions!I390</f>
        <v>2026-01-24</v>
      </c>
      <c r="D390" s="1" t="n">
        <f aca="false">Transactions!J390</f>
        <v>18</v>
      </c>
      <c r="E390" s="1" t="n">
        <f aca="false">Transactions!D390</f>
        <v>89.65</v>
      </c>
      <c r="F390" s="1" t="str">
        <f aca="false">Transactions!H390</f>
        <v>ATM</v>
      </c>
      <c r="G390" s="1" t="str">
        <f aca="false">Transactions!G390</f>
        <v>Cash Withdrawal</v>
      </c>
      <c r="H390" s="1" t="n">
        <f aca="false">IF(COUNTIFS($B$2:$B$1489,B390,$C$2:$C$1489,C390,$D$2:$D$1489,D390)&gt;6,1,0)</f>
        <v>0</v>
      </c>
      <c r="I390" s="1" t="n">
        <f aca="false">IF(AND(F390="Wire",E390&gt;=1000,MOD(E390,1000)=0),1,0)</f>
        <v>0</v>
      </c>
      <c r="J390" s="1" t="n">
        <f aca="false">IF(AND(F390="ATM",E390&gt;2000,D390&lt;=4),1,0)</f>
        <v>0</v>
      </c>
      <c r="K390" s="1" t="n">
        <f aca="false">IF(COUNTIF('SQL Findings'!$A$4:$A$18,B390)&gt;0,1,0)</f>
        <v>0</v>
      </c>
      <c r="L390" s="1" t="n">
        <f aca="false">SUM(H390:K390)</f>
        <v>0</v>
      </c>
      <c r="M390" s="1" t="str">
        <f aca="false">IF(L390&gt;=2,"High",IF(L390=1,"Medium","Low"))</f>
        <v>Low</v>
      </c>
    </row>
    <row r="391" customFormat="false" ht="15" hidden="false" customHeight="true" outlineLevel="0" collapsed="false">
      <c r="A391" s="1" t="str">
        <f aca="false">Transactions!A391</f>
        <v>TXN501049</v>
      </c>
      <c r="B391" s="1" t="str">
        <f aca="false">Transactions!B391</f>
        <v>ACC1045</v>
      </c>
      <c r="C391" s="1" t="str">
        <f aca="false">Transactions!I391</f>
        <v>2026-01-24</v>
      </c>
      <c r="D391" s="1" t="n">
        <f aca="false">Transactions!J391</f>
        <v>23</v>
      </c>
      <c r="E391" s="1" t="n">
        <f aca="false">Transactions!D391</f>
        <v>251.86</v>
      </c>
      <c r="F391" s="1" t="str">
        <f aca="false">Transactions!H391</f>
        <v>Online</v>
      </c>
      <c r="G391" s="1" t="str">
        <f aca="false">Transactions!G391</f>
        <v>Utilities</v>
      </c>
      <c r="H391" s="1" t="n">
        <f aca="false">IF(COUNTIFS($B$2:$B$1489,B391,$C$2:$C$1489,C391,$D$2:$D$1489,D391)&gt;6,1,0)</f>
        <v>0</v>
      </c>
      <c r="I391" s="1" t="n">
        <f aca="false">IF(AND(F391="Wire",E391&gt;=1000,MOD(E391,1000)=0),1,0)</f>
        <v>0</v>
      </c>
      <c r="J391" s="1" t="n">
        <f aca="false">IF(AND(F391="ATM",E391&gt;2000,D391&lt;=4),1,0)</f>
        <v>0</v>
      </c>
      <c r="K391" s="1" t="n">
        <f aca="false">IF(COUNTIF('SQL Findings'!$A$4:$A$18,B391)&gt;0,1,0)</f>
        <v>0</v>
      </c>
      <c r="L391" s="1" t="n">
        <f aca="false">SUM(H391:K391)</f>
        <v>0</v>
      </c>
      <c r="M391" s="1" t="str">
        <f aca="false">IF(L391&gt;=2,"High",IF(L391=1,"Medium","Low"))</f>
        <v>Low</v>
      </c>
    </row>
    <row r="392" customFormat="false" ht="15" hidden="false" customHeight="true" outlineLevel="0" collapsed="false">
      <c r="A392" s="1" t="str">
        <f aca="false">Transactions!A392</f>
        <v>TXN500831</v>
      </c>
      <c r="B392" s="1" t="str">
        <f aca="false">Transactions!B392</f>
        <v>ACC1035</v>
      </c>
      <c r="C392" s="1" t="str">
        <f aca="false">Transactions!I392</f>
        <v>2026-01-25</v>
      </c>
      <c r="D392" s="1" t="n">
        <f aca="false">Transactions!J392</f>
        <v>0</v>
      </c>
      <c r="E392" s="1" t="n">
        <f aca="false">Transactions!D392</f>
        <v>19.89</v>
      </c>
      <c r="F392" s="1" t="str">
        <f aca="false">Transactions!H392</f>
        <v>POS</v>
      </c>
      <c r="G392" s="1" t="str">
        <f aca="false">Transactions!G392</f>
        <v>Dining</v>
      </c>
      <c r="H392" s="1" t="n">
        <f aca="false">IF(COUNTIFS($B$2:$B$1489,B392,$C$2:$C$1489,C392,$D$2:$D$1489,D392)&gt;6,1,0)</f>
        <v>0</v>
      </c>
      <c r="I392" s="1" t="n">
        <f aca="false">IF(AND(F392="Wire",E392&gt;=1000,MOD(E392,1000)=0),1,0)</f>
        <v>0</v>
      </c>
      <c r="J392" s="1" t="n">
        <f aca="false">IF(AND(F392="ATM",E392&gt;2000,D392&lt;=4),1,0)</f>
        <v>0</v>
      </c>
      <c r="K392" s="1" t="n">
        <f aca="false">IF(COUNTIF('SQL Findings'!$A$4:$A$18,B392)&gt;0,1,0)</f>
        <v>0</v>
      </c>
      <c r="L392" s="1" t="n">
        <f aca="false">SUM(H392:K392)</f>
        <v>0</v>
      </c>
      <c r="M392" s="1" t="str">
        <f aca="false">IF(L392&gt;=2,"High",IF(L392=1,"Medium","Low"))</f>
        <v>Low</v>
      </c>
    </row>
    <row r="393" customFormat="false" ht="15" hidden="false" customHeight="true" outlineLevel="0" collapsed="false">
      <c r="A393" s="1" t="str">
        <f aca="false">Transactions!A393</f>
        <v>TXN501007</v>
      </c>
      <c r="B393" s="1" t="str">
        <f aca="false">Transactions!B393</f>
        <v>ACC1044</v>
      </c>
      <c r="C393" s="1" t="str">
        <f aca="false">Transactions!I393</f>
        <v>2026-01-25</v>
      </c>
      <c r="D393" s="1" t="n">
        <f aca="false">Transactions!J393</f>
        <v>0</v>
      </c>
      <c r="E393" s="1" t="n">
        <f aca="false">Transactions!D393</f>
        <v>149.26</v>
      </c>
      <c r="F393" s="1" t="str">
        <f aca="false">Transactions!H393</f>
        <v>ATM</v>
      </c>
      <c r="G393" s="1" t="str">
        <f aca="false">Transactions!G393</f>
        <v>Retail</v>
      </c>
      <c r="H393" s="1" t="n">
        <f aca="false">IF(COUNTIFS($B$2:$B$1489,B393,$C$2:$C$1489,C393,$D$2:$D$1489,D393)&gt;6,1,0)</f>
        <v>0</v>
      </c>
      <c r="I393" s="1" t="n">
        <f aca="false">IF(AND(F393="Wire",E393&gt;=1000,MOD(E393,1000)=0),1,0)</f>
        <v>0</v>
      </c>
      <c r="J393" s="1" t="n">
        <f aca="false">IF(AND(F393="ATM",E393&gt;2000,D393&lt;=4),1,0)</f>
        <v>0</v>
      </c>
      <c r="K393" s="1" t="n">
        <f aca="false">IF(COUNTIF('SQL Findings'!$A$4:$A$18,B393)&gt;0,1,0)</f>
        <v>0</v>
      </c>
      <c r="L393" s="1" t="n">
        <f aca="false">SUM(H393:K393)</f>
        <v>0</v>
      </c>
      <c r="M393" s="1" t="str">
        <f aca="false">IF(L393&gt;=2,"High",IF(L393=1,"Medium","Low"))</f>
        <v>Low</v>
      </c>
    </row>
    <row r="394" customFormat="false" ht="15" hidden="false" customHeight="true" outlineLevel="0" collapsed="false">
      <c r="A394" s="1" t="str">
        <f aca="false">Transactions!A394</f>
        <v>TXN501123</v>
      </c>
      <c r="B394" s="1" t="str">
        <f aca="false">Transactions!B394</f>
        <v>ACC1049</v>
      </c>
      <c r="C394" s="1" t="str">
        <f aca="false">Transactions!I394</f>
        <v>2026-01-25</v>
      </c>
      <c r="D394" s="1" t="n">
        <f aca="false">Transactions!J394</f>
        <v>1</v>
      </c>
      <c r="E394" s="1" t="n">
        <f aca="false">Transactions!D394</f>
        <v>118.49</v>
      </c>
      <c r="F394" s="1" t="str">
        <f aca="false">Transactions!H394</f>
        <v>ATM</v>
      </c>
      <c r="G394" s="1" t="str">
        <f aca="false">Transactions!G394</f>
        <v>Cash Withdrawal</v>
      </c>
      <c r="H394" s="1" t="n">
        <f aca="false">IF(COUNTIFS($B$2:$B$1489,B394,$C$2:$C$1489,C394,$D$2:$D$1489,D394)&gt;6,1,0)</f>
        <v>0</v>
      </c>
      <c r="I394" s="1" t="n">
        <f aca="false">IF(AND(F394="Wire",E394&gt;=1000,MOD(E394,1000)=0),1,0)</f>
        <v>0</v>
      </c>
      <c r="J394" s="1" t="n">
        <f aca="false">IF(AND(F394="ATM",E394&gt;2000,D394&lt;=4),1,0)</f>
        <v>0</v>
      </c>
      <c r="K394" s="1" t="n">
        <f aca="false">IF(COUNTIF('SQL Findings'!$A$4:$A$18,B394)&gt;0,1,0)</f>
        <v>0</v>
      </c>
      <c r="L394" s="1" t="n">
        <f aca="false">SUM(H394:K394)</f>
        <v>0</v>
      </c>
      <c r="M394" s="1" t="str">
        <f aca="false">IF(L394&gt;=2,"High",IF(L394=1,"Medium","Low"))</f>
        <v>Low</v>
      </c>
    </row>
    <row r="395" customFormat="false" ht="15" hidden="false" customHeight="true" outlineLevel="0" collapsed="false">
      <c r="A395" s="1" t="str">
        <f aca="false">Transactions!A395</f>
        <v>TXN501136</v>
      </c>
      <c r="B395" s="1" t="str">
        <f aca="false">Transactions!B395</f>
        <v>ACC1050</v>
      </c>
      <c r="C395" s="1" t="str">
        <f aca="false">Transactions!I395</f>
        <v>2026-01-25</v>
      </c>
      <c r="D395" s="1" t="n">
        <f aca="false">Transactions!J395</f>
        <v>4</v>
      </c>
      <c r="E395" s="1" t="n">
        <f aca="false">Transactions!D395</f>
        <v>158.81</v>
      </c>
      <c r="F395" s="1" t="str">
        <f aca="false">Transactions!H395</f>
        <v>ATM</v>
      </c>
      <c r="G395" s="1" t="str">
        <f aca="false">Transactions!G395</f>
        <v>Wire Transfer</v>
      </c>
      <c r="H395" s="1" t="n">
        <f aca="false">IF(COUNTIFS($B$2:$B$1489,B395,$C$2:$C$1489,C395,$D$2:$D$1489,D395)&gt;6,1,0)</f>
        <v>0</v>
      </c>
      <c r="I395" s="1" t="n">
        <f aca="false">IF(AND(F395="Wire",E395&gt;=1000,MOD(E395,1000)=0),1,0)</f>
        <v>0</v>
      </c>
      <c r="J395" s="1" t="n">
        <f aca="false">IF(AND(F395="ATM",E395&gt;2000,D395&lt;=4),1,0)</f>
        <v>0</v>
      </c>
      <c r="K395" s="1" t="n">
        <f aca="false">IF(COUNTIF('SQL Findings'!$A$4:$A$18,B395)&gt;0,1,0)</f>
        <v>0</v>
      </c>
      <c r="L395" s="1" t="n">
        <f aca="false">SUM(H395:K395)</f>
        <v>0</v>
      </c>
      <c r="M395" s="1" t="str">
        <f aca="false">IF(L395&gt;=2,"High",IF(L395=1,"Medium","Low"))</f>
        <v>Low</v>
      </c>
    </row>
    <row r="396" customFormat="false" ht="15" hidden="false" customHeight="true" outlineLevel="0" collapsed="false">
      <c r="A396" s="1" t="str">
        <f aca="false">Transactions!A396</f>
        <v>TXN500837</v>
      </c>
      <c r="B396" s="1" t="str">
        <f aca="false">Transactions!B396</f>
        <v>ACC1035</v>
      </c>
      <c r="C396" s="1" t="str">
        <f aca="false">Transactions!I396</f>
        <v>2026-01-25</v>
      </c>
      <c r="D396" s="1" t="n">
        <f aca="false">Transactions!J396</f>
        <v>6</v>
      </c>
      <c r="E396" s="1" t="n">
        <f aca="false">Transactions!D396</f>
        <v>269.2</v>
      </c>
      <c r="F396" s="1" t="str">
        <f aca="false">Transactions!H396</f>
        <v>POS</v>
      </c>
      <c r="G396" s="1" t="str">
        <f aca="false">Transactions!G396</f>
        <v>Wire Transfer</v>
      </c>
      <c r="H396" s="1" t="n">
        <f aca="false">IF(COUNTIFS($B$2:$B$1489,B396,$C$2:$C$1489,C396,$D$2:$D$1489,D396)&gt;6,1,0)</f>
        <v>0</v>
      </c>
      <c r="I396" s="1" t="n">
        <f aca="false">IF(AND(F396="Wire",E396&gt;=1000,MOD(E396,1000)=0),1,0)</f>
        <v>0</v>
      </c>
      <c r="J396" s="1" t="n">
        <f aca="false">IF(AND(F396="ATM",E396&gt;2000,D396&lt;=4),1,0)</f>
        <v>0</v>
      </c>
      <c r="K396" s="1" t="n">
        <f aca="false">IF(COUNTIF('SQL Findings'!$A$4:$A$18,B396)&gt;0,1,0)</f>
        <v>0</v>
      </c>
      <c r="L396" s="1" t="n">
        <f aca="false">SUM(H396:K396)</f>
        <v>0</v>
      </c>
      <c r="M396" s="1" t="str">
        <f aca="false">IF(L396&gt;=2,"High",IF(L396=1,"Medium","Low"))</f>
        <v>Low</v>
      </c>
    </row>
    <row r="397" customFormat="false" ht="15" hidden="false" customHeight="true" outlineLevel="0" collapsed="false">
      <c r="A397" s="1" t="str">
        <f aca="false">Transactions!A397</f>
        <v>TXN500321</v>
      </c>
      <c r="B397" s="1" t="str">
        <f aca="false">Transactions!B397</f>
        <v>ACC1014</v>
      </c>
      <c r="C397" s="1" t="str">
        <f aca="false">Transactions!I397</f>
        <v>2026-01-25</v>
      </c>
      <c r="D397" s="1" t="n">
        <f aca="false">Transactions!J397</f>
        <v>7</v>
      </c>
      <c r="E397" s="1" t="n">
        <f aca="false">Transactions!D397</f>
        <v>72.77</v>
      </c>
      <c r="F397" s="1" t="str">
        <f aca="false">Transactions!H397</f>
        <v>POS</v>
      </c>
      <c r="G397" s="1" t="str">
        <f aca="false">Transactions!G397</f>
        <v>Travel</v>
      </c>
      <c r="H397" s="1" t="n">
        <f aca="false">IF(COUNTIFS($B$2:$B$1489,B397,$C$2:$C$1489,C397,$D$2:$D$1489,D397)&gt;6,1,0)</f>
        <v>0</v>
      </c>
      <c r="I397" s="1" t="n">
        <f aca="false">IF(AND(F397="Wire",E397&gt;=1000,MOD(E397,1000)=0),1,0)</f>
        <v>0</v>
      </c>
      <c r="J397" s="1" t="n">
        <f aca="false">IF(AND(F397="ATM",E397&gt;2000,D397&lt;=4),1,0)</f>
        <v>0</v>
      </c>
      <c r="K397" s="1" t="n">
        <f aca="false">IF(COUNTIF('SQL Findings'!$A$4:$A$18,B397)&gt;0,1,0)</f>
        <v>1</v>
      </c>
      <c r="L397" s="1" t="n">
        <f aca="false">SUM(H397:K397)</f>
        <v>1</v>
      </c>
      <c r="M397" s="1" t="str">
        <f aca="false">IF(L397&gt;=2,"High",IF(L397=1,"Medium","Low"))</f>
        <v>Medium</v>
      </c>
    </row>
    <row r="398" customFormat="false" ht="15" hidden="false" customHeight="true" outlineLevel="0" collapsed="false">
      <c r="A398" s="1" t="str">
        <f aca="false">Transactions!A398</f>
        <v>TXN500037</v>
      </c>
      <c r="B398" s="1" t="str">
        <f aca="false">Transactions!B398</f>
        <v>ACC1001</v>
      </c>
      <c r="C398" s="1" t="str">
        <f aca="false">Transactions!I398</f>
        <v>2026-01-25</v>
      </c>
      <c r="D398" s="1" t="n">
        <f aca="false">Transactions!J398</f>
        <v>7</v>
      </c>
      <c r="E398" s="1" t="n">
        <f aca="false">Transactions!D398</f>
        <v>80.48</v>
      </c>
      <c r="F398" s="1" t="str">
        <f aca="false">Transactions!H398</f>
        <v>Online</v>
      </c>
      <c r="G398" s="1" t="str">
        <f aca="false">Transactions!G398</f>
        <v>Travel</v>
      </c>
      <c r="H398" s="1" t="n">
        <f aca="false">IF(COUNTIFS($B$2:$B$1489,B398,$C$2:$C$1489,C398,$D$2:$D$1489,D398)&gt;6,1,0)</f>
        <v>0</v>
      </c>
      <c r="I398" s="1" t="n">
        <f aca="false">IF(AND(F398="Wire",E398&gt;=1000,MOD(E398,1000)=0),1,0)</f>
        <v>0</v>
      </c>
      <c r="J398" s="1" t="n">
        <f aca="false">IF(AND(F398="ATM",E398&gt;2000,D398&lt;=4),1,0)</f>
        <v>0</v>
      </c>
      <c r="K398" s="1" t="n">
        <f aca="false">IF(COUNTIF('SQL Findings'!$A$4:$A$18,B398)&gt;0,1,0)</f>
        <v>1</v>
      </c>
      <c r="L398" s="1" t="n">
        <f aca="false">SUM(H398:K398)</f>
        <v>1</v>
      </c>
      <c r="M398" s="1" t="str">
        <f aca="false">IF(L398&gt;=2,"High",IF(L398=1,"Medium","Low"))</f>
        <v>Medium</v>
      </c>
    </row>
    <row r="399" customFormat="false" ht="15" hidden="false" customHeight="true" outlineLevel="0" collapsed="false">
      <c r="A399" s="1" t="str">
        <f aca="false">Transactions!A399</f>
        <v>TXN500044</v>
      </c>
      <c r="B399" s="1" t="str">
        <f aca="false">Transactions!B399</f>
        <v>ACC1001</v>
      </c>
      <c r="C399" s="1" t="str">
        <f aca="false">Transactions!I399</f>
        <v>2026-01-25</v>
      </c>
      <c r="D399" s="1" t="n">
        <f aca="false">Transactions!J399</f>
        <v>8</v>
      </c>
      <c r="E399" s="1" t="n">
        <f aca="false">Transactions!D399</f>
        <v>50.86</v>
      </c>
      <c r="F399" s="1" t="str">
        <f aca="false">Transactions!H399</f>
        <v>ATM</v>
      </c>
      <c r="G399" s="1" t="str">
        <f aca="false">Transactions!G399</f>
        <v>Retail</v>
      </c>
      <c r="H399" s="1" t="n">
        <f aca="false">IF(COUNTIFS($B$2:$B$1489,B399,$C$2:$C$1489,C399,$D$2:$D$1489,D399)&gt;6,1,0)</f>
        <v>0</v>
      </c>
      <c r="I399" s="1" t="n">
        <f aca="false">IF(AND(F399="Wire",E399&gt;=1000,MOD(E399,1000)=0),1,0)</f>
        <v>0</v>
      </c>
      <c r="J399" s="1" t="n">
        <f aca="false">IF(AND(F399="ATM",E399&gt;2000,D399&lt;=4),1,0)</f>
        <v>0</v>
      </c>
      <c r="K399" s="1" t="n">
        <f aca="false">IF(COUNTIF('SQL Findings'!$A$4:$A$18,B399)&gt;0,1,0)</f>
        <v>1</v>
      </c>
      <c r="L399" s="1" t="n">
        <f aca="false">SUM(H399:K399)</f>
        <v>1</v>
      </c>
      <c r="M399" s="1" t="str">
        <f aca="false">IF(L399&gt;=2,"High",IF(L399=1,"Medium","Low"))</f>
        <v>Medium</v>
      </c>
    </row>
    <row r="400" customFormat="false" ht="15" hidden="false" customHeight="true" outlineLevel="0" collapsed="false">
      <c r="A400" s="1" t="str">
        <f aca="false">Transactions!A400</f>
        <v>TXN500147</v>
      </c>
      <c r="B400" s="1" t="str">
        <f aca="false">Transactions!B400</f>
        <v>ACC1006</v>
      </c>
      <c r="C400" s="1" t="str">
        <f aca="false">Transactions!I400</f>
        <v>2026-01-25</v>
      </c>
      <c r="D400" s="1" t="n">
        <f aca="false">Transactions!J400</f>
        <v>8</v>
      </c>
      <c r="E400" s="1" t="n">
        <f aca="false">Transactions!D400</f>
        <v>21.91</v>
      </c>
      <c r="F400" s="1" t="str">
        <f aca="false">Transactions!H400</f>
        <v>Online</v>
      </c>
      <c r="G400" s="1" t="str">
        <f aca="false">Transactions!G400</f>
        <v>Travel</v>
      </c>
      <c r="H400" s="1" t="n">
        <f aca="false">IF(COUNTIFS($B$2:$B$1489,B400,$C$2:$C$1489,C400,$D$2:$D$1489,D400)&gt;6,1,0)</f>
        <v>0</v>
      </c>
      <c r="I400" s="1" t="n">
        <f aca="false">IF(AND(F400="Wire",E400&gt;=1000,MOD(E400,1000)=0),1,0)</f>
        <v>0</v>
      </c>
      <c r="J400" s="1" t="n">
        <f aca="false">IF(AND(F400="ATM",E400&gt;2000,D400&lt;=4),1,0)</f>
        <v>0</v>
      </c>
      <c r="K400" s="1" t="n">
        <f aca="false">IF(COUNTIF('SQL Findings'!$A$4:$A$18,B400)&gt;0,1,0)</f>
        <v>0</v>
      </c>
      <c r="L400" s="1" t="n">
        <f aca="false">SUM(H400:K400)</f>
        <v>0</v>
      </c>
      <c r="M400" s="1" t="str">
        <f aca="false">IF(L400&gt;=2,"High",IF(L400=1,"Medium","Low"))</f>
        <v>Low</v>
      </c>
    </row>
    <row r="401" customFormat="false" ht="15" hidden="false" customHeight="true" outlineLevel="0" collapsed="false">
      <c r="A401" s="1" t="str">
        <f aca="false">Transactions!A401</f>
        <v>TXN500754</v>
      </c>
      <c r="B401" s="1" t="str">
        <f aca="false">Transactions!B401</f>
        <v>ACC1032</v>
      </c>
      <c r="C401" s="1" t="str">
        <f aca="false">Transactions!I401</f>
        <v>2026-01-25</v>
      </c>
      <c r="D401" s="1" t="n">
        <f aca="false">Transactions!J401</f>
        <v>10</v>
      </c>
      <c r="E401" s="1" t="n">
        <f aca="false">Transactions!D401</f>
        <v>172.13</v>
      </c>
      <c r="F401" s="1" t="str">
        <f aca="false">Transactions!H401</f>
        <v>ATM</v>
      </c>
      <c r="G401" s="1" t="str">
        <f aca="false">Transactions!G401</f>
        <v>Utilities</v>
      </c>
      <c r="H401" s="1" t="n">
        <f aca="false">IF(COUNTIFS($B$2:$B$1489,B401,$C$2:$C$1489,C401,$D$2:$D$1489,D401)&gt;6,1,0)</f>
        <v>0</v>
      </c>
      <c r="I401" s="1" t="n">
        <f aca="false">IF(AND(F401="Wire",E401&gt;=1000,MOD(E401,1000)=0),1,0)</f>
        <v>0</v>
      </c>
      <c r="J401" s="1" t="n">
        <f aca="false">IF(AND(F401="ATM",E401&gt;2000,D401&lt;=4),1,0)</f>
        <v>0</v>
      </c>
      <c r="K401" s="1" t="n">
        <f aca="false">IF(COUNTIF('SQL Findings'!$A$4:$A$18,B401)&gt;0,1,0)</f>
        <v>0</v>
      </c>
      <c r="L401" s="1" t="n">
        <f aca="false">SUM(H401:K401)</f>
        <v>0</v>
      </c>
      <c r="M401" s="1" t="str">
        <f aca="false">IF(L401&gt;=2,"High",IF(L401=1,"Medium","Low"))</f>
        <v>Low</v>
      </c>
    </row>
    <row r="402" customFormat="false" ht="15" hidden="false" customHeight="true" outlineLevel="0" collapsed="false">
      <c r="A402" s="1" t="str">
        <f aca="false">Transactions!A402</f>
        <v>TXN501144</v>
      </c>
      <c r="B402" s="1" t="str">
        <f aca="false">Transactions!B402</f>
        <v>ACC1050</v>
      </c>
      <c r="C402" s="1" t="str">
        <f aca="false">Transactions!I402</f>
        <v>2026-01-25</v>
      </c>
      <c r="D402" s="1" t="n">
        <f aca="false">Transactions!J402</f>
        <v>12</v>
      </c>
      <c r="E402" s="1" t="n">
        <f aca="false">Transactions!D402</f>
        <v>74.67</v>
      </c>
      <c r="F402" s="1" t="str">
        <f aca="false">Transactions!H402</f>
        <v>ATM</v>
      </c>
      <c r="G402" s="1" t="str">
        <f aca="false">Transactions!G402</f>
        <v>Travel</v>
      </c>
      <c r="H402" s="1" t="n">
        <f aca="false">IF(COUNTIFS($B$2:$B$1489,B402,$C$2:$C$1489,C402,$D$2:$D$1489,D402)&gt;6,1,0)</f>
        <v>0</v>
      </c>
      <c r="I402" s="1" t="n">
        <f aca="false">IF(AND(F402="Wire",E402&gt;=1000,MOD(E402,1000)=0),1,0)</f>
        <v>0</v>
      </c>
      <c r="J402" s="1" t="n">
        <f aca="false">IF(AND(F402="ATM",E402&gt;2000,D402&lt;=4),1,0)</f>
        <v>0</v>
      </c>
      <c r="K402" s="1" t="n">
        <f aca="false">IF(COUNTIF('SQL Findings'!$A$4:$A$18,B402)&gt;0,1,0)</f>
        <v>0</v>
      </c>
      <c r="L402" s="1" t="n">
        <f aca="false">SUM(H402:K402)</f>
        <v>0</v>
      </c>
      <c r="M402" s="1" t="str">
        <f aca="false">IF(L402&gt;=2,"High",IF(L402=1,"Medium","Low"))</f>
        <v>Low</v>
      </c>
    </row>
    <row r="403" customFormat="false" ht="15" hidden="false" customHeight="true" outlineLevel="0" collapsed="false">
      <c r="A403" s="1" t="str">
        <f aca="false">Transactions!A403</f>
        <v>TXN501321</v>
      </c>
      <c r="B403" s="1" t="str">
        <f aca="false">Transactions!B403</f>
        <v>ACC1057</v>
      </c>
      <c r="C403" s="1" t="str">
        <f aca="false">Transactions!I403</f>
        <v>2026-01-25</v>
      </c>
      <c r="D403" s="1" t="n">
        <f aca="false">Transactions!J403</f>
        <v>12</v>
      </c>
      <c r="E403" s="1" t="n">
        <f aca="false">Transactions!D403</f>
        <v>70.17</v>
      </c>
      <c r="F403" s="1" t="str">
        <f aca="false">Transactions!H403</f>
        <v>Online</v>
      </c>
      <c r="G403" s="1" t="str">
        <f aca="false">Transactions!G403</f>
        <v>Cash Withdrawal</v>
      </c>
      <c r="H403" s="1" t="n">
        <f aca="false">IF(COUNTIFS($B$2:$B$1489,B403,$C$2:$C$1489,C403,$D$2:$D$1489,D403)&gt;6,1,0)</f>
        <v>0</v>
      </c>
      <c r="I403" s="1" t="n">
        <f aca="false">IF(AND(F403="Wire",E403&gt;=1000,MOD(E403,1000)=0),1,0)</f>
        <v>0</v>
      </c>
      <c r="J403" s="1" t="n">
        <f aca="false">IF(AND(F403="ATM",E403&gt;2000,D403&lt;=4),1,0)</f>
        <v>0</v>
      </c>
      <c r="K403" s="1" t="n">
        <f aca="false">IF(COUNTIF('SQL Findings'!$A$4:$A$18,B403)&gt;0,1,0)</f>
        <v>1</v>
      </c>
      <c r="L403" s="1" t="n">
        <f aca="false">SUM(H403:K403)</f>
        <v>1</v>
      </c>
      <c r="M403" s="1" t="str">
        <f aca="false">IF(L403&gt;=2,"High",IF(L403=1,"Medium","Low"))</f>
        <v>Medium</v>
      </c>
    </row>
    <row r="404" customFormat="false" ht="15" hidden="false" customHeight="true" outlineLevel="0" collapsed="false">
      <c r="A404" s="1" t="str">
        <f aca="false">Transactions!A404</f>
        <v>TXN500821</v>
      </c>
      <c r="B404" s="1" t="str">
        <f aca="false">Transactions!B404</f>
        <v>ACC1035</v>
      </c>
      <c r="C404" s="1" t="str">
        <f aca="false">Transactions!I404</f>
        <v>2026-01-25</v>
      </c>
      <c r="D404" s="1" t="n">
        <f aca="false">Transactions!J404</f>
        <v>12</v>
      </c>
      <c r="E404" s="1" t="n">
        <f aca="false">Transactions!D404</f>
        <v>41.86</v>
      </c>
      <c r="F404" s="1" t="str">
        <f aca="false">Transactions!H404</f>
        <v>ATM</v>
      </c>
      <c r="G404" s="1" t="str">
        <f aca="false">Transactions!G404</f>
        <v>Wire Transfer</v>
      </c>
      <c r="H404" s="1" t="n">
        <f aca="false">IF(COUNTIFS($B$2:$B$1489,B404,$C$2:$C$1489,C404,$D$2:$D$1489,D404)&gt;6,1,0)</f>
        <v>0</v>
      </c>
      <c r="I404" s="1" t="n">
        <f aca="false">IF(AND(F404="Wire",E404&gt;=1000,MOD(E404,1000)=0),1,0)</f>
        <v>0</v>
      </c>
      <c r="J404" s="1" t="n">
        <f aca="false">IF(AND(F404="ATM",E404&gt;2000,D404&lt;=4),1,0)</f>
        <v>0</v>
      </c>
      <c r="K404" s="1" t="n">
        <f aca="false">IF(COUNTIF('SQL Findings'!$A$4:$A$18,B404)&gt;0,1,0)</f>
        <v>0</v>
      </c>
      <c r="L404" s="1" t="n">
        <f aca="false">SUM(H404:K404)</f>
        <v>0</v>
      </c>
      <c r="M404" s="1" t="str">
        <f aca="false">IF(L404&gt;=2,"High",IF(L404=1,"Medium","Low"))</f>
        <v>Low</v>
      </c>
    </row>
    <row r="405" customFormat="false" ht="15" hidden="false" customHeight="true" outlineLevel="0" collapsed="false">
      <c r="A405" s="1" t="str">
        <f aca="false">Transactions!A405</f>
        <v>TXN500529</v>
      </c>
      <c r="B405" s="1" t="str">
        <f aca="false">Transactions!B405</f>
        <v>ACC1023</v>
      </c>
      <c r="C405" s="1" t="str">
        <f aca="false">Transactions!I405</f>
        <v>2026-01-25</v>
      </c>
      <c r="D405" s="1" t="n">
        <f aca="false">Transactions!J405</f>
        <v>13</v>
      </c>
      <c r="E405" s="1" t="n">
        <f aca="false">Transactions!D405</f>
        <v>84.25</v>
      </c>
      <c r="F405" s="1" t="str">
        <f aca="false">Transactions!H405</f>
        <v>Online</v>
      </c>
      <c r="G405" s="1" t="str">
        <f aca="false">Transactions!G405</f>
        <v>Cash Withdrawal</v>
      </c>
      <c r="H405" s="1" t="n">
        <f aca="false">IF(COUNTIFS($B$2:$B$1489,B405,$C$2:$C$1489,C405,$D$2:$D$1489,D405)&gt;6,1,0)</f>
        <v>0</v>
      </c>
      <c r="I405" s="1" t="n">
        <f aca="false">IF(AND(F405="Wire",E405&gt;=1000,MOD(E405,1000)=0),1,0)</f>
        <v>0</v>
      </c>
      <c r="J405" s="1" t="n">
        <f aca="false">IF(AND(F405="ATM",E405&gt;2000,D405&lt;=4),1,0)</f>
        <v>0</v>
      </c>
      <c r="K405" s="1" t="n">
        <f aca="false">IF(COUNTIF('SQL Findings'!$A$4:$A$18,B405)&gt;0,1,0)</f>
        <v>0</v>
      </c>
      <c r="L405" s="1" t="n">
        <f aca="false">SUM(H405:K405)</f>
        <v>0</v>
      </c>
      <c r="M405" s="1" t="str">
        <f aca="false">IF(L405&gt;=2,"High",IF(L405=1,"Medium","Low"))</f>
        <v>Low</v>
      </c>
    </row>
    <row r="406" customFormat="false" ht="15" hidden="false" customHeight="true" outlineLevel="0" collapsed="false">
      <c r="A406" s="1" t="str">
        <f aca="false">Transactions!A406</f>
        <v>TXN500506</v>
      </c>
      <c r="B406" s="1" t="str">
        <f aca="false">Transactions!B406</f>
        <v>ACC1022</v>
      </c>
      <c r="C406" s="1" t="str">
        <f aca="false">Transactions!I406</f>
        <v>2026-01-25</v>
      </c>
      <c r="D406" s="1" t="n">
        <f aca="false">Transactions!J406</f>
        <v>16</v>
      </c>
      <c r="E406" s="1" t="n">
        <f aca="false">Transactions!D406</f>
        <v>43.02</v>
      </c>
      <c r="F406" s="1" t="str">
        <f aca="false">Transactions!H406</f>
        <v>Online</v>
      </c>
      <c r="G406" s="1" t="str">
        <f aca="false">Transactions!G406</f>
        <v>Dining</v>
      </c>
      <c r="H406" s="1" t="n">
        <f aca="false">IF(COUNTIFS($B$2:$B$1489,B406,$C$2:$C$1489,C406,$D$2:$D$1489,D406)&gt;6,1,0)</f>
        <v>0</v>
      </c>
      <c r="I406" s="1" t="n">
        <f aca="false">IF(AND(F406="Wire",E406&gt;=1000,MOD(E406,1000)=0),1,0)</f>
        <v>0</v>
      </c>
      <c r="J406" s="1" t="n">
        <f aca="false">IF(AND(F406="ATM",E406&gt;2000,D406&lt;=4),1,0)</f>
        <v>0</v>
      </c>
      <c r="K406" s="1" t="n">
        <f aca="false">IF(COUNTIF('SQL Findings'!$A$4:$A$18,B406)&gt;0,1,0)</f>
        <v>0</v>
      </c>
      <c r="L406" s="1" t="n">
        <f aca="false">SUM(H406:K406)</f>
        <v>0</v>
      </c>
      <c r="M406" s="1" t="str">
        <f aca="false">IF(L406&gt;=2,"High",IF(L406=1,"Medium","Low"))</f>
        <v>Low</v>
      </c>
    </row>
    <row r="407" customFormat="false" ht="15" hidden="false" customHeight="true" outlineLevel="0" collapsed="false">
      <c r="A407" s="1" t="str">
        <f aca="false">Transactions!A407</f>
        <v>TXN501099</v>
      </c>
      <c r="B407" s="1" t="str">
        <f aca="false">Transactions!B407</f>
        <v>ACC1048</v>
      </c>
      <c r="C407" s="1" t="str">
        <f aca="false">Transactions!I407</f>
        <v>2026-01-25</v>
      </c>
      <c r="D407" s="1" t="n">
        <f aca="false">Transactions!J407</f>
        <v>17</v>
      </c>
      <c r="E407" s="1" t="n">
        <f aca="false">Transactions!D407</f>
        <v>152.12</v>
      </c>
      <c r="F407" s="1" t="str">
        <f aca="false">Transactions!H407</f>
        <v>Online</v>
      </c>
      <c r="G407" s="1" t="str">
        <f aca="false">Transactions!G407</f>
        <v>Travel</v>
      </c>
      <c r="H407" s="1" t="n">
        <f aca="false">IF(COUNTIFS($B$2:$B$1489,B407,$C$2:$C$1489,C407,$D$2:$D$1489,D407)&gt;6,1,0)</f>
        <v>0</v>
      </c>
      <c r="I407" s="1" t="n">
        <f aca="false">IF(AND(F407="Wire",E407&gt;=1000,MOD(E407,1000)=0),1,0)</f>
        <v>0</v>
      </c>
      <c r="J407" s="1" t="n">
        <f aca="false">IF(AND(F407="ATM",E407&gt;2000,D407&lt;=4),1,0)</f>
        <v>0</v>
      </c>
      <c r="K407" s="1" t="n">
        <f aca="false">IF(COUNTIF('SQL Findings'!$A$4:$A$18,B407)&gt;0,1,0)</f>
        <v>0</v>
      </c>
      <c r="L407" s="1" t="n">
        <f aca="false">SUM(H407:K407)</f>
        <v>0</v>
      </c>
      <c r="M407" s="1" t="str">
        <f aca="false">IF(L407&gt;=2,"High",IF(L407=1,"Medium","Low"))</f>
        <v>Low</v>
      </c>
    </row>
    <row r="408" customFormat="false" ht="15" hidden="false" customHeight="true" outlineLevel="0" collapsed="false">
      <c r="A408" s="1" t="str">
        <f aca="false">Transactions!A408</f>
        <v>TXN500726</v>
      </c>
      <c r="B408" s="1" t="str">
        <f aca="false">Transactions!B408</f>
        <v>ACC1031</v>
      </c>
      <c r="C408" s="1" t="str">
        <f aca="false">Transactions!I408</f>
        <v>2026-01-25</v>
      </c>
      <c r="D408" s="1" t="n">
        <f aca="false">Transactions!J408</f>
        <v>17</v>
      </c>
      <c r="E408" s="1" t="n">
        <f aca="false">Transactions!D408</f>
        <v>56.51</v>
      </c>
      <c r="F408" s="1" t="str">
        <f aca="false">Transactions!H408</f>
        <v>ATM</v>
      </c>
      <c r="G408" s="1" t="str">
        <f aca="false">Transactions!G408</f>
        <v>Online Marketplace</v>
      </c>
      <c r="H408" s="1" t="n">
        <f aca="false">IF(COUNTIFS($B$2:$B$1489,B408,$C$2:$C$1489,C408,$D$2:$D$1489,D408)&gt;6,1,0)</f>
        <v>0</v>
      </c>
      <c r="I408" s="1" t="n">
        <f aca="false">IF(AND(F408="Wire",E408&gt;=1000,MOD(E408,1000)=0),1,0)</f>
        <v>0</v>
      </c>
      <c r="J408" s="1" t="n">
        <f aca="false">IF(AND(F408="ATM",E408&gt;2000,D408&lt;=4),1,0)</f>
        <v>0</v>
      </c>
      <c r="K408" s="1" t="n">
        <f aca="false">IF(COUNTIF('SQL Findings'!$A$4:$A$18,B408)&gt;0,1,0)</f>
        <v>0</v>
      </c>
      <c r="L408" s="1" t="n">
        <f aca="false">SUM(H408:K408)</f>
        <v>0</v>
      </c>
      <c r="M408" s="1" t="str">
        <f aca="false">IF(L408&gt;=2,"High",IF(L408=1,"Medium","Low"))</f>
        <v>Low</v>
      </c>
    </row>
    <row r="409" customFormat="false" ht="15" hidden="false" customHeight="true" outlineLevel="0" collapsed="false">
      <c r="A409" s="1" t="str">
        <f aca="false">Transactions!A409</f>
        <v>TXN500355</v>
      </c>
      <c r="B409" s="1" t="str">
        <f aca="false">Transactions!B409</f>
        <v>ACC1015</v>
      </c>
      <c r="C409" s="1" t="str">
        <f aca="false">Transactions!I409</f>
        <v>2026-01-26</v>
      </c>
      <c r="D409" s="1" t="n">
        <f aca="false">Transactions!J409</f>
        <v>2</v>
      </c>
      <c r="E409" s="1" t="n">
        <f aca="false">Transactions!D409</f>
        <v>65.55</v>
      </c>
      <c r="F409" s="1" t="str">
        <f aca="false">Transactions!H409</f>
        <v>Online</v>
      </c>
      <c r="G409" s="1" t="str">
        <f aca="false">Transactions!G409</f>
        <v>Retail</v>
      </c>
      <c r="H409" s="1" t="n">
        <f aca="false">IF(COUNTIFS($B$2:$B$1489,B409,$C$2:$C$1489,C409,$D$2:$D$1489,D409)&gt;6,1,0)</f>
        <v>0</v>
      </c>
      <c r="I409" s="1" t="n">
        <f aca="false">IF(AND(F409="Wire",E409&gt;=1000,MOD(E409,1000)=0),1,0)</f>
        <v>0</v>
      </c>
      <c r="J409" s="1" t="n">
        <f aca="false">IF(AND(F409="ATM",E409&gt;2000,D409&lt;=4),1,0)</f>
        <v>0</v>
      </c>
      <c r="K409" s="1" t="n">
        <f aca="false">IF(COUNTIF('SQL Findings'!$A$4:$A$18,B409)&gt;0,1,0)</f>
        <v>1</v>
      </c>
      <c r="L409" s="1" t="n">
        <f aca="false">SUM(H409:K409)</f>
        <v>1</v>
      </c>
      <c r="M409" s="1" t="str">
        <f aca="false">IF(L409&gt;=2,"High",IF(L409=1,"Medium","Low"))</f>
        <v>Medium</v>
      </c>
    </row>
    <row r="410" customFormat="false" ht="15" hidden="false" customHeight="true" outlineLevel="0" collapsed="false">
      <c r="A410" s="1" t="str">
        <f aca="false">Transactions!A410</f>
        <v>TXN500126</v>
      </c>
      <c r="B410" s="1" t="str">
        <f aca="false">Transactions!B410</f>
        <v>ACC1005</v>
      </c>
      <c r="C410" s="1" t="str">
        <f aca="false">Transactions!I410</f>
        <v>2026-01-26</v>
      </c>
      <c r="D410" s="1" t="n">
        <f aca="false">Transactions!J410</f>
        <v>3</v>
      </c>
      <c r="E410" s="1" t="n">
        <f aca="false">Transactions!D410</f>
        <v>478.86</v>
      </c>
      <c r="F410" s="1" t="str">
        <f aca="false">Transactions!H410</f>
        <v>POS</v>
      </c>
      <c r="G410" s="1" t="str">
        <f aca="false">Transactions!G410</f>
        <v>Dining</v>
      </c>
      <c r="H410" s="1" t="n">
        <f aca="false">IF(COUNTIFS($B$2:$B$1489,B410,$C$2:$C$1489,C410,$D$2:$D$1489,D410)&gt;6,1,0)</f>
        <v>0</v>
      </c>
      <c r="I410" s="1" t="n">
        <f aca="false">IF(AND(F410="Wire",E410&gt;=1000,MOD(E410,1000)=0),1,0)</f>
        <v>0</v>
      </c>
      <c r="J410" s="1" t="n">
        <f aca="false">IF(AND(F410="ATM",E410&gt;2000,D410&lt;=4),1,0)</f>
        <v>0</v>
      </c>
      <c r="K410" s="1" t="n">
        <f aca="false">IF(COUNTIF('SQL Findings'!$A$4:$A$18,B410)&gt;0,1,0)</f>
        <v>0</v>
      </c>
      <c r="L410" s="1" t="n">
        <f aca="false">SUM(H410:K410)</f>
        <v>0</v>
      </c>
      <c r="M410" s="1" t="str">
        <f aca="false">IF(L410&gt;=2,"High",IF(L410=1,"Medium","Low"))</f>
        <v>Low</v>
      </c>
    </row>
    <row r="411" customFormat="false" ht="15" hidden="false" customHeight="true" outlineLevel="0" collapsed="false">
      <c r="A411" s="1" t="str">
        <f aca="false">Transactions!A411</f>
        <v>TXN500758</v>
      </c>
      <c r="B411" s="1" t="str">
        <f aca="false">Transactions!B411</f>
        <v>ACC1033</v>
      </c>
      <c r="C411" s="1" t="str">
        <f aca="false">Transactions!I411</f>
        <v>2026-01-26</v>
      </c>
      <c r="D411" s="1" t="n">
        <f aca="false">Transactions!J411</f>
        <v>4</v>
      </c>
      <c r="E411" s="1" t="n">
        <f aca="false">Transactions!D411</f>
        <v>78.76</v>
      </c>
      <c r="F411" s="1" t="str">
        <f aca="false">Transactions!H411</f>
        <v>ATM</v>
      </c>
      <c r="G411" s="1" t="str">
        <f aca="false">Transactions!G411</f>
        <v>Travel</v>
      </c>
      <c r="H411" s="1" t="n">
        <f aca="false">IF(COUNTIFS($B$2:$B$1489,B411,$C$2:$C$1489,C411,$D$2:$D$1489,D411)&gt;6,1,0)</f>
        <v>0</v>
      </c>
      <c r="I411" s="1" t="n">
        <f aca="false">IF(AND(F411="Wire",E411&gt;=1000,MOD(E411,1000)=0),1,0)</f>
        <v>0</v>
      </c>
      <c r="J411" s="1" t="n">
        <f aca="false">IF(AND(F411="ATM",E411&gt;2000,D411&lt;=4),1,0)</f>
        <v>0</v>
      </c>
      <c r="K411" s="1" t="n">
        <f aca="false">IF(COUNTIF('SQL Findings'!$A$4:$A$18,B411)&gt;0,1,0)</f>
        <v>0</v>
      </c>
      <c r="L411" s="1" t="n">
        <f aca="false">SUM(H411:K411)</f>
        <v>0</v>
      </c>
      <c r="M411" s="1" t="str">
        <f aca="false">IF(L411&gt;=2,"High",IF(L411=1,"Medium","Low"))</f>
        <v>Low</v>
      </c>
    </row>
    <row r="412" customFormat="false" ht="15" hidden="false" customHeight="true" outlineLevel="0" collapsed="false">
      <c r="A412" s="1" t="str">
        <f aca="false">Transactions!A412</f>
        <v>TXN501061</v>
      </c>
      <c r="B412" s="1" t="str">
        <f aca="false">Transactions!B412</f>
        <v>ACC1046</v>
      </c>
      <c r="C412" s="1" t="str">
        <f aca="false">Transactions!I412</f>
        <v>2026-01-26</v>
      </c>
      <c r="D412" s="1" t="n">
        <f aca="false">Transactions!J412</f>
        <v>6</v>
      </c>
      <c r="E412" s="1" t="n">
        <f aca="false">Transactions!D412</f>
        <v>133.56</v>
      </c>
      <c r="F412" s="1" t="str">
        <f aca="false">Transactions!H412</f>
        <v>Online</v>
      </c>
      <c r="G412" s="1" t="str">
        <f aca="false">Transactions!G412</f>
        <v>Travel</v>
      </c>
      <c r="H412" s="1" t="n">
        <f aca="false">IF(COUNTIFS($B$2:$B$1489,B412,$C$2:$C$1489,C412,$D$2:$D$1489,D412)&gt;6,1,0)</f>
        <v>0</v>
      </c>
      <c r="I412" s="1" t="n">
        <f aca="false">IF(AND(F412="Wire",E412&gt;=1000,MOD(E412,1000)=0),1,0)</f>
        <v>0</v>
      </c>
      <c r="J412" s="1" t="n">
        <f aca="false">IF(AND(F412="ATM",E412&gt;2000,D412&lt;=4),1,0)</f>
        <v>0</v>
      </c>
      <c r="K412" s="1" t="n">
        <f aca="false">IF(COUNTIF('SQL Findings'!$A$4:$A$18,B412)&gt;0,1,0)</f>
        <v>0</v>
      </c>
      <c r="L412" s="1" t="n">
        <f aca="false">SUM(H412:K412)</f>
        <v>0</v>
      </c>
      <c r="M412" s="1" t="str">
        <f aca="false">IF(L412&gt;=2,"High",IF(L412=1,"Medium","Low"))</f>
        <v>Low</v>
      </c>
    </row>
    <row r="413" customFormat="false" ht="15" hidden="false" customHeight="true" outlineLevel="0" collapsed="false">
      <c r="A413" s="1" t="str">
        <f aca="false">Transactions!A413</f>
        <v>TXN500695</v>
      </c>
      <c r="B413" s="1" t="str">
        <f aca="false">Transactions!B413</f>
        <v>ACC1030</v>
      </c>
      <c r="C413" s="1" t="str">
        <f aca="false">Transactions!I413</f>
        <v>2026-01-26</v>
      </c>
      <c r="D413" s="1" t="n">
        <f aca="false">Transactions!J413</f>
        <v>6</v>
      </c>
      <c r="E413" s="1" t="n">
        <f aca="false">Transactions!D413</f>
        <v>113.73</v>
      </c>
      <c r="F413" s="1" t="str">
        <f aca="false">Transactions!H413</f>
        <v>POS</v>
      </c>
      <c r="G413" s="1" t="str">
        <f aca="false">Transactions!G413</f>
        <v>Electronics</v>
      </c>
      <c r="H413" s="1" t="n">
        <f aca="false">IF(COUNTIFS($B$2:$B$1489,B413,$C$2:$C$1489,C413,$D$2:$D$1489,D413)&gt;6,1,0)</f>
        <v>0</v>
      </c>
      <c r="I413" s="1" t="n">
        <f aca="false">IF(AND(F413="Wire",E413&gt;=1000,MOD(E413,1000)=0),1,0)</f>
        <v>0</v>
      </c>
      <c r="J413" s="1" t="n">
        <f aca="false">IF(AND(F413="ATM",E413&gt;2000,D413&lt;=4),1,0)</f>
        <v>0</v>
      </c>
      <c r="K413" s="1" t="n">
        <f aca="false">IF(COUNTIF('SQL Findings'!$A$4:$A$18,B413)&gt;0,1,0)</f>
        <v>1</v>
      </c>
      <c r="L413" s="1" t="n">
        <f aca="false">SUM(H413:K413)</f>
        <v>1</v>
      </c>
      <c r="M413" s="1" t="str">
        <f aca="false">IF(L413&gt;=2,"High",IF(L413=1,"Medium","Low"))</f>
        <v>Medium</v>
      </c>
    </row>
    <row r="414" customFormat="false" ht="15" hidden="false" customHeight="true" outlineLevel="0" collapsed="false">
      <c r="A414" s="1" t="str">
        <f aca="false">Transactions!A414</f>
        <v>TXN501044</v>
      </c>
      <c r="B414" s="1" t="str">
        <f aca="false">Transactions!B414</f>
        <v>ACC1045</v>
      </c>
      <c r="C414" s="1" t="str">
        <f aca="false">Transactions!I414</f>
        <v>2026-01-26</v>
      </c>
      <c r="D414" s="1" t="n">
        <f aca="false">Transactions!J414</f>
        <v>7</v>
      </c>
      <c r="E414" s="1" t="n">
        <f aca="false">Transactions!D414</f>
        <v>64.41</v>
      </c>
      <c r="F414" s="1" t="str">
        <f aca="false">Transactions!H414</f>
        <v>POS</v>
      </c>
      <c r="G414" s="1" t="str">
        <f aca="false">Transactions!G414</f>
        <v>Utilities</v>
      </c>
      <c r="H414" s="1" t="n">
        <f aca="false">IF(COUNTIFS($B$2:$B$1489,B414,$C$2:$C$1489,C414,$D$2:$D$1489,D414)&gt;6,1,0)</f>
        <v>0</v>
      </c>
      <c r="I414" s="1" t="n">
        <f aca="false">IF(AND(F414="Wire",E414&gt;=1000,MOD(E414,1000)=0),1,0)</f>
        <v>0</v>
      </c>
      <c r="J414" s="1" t="n">
        <f aca="false">IF(AND(F414="ATM",E414&gt;2000,D414&lt;=4),1,0)</f>
        <v>0</v>
      </c>
      <c r="K414" s="1" t="n">
        <f aca="false">IF(COUNTIF('SQL Findings'!$A$4:$A$18,B414)&gt;0,1,0)</f>
        <v>0</v>
      </c>
      <c r="L414" s="1" t="n">
        <f aca="false">SUM(H414:K414)</f>
        <v>0</v>
      </c>
      <c r="M414" s="1" t="str">
        <f aca="false">IF(L414&gt;=2,"High",IF(L414=1,"Medium","Low"))</f>
        <v>Low</v>
      </c>
    </row>
    <row r="415" customFormat="false" ht="15" hidden="false" customHeight="true" outlineLevel="0" collapsed="false">
      <c r="A415" s="1" t="str">
        <f aca="false">Transactions!A415</f>
        <v>TXN501282</v>
      </c>
      <c r="B415" s="1" t="str">
        <f aca="false">Transactions!B415</f>
        <v>ACC1056</v>
      </c>
      <c r="C415" s="1" t="str">
        <f aca="false">Transactions!I415</f>
        <v>2026-01-26</v>
      </c>
      <c r="D415" s="1" t="n">
        <f aca="false">Transactions!J415</f>
        <v>7</v>
      </c>
      <c r="E415" s="1" t="n">
        <f aca="false">Transactions!D415</f>
        <v>58.14</v>
      </c>
      <c r="F415" s="1" t="str">
        <f aca="false">Transactions!H415</f>
        <v>Online</v>
      </c>
      <c r="G415" s="1" t="str">
        <f aca="false">Transactions!G415</f>
        <v>Cash Withdrawal</v>
      </c>
      <c r="H415" s="1" t="n">
        <f aca="false">IF(COUNTIFS($B$2:$B$1489,B415,$C$2:$C$1489,C415,$D$2:$D$1489,D415)&gt;6,1,0)</f>
        <v>0</v>
      </c>
      <c r="I415" s="1" t="n">
        <f aca="false">IF(AND(F415="Wire",E415&gt;=1000,MOD(E415,1000)=0),1,0)</f>
        <v>0</v>
      </c>
      <c r="J415" s="1" t="n">
        <f aca="false">IF(AND(F415="ATM",E415&gt;2000,D415&lt;=4),1,0)</f>
        <v>0</v>
      </c>
      <c r="K415" s="1" t="n">
        <f aca="false">IF(COUNTIF('SQL Findings'!$A$4:$A$18,B415)&gt;0,1,0)</f>
        <v>0</v>
      </c>
      <c r="L415" s="1" t="n">
        <f aca="false">SUM(H415:K415)</f>
        <v>0</v>
      </c>
      <c r="M415" s="1" t="str">
        <f aca="false">IF(L415&gt;=2,"High",IF(L415=1,"Medium","Low"))</f>
        <v>Low</v>
      </c>
    </row>
    <row r="416" customFormat="false" ht="15" hidden="false" customHeight="true" outlineLevel="0" collapsed="false">
      <c r="A416" s="1" t="str">
        <f aca="false">Transactions!A416</f>
        <v>TXN500849</v>
      </c>
      <c r="B416" s="1" t="str">
        <f aca="false">Transactions!B416</f>
        <v>ACC1036</v>
      </c>
      <c r="C416" s="1" t="str">
        <f aca="false">Transactions!I416</f>
        <v>2026-01-26</v>
      </c>
      <c r="D416" s="1" t="n">
        <f aca="false">Transactions!J416</f>
        <v>9</v>
      </c>
      <c r="E416" s="1" t="n">
        <f aca="false">Transactions!D416</f>
        <v>37.56</v>
      </c>
      <c r="F416" s="1" t="str">
        <f aca="false">Transactions!H416</f>
        <v>POS</v>
      </c>
      <c r="G416" s="1" t="str">
        <f aca="false">Transactions!G416</f>
        <v>Utilities</v>
      </c>
      <c r="H416" s="1" t="n">
        <f aca="false">IF(COUNTIFS($B$2:$B$1489,B416,$C$2:$C$1489,C416,$D$2:$D$1489,D416)&gt;6,1,0)</f>
        <v>0</v>
      </c>
      <c r="I416" s="1" t="n">
        <f aca="false">IF(AND(F416="Wire",E416&gt;=1000,MOD(E416,1000)=0),1,0)</f>
        <v>0</v>
      </c>
      <c r="J416" s="1" t="n">
        <f aca="false">IF(AND(F416="ATM",E416&gt;2000,D416&lt;=4),1,0)</f>
        <v>0</v>
      </c>
      <c r="K416" s="1" t="n">
        <f aca="false">IF(COUNTIF('SQL Findings'!$A$4:$A$18,B416)&gt;0,1,0)</f>
        <v>0</v>
      </c>
      <c r="L416" s="1" t="n">
        <f aca="false">SUM(H416:K416)</f>
        <v>0</v>
      </c>
      <c r="M416" s="1" t="str">
        <f aca="false">IF(L416&gt;=2,"High",IF(L416=1,"Medium","Low"))</f>
        <v>Low</v>
      </c>
    </row>
    <row r="417" customFormat="false" ht="15" hidden="false" customHeight="true" outlineLevel="0" collapsed="false">
      <c r="A417" s="1" t="str">
        <f aca="false">Transactions!A417</f>
        <v>TXN500823</v>
      </c>
      <c r="B417" s="1" t="str">
        <f aca="false">Transactions!B417</f>
        <v>ACC1035</v>
      </c>
      <c r="C417" s="1" t="str">
        <f aca="false">Transactions!I417</f>
        <v>2026-01-26</v>
      </c>
      <c r="D417" s="1" t="n">
        <f aca="false">Transactions!J417</f>
        <v>9</v>
      </c>
      <c r="E417" s="1" t="n">
        <f aca="false">Transactions!D417</f>
        <v>527.95</v>
      </c>
      <c r="F417" s="1" t="str">
        <f aca="false">Transactions!H417</f>
        <v>POS</v>
      </c>
      <c r="G417" s="1" t="str">
        <f aca="false">Transactions!G417</f>
        <v>Online Marketplace</v>
      </c>
      <c r="H417" s="1" t="n">
        <f aca="false">IF(COUNTIFS($B$2:$B$1489,B417,$C$2:$C$1489,C417,$D$2:$D$1489,D417)&gt;6,1,0)</f>
        <v>0</v>
      </c>
      <c r="I417" s="1" t="n">
        <f aca="false">IF(AND(F417="Wire",E417&gt;=1000,MOD(E417,1000)=0),1,0)</f>
        <v>0</v>
      </c>
      <c r="J417" s="1" t="n">
        <f aca="false">IF(AND(F417="ATM",E417&gt;2000,D417&lt;=4),1,0)</f>
        <v>0</v>
      </c>
      <c r="K417" s="1" t="n">
        <f aca="false">IF(COUNTIF('SQL Findings'!$A$4:$A$18,B417)&gt;0,1,0)</f>
        <v>0</v>
      </c>
      <c r="L417" s="1" t="n">
        <f aca="false">SUM(H417:K417)</f>
        <v>0</v>
      </c>
      <c r="M417" s="1" t="str">
        <f aca="false">IF(L417&gt;=2,"High",IF(L417=1,"Medium","Low"))</f>
        <v>Low</v>
      </c>
    </row>
    <row r="418" customFormat="false" ht="15" hidden="false" customHeight="true" outlineLevel="0" collapsed="false">
      <c r="A418" s="1" t="str">
        <f aca="false">Transactions!A418</f>
        <v>TXN501193</v>
      </c>
      <c r="B418" s="1" t="str">
        <f aca="false">Transactions!B418</f>
        <v>ACC1052</v>
      </c>
      <c r="C418" s="1" t="str">
        <f aca="false">Transactions!I418</f>
        <v>2026-01-26</v>
      </c>
      <c r="D418" s="1" t="n">
        <f aca="false">Transactions!J418</f>
        <v>12</v>
      </c>
      <c r="E418" s="1" t="n">
        <f aca="false">Transactions!D418</f>
        <v>38.81</v>
      </c>
      <c r="F418" s="1" t="str">
        <f aca="false">Transactions!H418</f>
        <v>POS</v>
      </c>
      <c r="G418" s="1" t="str">
        <f aca="false">Transactions!G418</f>
        <v>Retail</v>
      </c>
      <c r="H418" s="1" t="n">
        <f aca="false">IF(COUNTIFS($B$2:$B$1489,B418,$C$2:$C$1489,C418,$D$2:$D$1489,D418)&gt;6,1,0)</f>
        <v>0</v>
      </c>
      <c r="I418" s="1" t="n">
        <f aca="false">IF(AND(F418="Wire",E418&gt;=1000,MOD(E418,1000)=0),1,0)</f>
        <v>0</v>
      </c>
      <c r="J418" s="1" t="n">
        <f aca="false">IF(AND(F418="ATM",E418&gt;2000,D418&lt;=4),1,0)</f>
        <v>0</v>
      </c>
      <c r="K418" s="1" t="n">
        <f aca="false">IF(COUNTIF('SQL Findings'!$A$4:$A$18,B418)&gt;0,1,0)</f>
        <v>0</v>
      </c>
      <c r="L418" s="1" t="n">
        <f aca="false">SUM(H418:K418)</f>
        <v>0</v>
      </c>
      <c r="M418" s="1" t="str">
        <f aca="false">IF(L418&gt;=2,"High",IF(L418=1,"Medium","Low"))</f>
        <v>Low</v>
      </c>
    </row>
    <row r="419" customFormat="false" ht="15" hidden="false" customHeight="true" outlineLevel="0" collapsed="false">
      <c r="A419" s="1" t="str">
        <f aca="false">Transactions!A419</f>
        <v>TXN500848</v>
      </c>
      <c r="B419" s="1" t="str">
        <f aca="false">Transactions!B419</f>
        <v>ACC1036</v>
      </c>
      <c r="C419" s="1" t="str">
        <f aca="false">Transactions!I419</f>
        <v>2026-01-26</v>
      </c>
      <c r="D419" s="1" t="n">
        <f aca="false">Transactions!J419</f>
        <v>13</v>
      </c>
      <c r="E419" s="1" t="n">
        <f aca="false">Transactions!D419</f>
        <v>607.75</v>
      </c>
      <c r="F419" s="1" t="str">
        <f aca="false">Transactions!H419</f>
        <v>ATM</v>
      </c>
      <c r="G419" s="1" t="str">
        <f aca="false">Transactions!G419</f>
        <v>Utilities</v>
      </c>
      <c r="H419" s="1" t="n">
        <f aca="false">IF(COUNTIFS($B$2:$B$1489,B419,$C$2:$C$1489,C419,$D$2:$D$1489,D419)&gt;6,1,0)</f>
        <v>0</v>
      </c>
      <c r="I419" s="1" t="n">
        <f aca="false">IF(AND(F419="Wire",E419&gt;=1000,MOD(E419,1000)=0),1,0)</f>
        <v>0</v>
      </c>
      <c r="J419" s="1" t="n">
        <f aca="false">IF(AND(F419="ATM",E419&gt;2000,D419&lt;=4),1,0)</f>
        <v>0</v>
      </c>
      <c r="K419" s="1" t="n">
        <f aca="false">IF(COUNTIF('SQL Findings'!$A$4:$A$18,B419)&gt;0,1,0)</f>
        <v>0</v>
      </c>
      <c r="L419" s="1" t="n">
        <f aca="false">SUM(H419:K419)</f>
        <v>0</v>
      </c>
      <c r="M419" s="1" t="str">
        <f aca="false">IF(L419&gt;=2,"High",IF(L419=1,"Medium","Low"))</f>
        <v>Low</v>
      </c>
    </row>
    <row r="420" customFormat="false" ht="15" hidden="false" customHeight="true" outlineLevel="0" collapsed="false">
      <c r="A420" s="1" t="str">
        <f aca="false">Transactions!A420</f>
        <v>TXN501480</v>
      </c>
      <c r="B420" s="1" t="str">
        <f aca="false">Transactions!B420</f>
        <v>ACC1004</v>
      </c>
      <c r="C420" s="1" t="str">
        <f aca="false">Transactions!I420</f>
        <v>2026-01-26</v>
      </c>
      <c r="D420" s="1" t="n">
        <f aca="false">Transactions!J420</f>
        <v>14</v>
      </c>
      <c r="E420" s="1" t="n">
        <f aca="false">Transactions!D420</f>
        <v>158.13</v>
      </c>
      <c r="F420" s="1" t="str">
        <f aca="false">Transactions!H420</f>
        <v>POS</v>
      </c>
      <c r="G420" s="1" t="str">
        <f aca="false">Transactions!G420</f>
        <v>Utilities</v>
      </c>
      <c r="H420" s="1" t="n">
        <f aca="false">IF(COUNTIFS($B$2:$B$1489,B420,$C$2:$C$1489,C420,$D$2:$D$1489,D420)&gt;6,1,0)</f>
        <v>0</v>
      </c>
      <c r="I420" s="1" t="n">
        <f aca="false">IF(AND(F420="Wire",E420&gt;=1000,MOD(E420,1000)=0),1,0)</f>
        <v>0</v>
      </c>
      <c r="J420" s="1" t="n">
        <f aca="false">IF(AND(F420="ATM",E420&gt;2000,D420&lt;=4),1,0)</f>
        <v>0</v>
      </c>
      <c r="K420" s="1" t="n">
        <f aca="false">IF(COUNTIF('SQL Findings'!$A$4:$A$18,B420)&gt;0,1,0)</f>
        <v>1</v>
      </c>
      <c r="L420" s="1" t="n">
        <f aca="false">SUM(H420:K420)</f>
        <v>1</v>
      </c>
      <c r="M420" s="1" t="str">
        <f aca="false">IF(L420&gt;=2,"High",IF(L420=1,"Medium","Low"))</f>
        <v>Medium</v>
      </c>
    </row>
    <row r="421" customFormat="false" ht="15" hidden="false" customHeight="true" outlineLevel="0" collapsed="false">
      <c r="A421" s="1" t="str">
        <f aca="false">Transactions!A421</f>
        <v>TXN501481</v>
      </c>
      <c r="B421" s="1" t="str">
        <f aca="false">Transactions!B421</f>
        <v>ACC1004</v>
      </c>
      <c r="C421" s="1" t="str">
        <f aca="false">Transactions!I421</f>
        <v>2026-01-26</v>
      </c>
      <c r="D421" s="1" t="n">
        <f aca="false">Transactions!J421</f>
        <v>14</v>
      </c>
      <c r="E421" s="1" t="n">
        <f aca="false">Transactions!D421</f>
        <v>158.13</v>
      </c>
      <c r="F421" s="1" t="str">
        <f aca="false">Transactions!H421</f>
        <v>POS</v>
      </c>
      <c r="G421" s="1" t="str">
        <f aca="false">Transactions!G421</f>
        <v>Utilities</v>
      </c>
      <c r="H421" s="1" t="n">
        <f aca="false">IF(COUNTIFS($B$2:$B$1489,B421,$C$2:$C$1489,C421,$D$2:$D$1489,D421)&gt;6,1,0)</f>
        <v>0</v>
      </c>
      <c r="I421" s="1" t="n">
        <f aca="false">IF(AND(F421="Wire",E421&gt;=1000,MOD(E421,1000)=0),1,0)</f>
        <v>0</v>
      </c>
      <c r="J421" s="1" t="n">
        <f aca="false">IF(AND(F421="ATM",E421&gt;2000,D421&lt;=4),1,0)</f>
        <v>0</v>
      </c>
      <c r="K421" s="1" t="n">
        <f aca="false">IF(COUNTIF('SQL Findings'!$A$4:$A$18,B421)&gt;0,1,0)</f>
        <v>1</v>
      </c>
      <c r="L421" s="1" t="n">
        <f aca="false">SUM(H421:K421)</f>
        <v>1</v>
      </c>
      <c r="M421" s="1" t="str">
        <f aca="false">IF(L421&gt;=2,"High",IF(L421=1,"Medium","Low"))</f>
        <v>Medium</v>
      </c>
    </row>
    <row r="422" customFormat="false" ht="15" hidden="false" customHeight="true" outlineLevel="0" collapsed="false">
      <c r="A422" s="1" t="str">
        <f aca="false">Transactions!A422</f>
        <v>TXN500330</v>
      </c>
      <c r="B422" s="1" t="str">
        <f aca="false">Transactions!B422</f>
        <v>ACC1014</v>
      </c>
      <c r="C422" s="1" t="str">
        <f aca="false">Transactions!I422</f>
        <v>2026-01-26</v>
      </c>
      <c r="D422" s="1" t="n">
        <f aca="false">Transactions!J422</f>
        <v>16</v>
      </c>
      <c r="E422" s="1" t="n">
        <f aca="false">Transactions!D422</f>
        <v>117.39</v>
      </c>
      <c r="F422" s="1" t="str">
        <f aca="false">Transactions!H422</f>
        <v>POS</v>
      </c>
      <c r="G422" s="1" t="str">
        <f aca="false">Transactions!G422</f>
        <v>Utilities</v>
      </c>
      <c r="H422" s="1" t="n">
        <f aca="false">IF(COUNTIFS($B$2:$B$1489,B422,$C$2:$C$1489,C422,$D$2:$D$1489,D422)&gt;6,1,0)</f>
        <v>0</v>
      </c>
      <c r="I422" s="1" t="n">
        <f aca="false">IF(AND(F422="Wire",E422&gt;=1000,MOD(E422,1000)=0),1,0)</f>
        <v>0</v>
      </c>
      <c r="J422" s="1" t="n">
        <f aca="false">IF(AND(F422="ATM",E422&gt;2000,D422&lt;=4),1,0)</f>
        <v>0</v>
      </c>
      <c r="K422" s="1" t="n">
        <f aca="false">IF(COUNTIF('SQL Findings'!$A$4:$A$18,B422)&gt;0,1,0)</f>
        <v>1</v>
      </c>
      <c r="L422" s="1" t="n">
        <f aca="false">SUM(H422:K422)</f>
        <v>1</v>
      </c>
      <c r="M422" s="1" t="str">
        <f aca="false">IF(L422&gt;=2,"High",IF(L422=1,"Medium","Low"))</f>
        <v>Medium</v>
      </c>
    </row>
    <row r="423" customFormat="false" ht="15" hidden="false" customHeight="true" outlineLevel="0" collapsed="false">
      <c r="A423" s="1" t="str">
        <f aca="false">Transactions!A423</f>
        <v>TXN500791</v>
      </c>
      <c r="B423" s="1" t="str">
        <f aca="false">Transactions!B423</f>
        <v>ACC1034</v>
      </c>
      <c r="C423" s="1" t="str">
        <f aca="false">Transactions!I423</f>
        <v>2026-01-26</v>
      </c>
      <c r="D423" s="1" t="n">
        <f aca="false">Transactions!J423</f>
        <v>17</v>
      </c>
      <c r="E423" s="1" t="n">
        <f aca="false">Transactions!D423</f>
        <v>98.17</v>
      </c>
      <c r="F423" s="1" t="str">
        <f aca="false">Transactions!H423</f>
        <v>Online</v>
      </c>
      <c r="G423" s="1" t="str">
        <f aca="false">Transactions!G423</f>
        <v>Retail</v>
      </c>
      <c r="H423" s="1" t="n">
        <f aca="false">IF(COUNTIFS($B$2:$B$1489,B423,$C$2:$C$1489,C423,$D$2:$D$1489,D423)&gt;6,1,0)</f>
        <v>0</v>
      </c>
      <c r="I423" s="1" t="n">
        <f aca="false">IF(AND(F423="Wire",E423&gt;=1000,MOD(E423,1000)=0),1,0)</f>
        <v>0</v>
      </c>
      <c r="J423" s="1" t="n">
        <f aca="false">IF(AND(F423="ATM",E423&gt;2000,D423&lt;=4),1,0)</f>
        <v>0</v>
      </c>
      <c r="K423" s="1" t="n">
        <f aca="false">IF(COUNTIF('SQL Findings'!$A$4:$A$18,B423)&gt;0,1,0)</f>
        <v>0</v>
      </c>
      <c r="L423" s="1" t="n">
        <f aca="false">SUM(H423:K423)</f>
        <v>0</v>
      </c>
      <c r="M423" s="1" t="str">
        <f aca="false">IF(L423&gt;=2,"High",IF(L423=1,"Medium","Low"))</f>
        <v>Low</v>
      </c>
    </row>
    <row r="424" customFormat="false" ht="15" hidden="false" customHeight="true" outlineLevel="0" collapsed="false">
      <c r="A424" s="1" t="str">
        <f aca="false">Transactions!A424</f>
        <v>TXN500705</v>
      </c>
      <c r="B424" s="1" t="str">
        <f aca="false">Transactions!B424</f>
        <v>ACC1030</v>
      </c>
      <c r="C424" s="1" t="str">
        <f aca="false">Transactions!I424</f>
        <v>2026-01-26</v>
      </c>
      <c r="D424" s="1" t="n">
        <f aca="false">Transactions!J424</f>
        <v>17</v>
      </c>
      <c r="E424" s="1" t="n">
        <f aca="false">Transactions!D424</f>
        <v>16.43</v>
      </c>
      <c r="F424" s="1" t="str">
        <f aca="false">Transactions!H424</f>
        <v>ATM</v>
      </c>
      <c r="G424" s="1" t="str">
        <f aca="false">Transactions!G424</f>
        <v>Electronics</v>
      </c>
      <c r="H424" s="1" t="n">
        <f aca="false">IF(COUNTIFS($B$2:$B$1489,B424,$C$2:$C$1489,C424,$D$2:$D$1489,D424)&gt;6,1,0)</f>
        <v>0</v>
      </c>
      <c r="I424" s="1" t="n">
        <f aca="false">IF(AND(F424="Wire",E424&gt;=1000,MOD(E424,1000)=0),1,0)</f>
        <v>0</v>
      </c>
      <c r="J424" s="1" t="n">
        <f aca="false">IF(AND(F424="ATM",E424&gt;2000,D424&lt;=4),1,0)</f>
        <v>0</v>
      </c>
      <c r="K424" s="1" t="n">
        <f aca="false">IF(COUNTIF('SQL Findings'!$A$4:$A$18,B424)&gt;0,1,0)</f>
        <v>1</v>
      </c>
      <c r="L424" s="1" t="n">
        <f aca="false">SUM(H424:K424)</f>
        <v>1</v>
      </c>
      <c r="M424" s="1" t="str">
        <f aca="false">IF(L424&gt;=2,"High",IF(L424=1,"Medium","Low"))</f>
        <v>Medium</v>
      </c>
    </row>
    <row r="425" customFormat="false" ht="15" hidden="false" customHeight="true" outlineLevel="0" collapsed="false">
      <c r="A425" s="1" t="str">
        <f aca="false">Transactions!A425</f>
        <v>TXN501274</v>
      </c>
      <c r="B425" s="1" t="str">
        <f aca="false">Transactions!B425</f>
        <v>ACC1056</v>
      </c>
      <c r="C425" s="1" t="str">
        <f aca="false">Transactions!I425</f>
        <v>2026-01-26</v>
      </c>
      <c r="D425" s="1" t="n">
        <f aca="false">Transactions!J425</f>
        <v>19</v>
      </c>
      <c r="E425" s="1" t="n">
        <f aca="false">Transactions!D425</f>
        <v>50.16</v>
      </c>
      <c r="F425" s="1" t="str">
        <f aca="false">Transactions!H425</f>
        <v>Online</v>
      </c>
      <c r="G425" s="1" t="str">
        <f aca="false">Transactions!G425</f>
        <v>Retail</v>
      </c>
      <c r="H425" s="1" t="n">
        <f aca="false">IF(COUNTIFS($B$2:$B$1489,B425,$C$2:$C$1489,C425,$D$2:$D$1489,D425)&gt;6,1,0)</f>
        <v>0</v>
      </c>
      <c r="I425" s="1" t="n">
        <f aca="false">IF(AND(F425="Wire",E425&gt;=1000,MOD(E425,1000)=0),1,0)</f>
        <v>0</v>
      </c>
      <c r="J425" s="1" t="n">
        <f aca="false">IF(AND(F425="ATM",E425&gt;2000,D425&lt;=4),1,0)</f>
        <v>0</v>
      </c>
      <c r="K425" s="1" t="n">
        <f aca="false">IF(COUNTIF('SQL Findings'!$A$4:$A$18,B425)&gt;0,1,0)</f>
        <v>0</v>
      </c>
      <c r="L425" s="1" t="n">
        <f aca="false">SUM(H425:K425)</f>
        <v>0</v>
      </c>
      <c r="M425" s="1" t="str">
        <f aca="false">IF(L425&gt;=2,"High",IF(L425=1,"Medium","Low"))</f>
        <v>Low</v>
      </c>
    </row>
    <row r="426" customFormat="false" ht="15" hidden="false" customHeight="true" outlineLevel="0" collapsed="false">
      <c r="A426" s="1" t="str">
        <f aca="false">Transactions!A426</f>
        <v>TXN500401</v>
      </c>
      <c r="B426" s="1" t="str">
        <f aca="false">Transactions!B426</f>
        <v>ACC1017</v>
      </c>
      <c r="C426" s="1" t="str">
        <f aca="false">Transactions!I426</f>
        <v>2026-01-27</v>
      </c>
      <c r="D426" s="1" t="n">
        <f aca="false">Transactions!J426</f>
        <v>9</v>
      </c>
      <c r="E426" s="1" t="n">
        <f aca="false">Transactions!D426</f>
        <v>15.88</v>
      </c>
      <c r="F426" s="1" t="str">
        <f aca="false">Transactions!H426</f>
        <v>ATM</v>
      </c>
      <c r="G426" s="1" t="str">
        <f aca="false">Transactions!G426</f>
        <v>Cash Withdrawal</v>
      </c>
      <c r="H426" s="1" t="n">
        <f aca="false">IF(COUNTIFS($B$2:$B$1489,B426,$C$2:$C$1489,C426,$D$2:$D$1489,D426)&gt;6,1,0)</f>
        <v>0</v>
      </c>
      <c r="I426" s="1" t="n">
        <f aca="false">IF(AND(F426="Wire",E426&gt;=1000,MOD(E426,1000)=0),1,0)</f>
        <v>0</v>
      </c>
      <c r="J426" s="1" t="n">
        <f aca="false">IF(AND(F426="ATM",E426&gt;2000,D426&lt;=4),1,0)</f>
        <v>0</v>
      </c>
      <c r="K426" s="1" t="n">
        <f aca="false">IF(COUNTIF('SQL Findings'!$A$4:$A$18,B426)&gt;0,1,0)</f>
        <v>0</v>
      </c>
      <c r="L426" s="1" t="n">
        <f aca="false">SUM(H426:K426)</f>
        <v>0</v>
      </c>
      <c r="M426" s="1" t="str">
        <f aca="false">IF(L426&gt;=2,"High",IF(L426=1,"Medium","Low"))</f>
        <v>Low</v>
      </c>
    </row>
    <row r="427" customFormat="false" ht="15" hidden="false" customHeight="true" outlineLevel="0" collapsed="false">
      <c r="A427" s="1" t="str">
        <f aca="false">Transactions!A427</f>
        <v>TXN500570</v>
      </c>
      <c r="B427" s="1" t="str">
        <f aca="false">Transactions!B427</f>
        <v>ACC1025</v>
      </c>
      <c r="C427" s="1" t="str">
        <f aca="false">Transactions!I427</f>
        <v>2026-01-27</v>
      </c>
      <c r="D427" s="1" t="n">
        <f aca="false">Transactions!J427</f>
        <v>11</v>
      </c>
      <c r="E427" s="1" t="n">
        <f aca="false">Transactions!D427</f>
        <v>48.6</v>
      </c>
      <c r="F427" s="1" t="str">
        <f aca="false">Transactions!H427</f>
        <v>Online</v>
      </c>
      <c r="G427" s="1" t="str">
        <f aca="false">Transactions!G427</f>
        <v>Electronics</v>
      </c>
      <c r="H427" s="1" t="n">
        <f aca="false">IF(COUNTIFS($B$2:$B$1489,B427,$C$2:$C$1489,C427,$D$2:$D$1489,D427)&gt;6,1,0)</f>
        <v>0</v>
      </c>
      <c r="I427" s="1" t="n">
        <f aca="false">IF(AND(F427="Wire",E427&gt;=1000,MOD(E427,1000)=0),1,0)</f>
        <v>0</v>
      </c>
      <c r="J427" s="1" t="n">
        <f aca="false">IF(AND(F427="ATM",E427&gt;2000,D427&lt;=4),1,0)</f>
        <v>0</v>
      </c>
      <c r="K427" s="1" t="n">
        <f aca="false">IF(COUNTIF('SQL Findings'!$A$4:$A$18,B427)&gt;0,1,0)</f>
        <v>0</v>
      </c>
      <c r="L427" s="1" t="n">
        <f aca="false">SUM(H427:K427)</f>
        <v>0</v>
      </c>
      <c r="M427" s="1" t="str">
        <f aca="false">IF(L427&gt;=2,"High",IF(L427=1,"Medium","Low"))</f>
        <v>Low</v>
      </c>
    </row>
    <row r="428" customFormat="false" ht="15" hidden="false" customHeight="true" outlineLevel="0" collapsed="false">
      <c r="A428" s="1" t="str">
        <f aca="false">Transactions!A428</f>
        <v>TXN500687</v>
      </c>
      <c r="B428" s="1" t="str">
        <f aca="false">Transactions!B428</f>
        <v>ACC1029</v>
      </c>
      <c r="C428" s="1" t="str">
        <f aca="false">Transactions!I428</f>
        <v>2026-01-27</v>
      </c>
      <c r="D428" s="1" t="n">
        <f aca="false">Transactions!J428</f>
        <v>12</v>
      </c>
      <c r="E428" s="1" t="n">
        <f aca="false">Transactions!D428</f>
        <v>53.72</v>
      </c>
      <c r="F428" s="1" t="str">
        <f aca="false">Transactions!H428</f>
        <v>Online</v>
      </c>
      <c r="G428" s="1" t="str">
        <f aca="false">Transactions!G428</f>
        <v>Wire Transfer</v>
      </c>
      <c r="H428" s="1" t="n">
        <f aca="false">IF(COUNTIFS($B$2:$B$1489,B428,$C$2:$C$1489,C428,$D$2:$D$1489,D428)&gt;6,1,0)</f>
        <v>0</v>
      </c>
      <c r="I428" s="1" t="n">
        <f aca="false">IF(AND(F428="Wire",E428&gt;=1000,MOD(E428,1000)=0),1,0)</f>
        <v>0</v>
      </c>
      <c r="J428" s="1" t="n">
        <f aca="false">IF(AND(F428="ATM",E428&gt;2000,D428&lt;=4),1,0)</f>
        <v>0</v>
      </c>
      <c r="K428" s="1" t="n">
        <f aca="false">IF(COUNTIF('SQL Findings'!$A$4:$A$18,B428)&gt;0,1,0)</f>
        <v>0</v>
      </c>
      <c r="L428" s="1" t="n">
        <f aca="false">SUM(H428:K428)</f>
        <v>0</v>
      </c>
      <c r="M428" s="1" t="str">
        <f aca="false">IF(L428&gt;=2,"High",IF(L428=1,"Medium","Low"))</f>
        <v>Low</v>
      </c>
    </row>
    <row r="429" customFormat="false" ht="15" hidden="false" customHeight="true" outlineLevel="0" collapsed="false">
      <c r="A429" s="1" t="str">
        <f aca="false">Transactions!A429</f>
        <v>TXN500936</v>
      </c>
      <c r="B429" s="1" t="str">
        <f aca="false">Transactions!B429</f>
        <v>ACC1040</v>
      </c>
      <c r="C429" s="1" t="str">
        <f aca="false">Transactions!I429</f>
        <v>2026-01-27</v>
      </c>
      <c r="D429" s="1" t="n">
        <f aca="false">Transactions!J429</f>
        <v>12</v>
      </c>
      <c r="E429" s="1" t="n">
        <f aca="false">Transactions!D429</f>
        <v>42.44</v>
      </c>
      <c r="F429" s="1" t="str">
        <f aca="false">Transactions!H429</f>
        <v>ATM</v>
      </c>
      <c r="G429" s="1" t="str">
        <f aca="false">Transactions!G429</f>
        <v>Wire Transfer</v>
      </c>
      <c r="H429" s="1" t="n">
        <f aca="false">IF(COUNTIFS($B$2:$B$1489,B429,$C$2:$C$1489,C429,$D$2:$D$1489,D429)&gt;6,1,0)</f>
        <v>0</v>
      </c>
      <c r="I429" s="1" t="n">
        <f aca="false">IF(AND(F429="Wire",E429&gt;=1000,MOD(E429,1000)=0),1,0)</f>
        <v>0</v>
      </c>
      <c r="J429" s="1" t="n">
        <f aca="false">IF(AND(F429="ATM",E429&gt;2000,D429&lt;=4),1,0)</f>
        <v>0</v>
      </c>
      <c r="K429" s="1" t="n">
        <f aca="false">IF(COUNTIF('SQL Findings'!$A$4:$A$18,B429)&gt;0,1,0)</f>
        <v>1</v>
      </c>
      <c r="L429" s="1" t="n">
        <f aca="false">SUM(H429:K429)</f>
        <v>1</v>
      </c>
      <c r="M429" s="1" t="str">
        <f aca="false">IF(L429&gt;=2,"High",IF(L429=1,"Medium","Low"))</f>
        <v>Medium</v>
      </c>
    </row>
    <row r="430" customFormat="false" ht="15" hidden="false" customHeight="true" outlineLevel="0" collapsed="false">
      <c r="A430" s="1" t="str">
        <f aca="false">Transactions!A430</f>
        <v>TXN501250</v>
      </c>
      <c r="B430" s="1" t="str">
        <f aca="false">Transactions!B430</f>
        <v>ACC1055</v>
      </c>
      <c r="C430" s="1" t="str">
        <f aca="false">Transactions!I430</f>
        <v>2026-01-27</v>
      </c>
      <c r="D430" s="1" t="n">
        <f aca="false">Transactions!J430</f>
        <v>13</v>
      </c>
      <c r="E430" s="1" t="n">
        <f aca="false">Transactions!D430</f>
        <v>16.44</v>
      </c>
      <c r="F430" s="1" t="str">
        <f aca="false">Transactions!H430</f>
        <v>Online</v>
      </c>
      <c r="G430" s="1" t="str">
        <f aca="false">Transactions!G430</f>
        <v>Electronics</v>
      </c>
      <c r="H430" s="1" t="n">
        <f aca="false">IF(COUNTIFS($B$2:$B$1489,B430,$C$2:$C$1489,C430,$D$2:$D$1489,D430)&gt;6,1,0)</f>
        <v>0</v>
      </c>
      <c r="I430" s="1" t="n">
        <f aca="false">IF(AND(F430="Wire",E430&gt;=1000,MOD(E430,1000)=0),1,0)</f>
        <v>0</v>
      </c>
      <c r="J430" s="1" t="n">
        <f aca="false">IF(AND(F430="ATM",E430&gt;2000,D430&lt;=4),1,0)</f>
        <v>0</v>
      </c>
      <c r="K430" s="1" t="n">
        <f aca="false">IF(COUNTIF('SQL Findings'!$A$4:$A$18,B430)&gt;0,1,0)</f>
        <v>1</v>
      </c>
      <c r="L430" s="1" t="n">
        <f aca="false">SUM(H430:K430)</f>
        <v>1</v>
      </c>
      <c r="M430" s="1" t="str">
        <f aca="false">IF(L430&gt;=2,"High",IF(L430=1,"Medium","Low"))</f>
        <v>Medium</v>
      </c>
    </row>
    <row r="431" customFormat="false" ht="15" hidden="false" customHeight="true" outlineLevel="0" collapsed="false">
      <c r="A431" s="1" t="str">
        <f aca="false">Transactions!A431</f>
        <v>TXN500900</v>
      </c>
      <c r="B431" s="1" t="str">
        <f aca="false">Transactions!B431</f>
        <v>ACC1038</v>
      </c>
      <c r="C431" s="1" t="str">
        <f aca="false">Transactions!I431</f>
        <v>2026-01-27</v>
      </c>
      <c r="D431" s="1" t="n">
        <f aca="false">Transactions!J431</f>
        <v>13</v>
      </c>
      <c r="E431" s="1" t="n">
        <f aca="false">Transactions!D431</f>
        <v>31.97</v>
      </c>
      <c r="F431" s="1" t="str">
        <f aca="false">Transactions!H431</f>
        <v>ATM</v>
      </c>
      <c r="G431" s="1" t="str">
        <f aca="false">Transactions!G431</f>
        <v>Cash Withdrawal</v>
      </c>
      <c r="H431" s="1" t="n">
        <f aca="false">IF(COUNTIFS($B$2:$B$1489,B431,$C$2:$C$1489,C431,$D$2:$D$1489,D431)&gt;6,1,0)</f>
        <v>0</v>
      </c>
      <c r="I431" s="1" t="n">
        <f aca="false">IF(AND(F431="Wire",E431&gt;=1000,MOD(E431,1000)=0),1,0)</f>
        <v>0</v>
      </c>
      <c r="J431" s="1" t="n">
        <f aca="false">IF(AND(F431="ATM",E431&gt;2000,D431&lt;=4),1,0)</f>
        <v>0</v>
      </c>
      <c r="K431" s="1" t="n">
        <f aca="false">IF(COUNTIF('SQL Findings'!$A$4:$A$18,B431)&gt;0,1,0)</f>
        <v>0</v>
      </c>
      <c r="L431" s="1" t="n">
        <f aca="false">SUM(H431:K431)</f>
        <v>0</v>
      </c>
      <c r="M431" s="1" t="str">
        <f aca="false">IF(L431&gt;=2,"High",IF(L431=1,"Medium","Low"))</f>
        <v>Low</v>
      </c>
    </row>
    <row r="432" customFormat="false" ht="15" hidden="false" customHeight="true" outlineLevel="0" collapsed="false">
      <c r="A432" s="1" t="str">
        <f aca="false">Transactions!A432</f>
        <v>TXN500539</v>
      </c>
      <c r="B432" s="1" t="str">
        <f aca="false">Transactions!B432</f>
        <v>ACC1023</v>
      </c>
      <c r="C432" s="1" t="str">
        <f aca="false">Transactions!I432</f>
        <v>2026-01-27</v>
      </c>
      <c r="D432" s="1" t="n">
        <f aca="false">Transactions!J432</f>
        <v>13</v>
      </c>
      <c r="E432" s="1" t="n">
        <f aca="false">Transactions!D432</f>
        <v>164.95</v>
      </c>
      <c r="F432" s="1" t="str">
        <f aca="false">Transactions!H432</f>
        <v>POS</v>
      </c>
      <c r="G432" s="1" t="str">
        <f aca="false">Transactions!G432</f>
        <v>Wire Transfer</v>
      </c>
      <c r="H432" s="1" t="n">
        <f aca="false">IF(COUNTIFS($B$2:$B$1489,B432,$C$2:$C$1489,C432,$D$2:$D$1489,D432)&gt;6,1,0)</f>
        <v>0</v>
      </c>
      <c r="I432" s="1" t="n">
        <f aca="false">IF(AND(F432="Wire",E432&gt;=1000,MOD(E432,1000)=0),1,0)</f>
        <v>0</v>
      </c>
      <c r="J432" s="1" t="n">
        <f aca="false">IF(AND(F432="ATM",E432&gt;2000,D432&lt;=4),1,0)</f>
        <v>0</v>
      </c>
      <c r="K432" s="1" t="n">
        <f aca="false">IF(COUNTIF('SQL Findings'!$A$4:$A$18,B432)&gt;0,1,0)</f>
        <v>0</v>
      </c>
      <c r="L432" s="1" t="n">
        <f aca="false">SUM(H432:K432)</f>
        <v>0</v>
      </c>
      <c r="M432" s="1" t="str">
        <f aca="false">IF(L432&gt;=2,"High",IF(L432=1,"Medium","Low"))</f>
        <v>Low</v>
      </c>
    </row>
    <row r="433" customFormat="false" ht="15" hidden="false" customHeight="true" outlineLevel="0" collapsed="false">
      <c r="A433" s="1" t="str">
        <f aca="false">Transactions!A433</f>
        <v>TXN500068</v>
      </c>
      <c r="B433" s="1" t="str">
        <f aca="false">Transactions!B433</f>
        <v>ACC1002</v>
      </c>
      <c r="C433" s="1" t="str">
        <f aca="false">Transactions!I433</f>
        <v>2026-01-27</v>
      </c>
      <c r="D433" s="1" t="n">
        <f aca="false">Transactions!J433</f>
        <v>14</v>
      </c>
      <c r="E433" s="1" t="n">
        <f aca="false">Transactions!D433</f>
        <v>164.54</v>
      </c>
      <c r="F433" s="1" t="str">
        <f aca="false">Transactions!H433</f>
        <v>Online</v>
      </c>
      <c r="G433" s="1" t="str">
        <f aca="false">Transactions!G433</f>
        <v>Electronics</v>
      </c>
      <c r="H433" s="1" t="n">
        <f aca="false">IF(COUNTIFS($B$2:$B$1489,B433,$C$2:$C$1489,C433,$D$2:$D$1489,D433)&gt;6,1,0)</f>
        <v>0</v>
      </c>
      <c r="I433" s="1" t="n">
        <f aca="false">IF(AND(F433="Wire",E433&gt;=1000,MOD(E433,1000)=0),1,0)</f>
        <v>0</v>
      </c>
      <c r="J433" s="1" t="n">
        <f aca="false">IF(AND(F433="ATM",E433&gt;2000,D433&lt;=4),1,0)</f>
        <v>0</v>
      </c>
      <c r="K433" s="1" t="n">
        <f aca="false">IF(COUNTIF('SQL Findings'!$A$4:$A$18,B433)&gt;0,1,0)</f>
        <v>1</v>
      </c>
      <c r="L433" s="1" t="n">
        <f aca="false">SUM(H433:K433)</f>
        <v>1</v>
      </c>
      <c r="M433" s="1" t="str">
        <f aca="false">IF(L433&gt;=2,"High",IF(L433=1,"Medium","Low"))</f>
        <v>Medium</v>
      </c>
    </row>
    <row r="434" customFormat="false" ht="15" hidden="false" customHeight="true" outlineLevel="0" collapsed="false">
      <c r="A434" s="1" t="str">
        <f aca="false">Transactions!A434</f>
        <v>TXN501139</v>
      </c>
      <c r="B434" s="1" t="str">
        <f aca="false">Transactions!B434</f>
        <v>ACC1050</v>
      </c>
      <c r="C434" s="1" t="str">
        <f aca="false">Transactions!I434</f>
        <v>2026-01-27</v>
      </c>
      <c r="D434" s="1" t="n">
        <f aca="false">Transactions!J434</f>
        <v>14</v>
      </c>
      <c r="E434" s="1" t="n">
        <f aca="false">Transactions!D434</f>
        <v>114.17</v>
      </c>
      <c r="F434" s="1" t="str">
        <f aca="false">Transactions!H434</f>
        <v>Online</v>
      </c>
      <c r="G434" s="1" t="str">
        <f aca="false">Transactions!G434</f>
        <v>Electronics</v>
      </c>
      <c r="H434" s="1" t="n">
        <f aca="false">IF(COUNTIFS($B$2:$B$1489,B434,$C$2:$C$1489,C434,$D$2:$D$1489,D434)&gt;6,1,0)</f>
        <v>0</v>
      </c>
      <c r="I434" s="1" t="n">
        <f aca="false">IF(AND(F434="Wire",E434&gt;=1000,MOD(E434,1000)=0),1,0)</f>
        <v>0</v>
      </c>
      <c r="J434" s="1" t="n">
        <f aca="false">IF(AND(F434="ATM",E434&gt;2000,D434&lt;=4),1,0)</f>
        <v>0</v>
      </c>
      <c r="K434" s="1" t="n">
        <f aca="false">IF(COUNTIF('SQL Findings'!$A$4:$A$18,B434)&gt;0,1,0)</f>
        <v>0</v>
      </c>
      <c r="L434" s="1" t="n">
        <f aca="false">SUM(H434:K434)</f>
        <v>0</v>
      </c>
      <c r="M434" s="1" t="str">
        <f aca="false">IF(L434&gt;=2,"High",IF(L434=1,"Medium","Low"))</f>
        <v>Low</v>
      </c>
    </row>
    <row r="435" customFormat="false" ht="15" hidden="false" customHeight="true" outlineLevel="0" collapsed="false">
      <c r="A435" s="1" t="str">
        <f aca="false">Transactions!A435</f>
        <v>TXN501009</v>
      </c>
      <c r="B435" s="1" t="str">
        <f aca="false">Transactions!B435</f>
        <v>ACC1044</v>
      </c>
      <c r="C435" s="1" t="str">
        <f aca="false">Transactions!I435</f>
        <v>2026-01-27</v>
      </c>
      <c r="D435" s="1" t="n">
        <f aca="false">Transactions!J435</f>
        <v>15</v>
      </c>
      <c r="E435" s="1" t="n">
        <f aca="false">Transactions!D435</f>
        <v>171.5</v>
      </c>
      <c r="F435" s="1" t="str">
        <f aca="false">Transactions!H435</f>
        <v>Online</v>
      </c>
      <c r="G435" s="1" t="str">
        <f aca="false">Transactions!G435</f>
        <v>Wire Transfer</v>
      </c>
      <c r="H435" s="1" t="n">
        <f aca="false">IF(COUNTIFS($B$2:$B$1489,B435,$C$2:$C$1489,C435,$D$2:$D$1489,D435)&gt;6,1,0)</f>
        <v>0</v>
      </c>
      <c r="I435" s="1" t="n">
        <f aca="false">IF(AND(F435="Wire",E435&gt;=1000,MOD(E435,1000)=0),1,0)</f>
        <v>0</v>
      </c>
      <c r="J435" s="1" t="n">
        <f aca="false">IF(AND(F435="ATM",E435&gt;2000,D435&lt;=4),1,0)</f>
        <v>0</v>
      </c>
      <c r="K435" s="1" t="n">
        <f aca="false">IF(COUNTIF('SQL Findings'!$A$4:$A$18,B435)&gt;0,1,0)</f>
        <v>0</v>
      </c>
      <c r="L435" s="1" t="n">
        <f aca="false">SUM(H435:K435)</f>
        <v>0</v>
      </c>
      <c r="M435" s="1" t="str">
        <f aca="false">IF(L435&gt;=2,"High",IF(L435=1,"Medium","Low"))</f>
        <v>Low</v>
      </c>
    </row>
    <row r="436" customFormat="false" ht="15" hidden="false" customHeight="true" outlineLevel="0" collapsed="false">
      <c r="A436" s="1" t="str">
        <f aca="false">Transactions!A436</f>
        <v>TXN500437</v>
      </c>
      <c r="B436" s="1" t="str">
        <f aca="false">Transactions!B436</f>
        <v>ACC1019</v>
      </c>
      <c r="C436" s="1" t="str">
        <f aca="false">Transactions!I436</f>
        <v>2026-01-27</v>
      </c>
      <c r="D436" s="1" t="n">
        <f aca="false">Transactions!J436</f>
        <v>15</v>
      </c>
      <c r="E436" s="1" t="n">
        <f aca="false">Transactions!D436</f>
        <v>288.81</v>
      </c>
      <c r="F436" s="1" t="str">
        <f aca="false">Transactions!H436</f>
        <v>Online</v>
      </c>
      <c r="G436" s="1" t="str">
        <f aca="false">Transactions!G436</f>
        <v>Cash Withdrawal</v>
      </c>
      <c r="H436" s="1" t="n">
        <f aca="false">IF(COUNTIFS($B$2:$B$1489,B436,$C$2:$C$1489,C436,$D$2:$D$1489,D436)&gt;6,1,0)</f>
        <v>0</v>
      </c>
      <c r="I436" s="1" t="n">
        <f aca="false">IF(AND(F436="Wire",E436&gt;=1000,MOD(E436,1000)=0),1,0)</f>
        <v>0</v>
      </c>
      <c r="J436" s="1" t="n">
        <f aca="false">IF(AND(F436="ATM",E436&gt;2000,D436&lt;=4),1,0)</f>
        <v>0</v>
      </c>
      <c r="K436" s="1" t="n">
        <f aca="false">IF(COUNTIF('SQL Findings'!$A$4:$A$18,B436)&gt;0,1,0)</f>
        <v>0</v>
      </c>
      <c r="L436" s="1" t="n">
        <f aca="false">SUM(H436:K436)</f>
        <v>0</v>
      </c>
      <c r="M436" s="1" t="str">
        <f aca="false">IF(L436&gt;=2,"High",IF(L436=1,"Medium","Low"))</f>
        <v>Low</v>
      </c>
    </row>
    <row r="437" customFormat="false" ht="15" hidden="false" customHeight="true" outlineLevel="0" collapsed="false">
      <c r="A437" s="1" t="str">
        <f aca="false">Transactions!A437</f>
        <v>TXN501256</v>
      </c>
      <c r="B437" s="1" t="str">
        <f aca="false">Transactions!B437</f>
        <v>ACC1055</v>
      </c>
      <c r="C437" s="1" t="str">
        <f aca="false">Transactions!I437</f>
        <v>2026-01-27</v>
      </c>
      <c r="D437" s="1" t="n">
        <f aca="false">Transactions!J437</f>
        <v>16</v>
      </c>
      <c r="E437" s="1" t="n">
        <f aca="false">Transactions!D437</f>
        <v>22.45</v>
      </c>
      <c r="F437" s="1" t="str">
        <f aca="false">Transactions!H437</f>
        <v>POS</v>
      </c>
      <c r="G437" s="1" t="str">
        <f aca="false">Transactions!G437</f>
        <v>Wire Transfer</v>
      </c>
      <c r="H437" s="1" t="n">
        <f aca="false">IF(COUNTIFS($B$2:$B$1489,B437,$C$2:$C$1489,C437,$D$2:$D$1489,D437)&gt;6,1,0)</f>
        <v>0</v>
      </c>
      <c r="I437" s="1" t="n">
        <f aca="false">IF(AND(F437="Wire",E437&gt;=1000,MOD(E437,1000)=0),1,0)</f>
        <v>0</v>
      </c>
      <c r="J437" s="1" t="n">
        <f aca="false">IF(AND(F437="ATM",E437&gt;2000,D437&lt;=4),1,0)</f>
        <v>0</v>
      </c>
      <c r="K437" s="1" t="n">
        <f aca="false">IF(COUNTIF('SQL Findings'!$A$4:$A$18,B437)&gt;0,1,0)</f>
        <v>1</v>
      </c>
      <c r="L437" s="1" t="n">
        <f aca="false">SUM(H437:K437)</f>
        <v>1</v>
      </c>
      <c r="M437" s="1" t="str">
        <f aca="false">IF(L437&gt;=2,"High",IF(L437=1,"Medium","Low"))</f>
        <v>Medium</v>
      </c>
    </row>
    <row r="438" customFormat="false" ht="15" hidden="false" customHeight="true" outlineLevel="0" collapsed="false">
      <c r="A438" s="1" t="str">
        <f aca="false">Transactions!A438</f>
        <v>TXN500507</v>
      </c>
      <c r="B438" s="1" t="str">
        <f aca="false">Transactions!B438</f>
        <v>ACC1022</v>
      </c>
      <c r="C438" s="1" t="str">
        <f aca="false">Transactions!I438</f>
        <v>2026-01-27</v>
      </c>
      <c r="D438" s="1" t="n">
        <f aca="false">Transactions!J438</f>
        <v>17</v>
      </c>
      <c r="E438" s="1" t="n">
        <f aca="false">Transactions!D438</f>
        <v>39.13</v>
      </c>
      <c r="F438" s="1" t="str">
        <f aca="false">Transactions!H438</f>
        <v>POS</v>
      </c>
      <c r="G438" s="1" t="str">
        <f aca="false">Transactions!G438</f>
        <v>Utilities</v>
      </c>
      <c r="H438" s="1" t="n">
        <f aca="false">IF(COUNTIFS($B$2:$B$1489,B438,$C$2:$C$1489,C438,$D$2:$D$1489,D438)&gt;6,1,0)</f>
        <v>0</v>
      </c>
      <c r="I438" s="1" t="n">
        <f aca="false">IF(AND(F438="Wire",E438&gt;=1000,MOD(E438,1000)=0),1,0)</f>
        <v>0</v>
      </c>
      <c r="J438" s="1" t="n">
        <f aca="false">IF(AND(F438="ATM",E438&gt;2000,D438&lt;=4),1,0)</f>
        <v>0</v>
      </c>
      <c r="K438" s="1" t="n">
        <f aca="false">IF(COUNTIF('SQL Findings'!$A$4:$A$18,B438)&gt;0,1,0)</f>
        <v>0</v>
      </c>
      <c r="L438" s="1" t="n">
        <f aca="false">SUM(H438:K438)</f>
        <v>0</v>
      </c>
      <c r="M438" s="1" t="str">
        <f aca="false">IF(L438&gt;=2,"High",IF(L438=1,"Medium","Low"))</f>
        <v>Low</v>
      </c>
    </row>
    <row r="439" customFormat="false" ht="15" hidden="false" customHeight="true" outlineLevel="0" collapsed="false">
      <c r="A439" s="1" t="str">
        <f aca="false">Transactions!A439</f>
        <v>TXN501488</v>
      </c>
      <c r="B439" s="1" t="str">
        <f aca="false">Transactions!B439</f>
        <v>ACC1014</v>
      </c>
      <c r="C439" s="1" t="str">
        <f aca="false">Transactions!I439</f>
        <v>2026-01-28</v>
      </c>
      <c r="D439" s="1" t="n">
        <f aca="false">Transactions!J439</f>
        <v>4</v>
      </c>
      <c r="E439" s="1" t="n">
        <f aca="false">Transactions!D439</f>
        <v>4343.57</v>
      </c>
      <c r="F439" s="1" t="str">
        <f aca="false">Transactions!H439</f>
        <v>ATM</v>
      </c>
      <c r="G439" s="1" t="str">
        <f aca="false">Transactions!G439</f>
        <v>Cash Withdrawal</v>
      </c>
      <c r="H439" s="1" t="n">
        <f aca="false">IF(COUNTIFS($B$2:$B$1489,B439,$C$2:$C$1489,C439,$D$2:$D$1489,D439)&gt;6,1,0)</f>
        <v>0</v>
      </c>
      <c r="I439" s="1" t="n">
        <f aca="false">IF(AND(F439="Wire",E439&gt;=1000,MOD(E439,1000)=0),1,0)</f>
        <v>0</v>
      </c>
      <c r="J439" s="1" t="n">
        <f aca="false">IF(AND(F439="ATM",E439&gt;2000,D439&lt;=4),1,0)</f>
        <v>1</v>
      </c>
      <c r="K439" s="1" t="n">
        <f aca="false">IF(COUNTIF('SQL Findings'!$A$4:$A$18,B439)&gt;0,1,0)</f>
        <v>1</v>
      </c>
      <c r="L439" s="1" t="n">
        <f aca="false">SUM(H439:K439)</f>
        <v>2</v>
      </c>
      <c r="M439" s="1" t="str">
        <f aca="false">IF(L439&gt;=2,"High",IF(L439=1,"Medium","Low"))</f>
        <v>High</v>
      </c>
    </row>
    <row r="440" customFormat="false" ht="15" hidden="false" customHeight="true" outlineLevel="0" collapsed="false">
      <c r="A440" s="1" t="str">
        <f aca="false">Transactions!A440</f>
        <v>TXN501105</v>
      </c>
      <c r="B440" s="1" t="str">
        <f aca="false">Transactions!B440</f>
        <v>ACC1048</v>
      </c>
      <c r="C440" s="1" t="str">
        <f aca="false">Transactions!I440</f>
        <v>2026-01-28</v>
      </c>
      <c r="D440" s="1" t="n">
        <f aca="false">Transactions!J440</f>
        <v>9</v>
      </c>
      <c r="E440" s="1" t="n">
        <f aca="false">Transactions!D440</f>
        <v>180.8</v>
      </c>
      <c r="F440" s="1" t="str">
        <f aca="false">Transactions!H440</f>
        <v>Online</v>
      </c>
      <c r="G440" s="1" t="str">
        <f aca="false">Transactions!G440</f>
        <v>Online Marketplace</v>
      </c>
      <c r="H440" s="1" t="n">
        <f aca="false">IF(COUNTIFS($B$2:$B$1489,B440,$C$2:$C$1489,C440,$D$2:$D$1489,D440)&gt;6,1,0)</f>
        <v>0</v>
      </c>
      <c r="I440" s="1" t="n">
        <f aca="false">IF(AND(F440="Wire",E440&gt;=1000,MOD(E440,1000)=0),1,0)</f>
        <v>0</v>
      </c>
      <c r="J440" s="1" t="n">
        <f aca="false">IF(AND(F440="ATM",E440&gt;2000,D440&lt;=4),1,0)</f>
        <v>0</v>
      </c>
      <c r="K440" s="1" t="n">
        <f aca="false">IF(COUNTIF('SQL Findings'!$A$4:$A$18,B440)&gt;0,1,0)</f>
        <v>0</v>
      </c>
      <c r="L440" s="1" t="n">
        <f aca="false">SUM(H440:K440)</f>
        <v>0</v>
      </c>
      <c r="M440" s="1" t="str">
        <f aca="false">IF(L440&gt;=2,"High",IF(L440=1,"Medium","Low"))</f>
        <v>Low</v>
      </c>
    </row>
    <row r="441" customFormat="false" ht="15" hidden="false" customHeight="true" outlineLevel="0" collapsed="false">
      <c r="A441" s="1" t="str">
        <f aca="false">Transactions!A441</f>
        <v>TXN500888</v>
      </c>
      <c r="B441" s="1" t="str">
        <f aca="false">Transactions!B441</f>
        <v>ACC1038</v>
      </c>
      <c r="C441" s="1" t="str">
        <f aca="false">Transactions!I441</f>
        <v>2026-01-28</v>
      </c>
      <c r="D441" s="1" t="n">
        <f aca="false">Transactions!J441</f>
        <v>11</v>
      </c>
      <c r="E441" s="1" t="n">
        <f aca="false">Transactions!D441</f>
        <v>48.26</v>
      </c>
      <c r="F441" s="1" t="str">
        <f aca="false">Transactions!H441</f>
        <v>ATM</v>
      </c>
      <c r="G441" s="1" t="str">
        <f aca="false">Transactions!G441</f>
        <v>Dining</v>
      </c>
      <c r="H441" s="1" t="n">
        <f aca="false">IF(COUNTIFS($B$2:$B$1489,B441,$C$2:$C$1489,C441,$D$2:$D$1489,D441)&gt;6,1,0)</f>
        <v>0</v>
      </c>
      <c r="I441" s="1" t="n">
        <f aca="false">IF(AND(F441="Wire",E441&gt;=1000,MOD(E441,1000)=0),1,0)</f>
        <v>0</v>
      </c>
      <c r="J441" s="1" t="n">
        <f aca="false">IF(AND(F441="ATM",E441&gt;2000,D441&lt;=4),1,0)</f>
        <v>0</v>
      </c>
      <c r="K441" s="1" t="n">
        <f aca="false">IF(COUNTIF('SQL Findings'!$A$4:$A$18,B441)&gt;0,1,0)</f>
        <v>0</v>
      </c>
      <c r="L441" s="1" t="n">
        <f aca="false">SUM(H441:K441)</f>
        <v>0</v>
      </c>
      <c r="M441" s="1" t="str">
        <f aca="false">IF(L441&gt;=2,"High",IF(L441=1,"Medium","Low"))</f>
        <v>Low</v>
      </c>
    </row>
    <row r="442" customFormat="false" ht="15" hidden="false" customHeight="true" outlineLevel="0" collapsed="false">
      <c r="A442" s="1" t="str">
        <f aca="false">Transactions!A442</f>
        <v>TXN501017</v>
      </c>
      <c r="B442" s="1" t="str">
        <f aca="false">Transactions!B442</f>
        <v>ACC1044</v>
      </c>
      <c r="C442" s="1" t="str">
        <f aca="false">Transactions!I442</f>
        <v>2026-01-28</v>
      </c>
      <c r="D442" s="1" t="n">
        <f aca="false">Transactions!J442</f>
        <v>12</v>
      </c>
      <c r="E442" s="1" t="n">
        <f aca="false">Transactions!D442</f>
        <v>37.1</v>
      </c>
      <c r="F442" s="1" t="str">
        <f aca="false">Transactions!H442</f>
        <v>ATM</v>
      </c>
      <c r="G442" s="1" t="str">
        <f aca="false">Transactions!G442</f>
        <v>Cash Withdrawal</v>
      </c>
      <c r="H442" s="1" t="n">
        <f aca="false">IF(COUNTIFS($B$2:$B$1489,B442,$C$2:$C$1489,C442,$D$2:$D$1489,D442)&gt;6,1,0)</f>
        <v>0</v>
      </c>
      <c r="I442" s="1" t="n">
        <f aca="false">IF(AND(F442="Wire",E442&gt;=1000,MOD(E442,1000)=0),1,0)</f>
        <v>0</v>
      </c>
      <c r="J442" s="1" t="n">
        <f aca="false">IF(AND(F442="ATM",E442&gt;2000,D442&lt;=4),1,0)</f>
        <v>0</v>
      </c>
      <c r="K442" s="1" t="n">
        <f aca="false">IF(COUNTIF('SQL Findings'!$A$4:$A$18,B442)&gt;0,1,0)</f>
        <v>0</v>
      </c>
      <c r="L442" s="1" t="n">
        <f aca="false">SUM(H442:K442)</f>
        <v>0</v>
      </c>
      <c r="M442" s="1" t="str">
        <f aca="false">IF(L442&gt;=2,"High",IF(L442=1,"Medium","Low"))</f>
        <v>Low</v>
      </c>
    </row>
    <row r="443" customFormat="false" ht="15" hidden="false" customHeight="true" outlineLevel="0" collapsed="false">
      <c r="A443" s="1" t="str">
        <f aca="false">Transactions!A443</f>
        <v>TXN500410</v>
      </c>
      <c r="B443" s="1" t="str">
        <f aca="false">Transactions!B443</f>
        <v>ACC1017</v>
      </c>
      <c r="C443" s="1" t="str">
        <f aca="false">Transactions!I443</f>
        <v>2026-01-28</v>
      </c>
      <c r="D443" s="1" t="n">
        <f aca="false">Transactions!J443</f>
        <v>13</v>
      </c>
      <c r="E443" s="1" t="n">
        <f aca="false">Transactions!D443</f>
        <v>105.95</v>
      </c>
      <c r="F443" s="1" t="str">
        <f aca="false">Transactions!H443</f>
        <v>Online</v>
      </c>
      <c r="G443" s="1" t="str">
        <f aca="false">Transactions!G443</f>
        <v>Retail</v>
      </c>
      <c r="H443" s="1" t="n">
        <f aca="false">IF(COUNTIFS($B$2:$B$1489,B443,$C$2:$C$1489,C443,$D$2:$D$1489,D443)&gt;6,1,0)</f>
        <v>0</v>
      </c>
      <c r="I443" s="1" t="n">
        <f aca="false">IF(AND(F443="Wire",E443&gt;=1000,MOD(E443,1000)=0),1,0)</f>
        <v>0</v>
      </c>
      <c r="J443" s="1" t="n">
        <f aca="false">IF(AND(F443="ATM",E443&gt;2000,D443&lt;=4),1,0)</f>
        <v>0</v>
      </c>
      <c r="K443" s="1" t="n">
        <f aca="false">IF(COUNTIF('SQL Findings'!$A$4:$A$18,B443)&gt;0,1,0)</f>
        <v>0</v>
      </c>
      <c r="L443" s="1" t="n">
        <f aca="false">SUM(H443:K443)</f>
        <v>0</v>
      </c>
      <c r="M443" s="1" t="str">
        <f aca="false">IF(L443&gt;=2,"High",IF(L443=1,"Medium","Low"))</f>
        <v>Low</v>
      </c>
    </row>
    <row r="444" customFormat="false" ht="15" hidden="false" customHeight="true" outlineLevel="0" collapsed="false">
      <c r="A444" s="1" t="str">
        <f aca="false">Transactions!A444</f>
        <v>TXN500146</v>
      </c>
      <c r="B444" s="1" t="str">
        <f aca="false">Transactions!B444</f>
        <v>ACC1006</v>
      </c>
      <c r="C444" s="1" t="str">
        <f aca="false">Transactions!I444</f>
        <v>2026-01-28</v>
      </c>
      <c r="D444" s="1" t="n">
        <f aca="false">Transactions!J444</f>
        <v>15</v>
      </c>
      <c r="E444" s="1" t="n">
        <f aca="false">Transactions!D444</f>
        <v>134.78</v>
      </c>
      <c r="F444" s="1" t="str">
        <f aca="false">Transactions!H444</f>
        <v>POS</v>
      </c>
      <c r="G444" s="1" t="str">
        <f aca="false">Transactions!G444</f>
        <v>Utilities</v>
      </c>
      <c r="H444" s="1" t="n">
        <f aca="false">IF(COUNTIFS($B$2:$B$1489,B444,$C$2:$C$1489,C444,$D$2:$D$1489,D444)&gt;6,1,0)</f>
        <v>0</v>
      </c>
      <c r="I444" s="1" t="n">
        <f aca="false">IF(AND(F444="Wire",E444&gt;=1000,MOD(E444,1000)=0),1,0)</f>
        <v>0</v>
      </c>
      <c r="J444" s="1" t="n">
        <f aca="false">IF(AND(F444="ATM",E444&gt;2000,D444&lt;=4),1,0)</f>
        <v>0</v>
      </c>
      <c r="K444" s="1" t="n">
        <f aca="false">IF(COUNTIF('SQL Findings'!$A$4:$A$18,B444)&gt;0,1,0)</f>
        <v>0</v>
      </c>
      <c r="L444" s="1" t="n">
        <f aca="false">SUM(H444:K444)</f>
        <v>0</v>
      </c>
      <c r="M444" s="1" t="str">
        <f aca="false">IF(L444&gt;=2,"High",IF(L444=1,"Medium","Low"))</f>
        <v>Low</v>
      </c>
    </row>
    <row r="445" customFormat="false" ht="15" hidden="false" customHeight="true" outlineLevel="0" collapsed="false">
      <c r="A445" s="1" t="str">
        <f aca="false">Transactions!A445</f>
        <v>TXN501155</v>
      </c>
      <c r="B445" s="1" t="str">
        <f aca="false">Transactions!B445</f>
        <v>ACC1051</v>
      </c>
      <c r="C445" s="1" t="str">
        <f aca="false">Transactions!I445</f>
        <v>2026-01-28</v>
      </c>
      <c r="D445" s="1" t="n">
        <f aca="false">Transactions!J445</f>
        <v>17</v>
      </c>
      <c r="E445" s="1" t="n">
        <f aca="false">Transactions!D445</f>
        <v>292.31</v>
      </c>
      <c r="F445" s="1" t="str">
        <f aca="false">Transactions!H445</f>
        <v>ATM</v>
      </c>
      <c r="G445" s="1" t="str">
        <f aca="false">Transactions!G445</f>
        <v>Utilities</v>
      </c>
      <c r="H445" s="1" t="n">
        <f aca="false">IF(COUNTIFS($B$2:$B$1489,B445,$C$2:$C$1489,C445,$D$2:$D$1489,D445)&gt;6,1,0)</f>
        <v>0</v>
      </c>
      <c r="I445" s="1" t="n">
        <f aca="false">IF(AND(F445="Wire",E445&gt;=1000,MOD(E445,1000)=0),1,0)</f>
        <v>0</v>
      </c>
      <c r="J445" s="1" t="n">
        <f aca="false">IF(AND(F445="ATM",E445&gt;2000,D445&lt;=4),1,0)</f>
        <v>0</v>
      </c>
      <c r="K445" s="1" t="n">
        <f aca="false">IF(COUNTIF('SQL Findings'!$A$4:$A$18,B445)&gt;0,1,0)</f>
        <v>0</v>
      </c>
      <c r="L445" s="1" t="n">
        <f aca="false">SUM(H445:K445)</f>
        <v>0</v>
      </c>
      <c r="M445" s="1" t="str">
        <f aca="false">IF(L445&gt;=2,"High",IF(L445=1,"Medium","Low"))</f>
        <v>Low</v>
      </c>
    </row>
    <row r="446" customFormat="false" ht="15" hidden="false" customHeight="true" outlineLevel="0" collapsed="false">
      <c r="A446" s="1" t="str">
        <f aca="false">Transactions!A446</f>
        <v>TXN501476</v>
      </c>
      <c r="B446" s="1" t="str">
        <f aca="false">Transactions!B446</f>
        <v>ACC1057</v>
      </c>
      <c r="C446" s="1" t="str">
        <f aca="false">Transactions!I446</f>
        <v>2026-01-28</v>
      </c>
      <c r="D446" s="1" t="n">
        <f aca="false">Transactions!J446</f>
        <v>18</v>
      </c>
      <c r="E446" s="1" t="n">
        <f aca="false">Transactions!D446</f>
        <v>436.74</v>
      </c>
      <c r="F446" s="1" t="str">
        <f aca="false">Transactions!H446</f>
        <v>POS</v>
      </c>
      <c r="G446" s="1" t="str">
        <f aca="false">Transactions!G446</f>
        <v>Dining</v>
      </c>
      <c r="H446" s="1" t="n">
        <f aca="false">IF(COUNTIFS($B$2:$B$1489,B446,$C$2:$C$1489,C446,$D$2:$D$1489,D446)&gt;6,1,0)</f>
        <v>0</v>
      </c>
      <c r="I446" s="1" t="n">
        <f aca="false">IF(AND(F446="Wire",E446&gt;=1000,MOD(E446,1000)=0),1,0)</f>
        <v>0</v>
      </c>
      <c r="J446" s="1" t="n">
        <f aca="false">IF(AND(F446="ATM",E446&gt;2000,D446&lt;=4),1,0)</f>
        <v>0</v>
      </c>
      <c r="K446" s="1" t="n">
        <f aca="false">IF(COUNTIF('SQL Findings'!$A$4:$A$18,B446)&gt;0,1,0)</f>
        <v>1</v>
      </c>
      <c r="L446" s="1" t="n">
        <f aca="false">SUM(H446:K446)</f>
        <v>1</v>
      </c>
      <c r="M446" s="1" t="str">
        <f aca="false">IF(L446&gt;=2,"High",IF(L446=1,"Medium","Low"))</f>
        <v>Medium</v>
      </c>
    </row>
    <row r="447" customFormat="false" ht="15" hidden="false" customHeight="true" outlineLevel="0" collapsed="false">
      <c r="A447" s="1" t="str">
        <f aca="false">Transactions!A447</f>
        <v>TXN501477</v>
      </c>
      <c r="B447" s="1" t="str">
        <f aca="false">Transactions!B447</f>
        <v>ACC1057</v>
      </c>
      <c r="C447" s="1" t="str">
        <f aca="false">Transactions!I447</f>
        <v>2026-01-28</v>
      </c>
      <c r="D447" s="1" t="n">
        <f aca="false">Transactions!J447</f>
        <v>18</v>
      </c>
      <c r="E447" s="1" t="n">
        <f aca="false">Transactions!D447</f>
        <v>436.74</v>
      </c>
      <c r="F447" s="1" t="str">
        <f aca="false">Transactions!H447</f>
        <v>POS</v>
      </c>
      <c r="G447" s="1" t="str">
        <f aca="false">Transactions!G447</f>
        <v>Dining</v>
      </c>
      <c r="H447" s="1" t="n">
        <f aca="false">IF(COUNTIFS($B$2:$B$1489,B447,$C$2:$C$1489,C447,$D$2:$D$1489,D447)&gt;6,1,0)</f>
        <v>0</v>
      </c>
      <c r="I447" s="1" t="n">
        <f aca="false">IF(AND(F447="Wire",E447&gt;=1000,MOD(E447,1000)=0),1,0)</f>
        <v>0</v>
      </c>
      <c r="J447" s="1" t="n">
        <f aca="false">IF(AND(F447="ATM",E447&gt;2000,D447&lt;=4),1,0)</f>
        <v>0</v>
      </c>
      <c r="K447" s="1" t="n">
        <f aca="false">IF(COUNTIF('SQL Findings'!$A$4:$A$18,B447)&gt;0,1,0)</f>
        <v>1</v>
      </c>
      <c r="L447" s="1" t="n">
        <f aca="false">SUM(H447:K447)</f>
        <v>1</v>
      </c>
      <c r="M447" s="1" t="str">
        <f aca="false">IF(L447&gt;=2,"High",IF(L447=1,"Medium","Low"))</f>
        <v>Medium</v>
      </c>
    </row>
    <row r="448" customFormat="false" ht="15" hidden="false" customHeight="true" outlineLevel="0" collapsed="false">
      <c r="A448" s="1" t="str">
        <f aca="false">Transactions!A448</f>
        <v>TXN500968</v>
      </c>
      <c r="B448" s="1" t="str">
        <f aca="false">Transactions!B448</f>
        <v>ACC1042</v>
      </c>
      <c r="C448" s="1" t="str">
        <f aca="false">Transactions!I448</f>
        <v>2026-01-28</v>
      </c>
      <c r="D448" s="1" t="n">
        <f aca="false">Transactions!J448</f>
        <v>19</v>
      </c>
      <c r="E448" s="1" t="n">
        <f aca="false">Transactions!D448</f>
        <v>337.26</v>
      </c>
      <c r="F448" s="1" t="str">
        <f aca="false">Transactions!H448</f>
        <v>ATM</v>
      </c>
      <c r="G448" s="1" t="str">
        <f aca="false">Transactions!G448</f>
        <v>Utilities</v>
      </c>
      <c r="H448" s="1" t="n">
        <f aca="false">IF(COUNTIFS($B$2:$B$1489,B448,$C$2:$C$1489,C448,$D$2:$D$1489,D448)&gt;6,1,0)</f>
        <v>0</v>
      </c>
      <c r="I448" s="1" t="n">
        <f aca="false">IF(AND(F448="Wire",E448&gt;=1000,MOD(E448,1000)=0),1,0)</f>
        <v>0</v>
      </c>
      <c r="J448" s="1" t="n">
        <f aca="false">IF(AND(F448="ATM",E448&gt;2000,D448&lt;=4),1,0)</f>
        <v>0</v>
      </c>
      <c r="K448" s="1" t="n">
        <f aca="false">IF(COUNTIF('SQL Findings'!$A$4:$A$18,B448)&gt;0,1,0)</f>
        <v>1</v>
      </c>
      <c r="L448" s="1" t="n">
        <f aca="false">SUM(H448:K448)</f>
        <v>1</v>
      </c>
      <c r="M448" s="1" t="str">
        <f aca="false">IF(L448&gt;=2,"High",IF(L448=1,"Medium","Low"))</f>
        <v>Medium</v>
      </c>
    </row>
    <row r="449" customFormat="false" ht="15" hidden="false" customHeight="true" outlineLevel="0" collapsed="false">
      <c r="A449" s="1" t="str">
        <f aca="false">Transactions!A449</f>
        <v>TXN500508</v>
      </c>
      <c r="B449" s="1" t="str">
        <f aca="false">Transactions!B449</f>
        <v>ACC1022</v>
      </c>
      <c r="C449" s="1" t="str">
        <f aca="false">Transactions!I449</f>
        <v>2026-01-28</v>
      </c>
      <c r="D449" s="1" t="n">
        <f aca="false">Transactions!J449</f>
        <v>20</v>
      </c>
      <c r="E449" s="1" t="n">
        <f aca="false">Transactions!D449</f>
        <v>30.64</v>
      </c>
      <c r="F449" s="1" t="str">
        <f aca="false">Transactions!H449</f>
        <v>ATM</v>
      </c>
      <c r="G449" s="1" t="str">
        <f aca="false">Transactions!G449</f>
        <v>Electronics</v>
      </c>
      <c r="H449" s="1" t="n">
        <f aca="false">IF(COUNTIFS($B$2:$B$1489,B449,$C$2:$C$1489,C449,$D$2:$D$1489,D449)&gt;6,1,0)</f>
        <v>0</v>
      </c>
      <c r="I449" s="1" t="n">
        <f aca="false">IF(AND(F449="Wire",E449&gt;=1000,MOD(E449,1000)=0),1,0)</f>
        <v>0</v>
      </c>
      <c r="J449" s="1" t="n">
        <f aca="false">IF(AND(F449="ATM",E449&gt;2000,D449&lt;=4),1,0)</f>
        <v>0</v>
      </c>
      <c r="K449" s="1" t="n">
        <f aca="false">IF(COUNTIF('SQL Findings'!$A$4:$A$18,B449)&gt;0,1,0)</f>
        <v>0</v>
      </c>
      <c r="L449" s="1" t="n">
        <f aca="false">SUM(H449:K449)</f>
        <v>0</v>
      </c>
      <c r="M449" s="1" t="str">
        <f aca="false">IF(L449&gt;=2,"High",IF(L449=1,"Medium","Low"))</f>
        <v>Low</v>
      </c>
    </row>
    <row r="450" customFormat="false" ht="15" hidden="false" customHeight="true" outlineLevel="0" collapsed="false">
      <c r="A450" s="1" t="str">
        <f aca="false">Transactions!A450</f>
        <v>TXN501115</v>
      </c>
      <c r="B450" s="1" t="str">
        <f aca="false">Transactions!B450</f>
        <v>ACC1049</v>
      </c>
      <c r="C450" s="1" t="str">
        <f aca="false">Transactions!I450</f>
        <v>2026-01-28</v>
      </c>
      <c r="D450" s="1" t="n">
        <f aca="false">Transactions!J450</f>
        <v>22</v>
      </c>
      <c r="E450" s="1" t="n">
        <f aca="false">Transactions!D450</f>
        <v>76.35</v>
      </c>
      <c r="F450" s="1" t="str">
        <f aca="false">Transactions!H450</f>
        <v>Online</v>
      </c>
      <c r="G450" s="1" t="str">
        <f aca="false">Transactions!G450</f>
        <v>Wire Transfer</v>
      </c>
      <c r="H450" s="1" t="n">
        <f aca="false">IF(COUNTIFS($B$2:$B$1489,B450,$C$2:$C$1489,C450,$D$2:$D$1489,D450)&gt;6,1,0)</f>
        <v>0</v>
      </c>
      <c r="I450" s="1" t="n">
        <f aca="false">IF(AND(F450="Wire",E450&gt;=1000,MOD(E450,1000)=0),1,0)</f>
        <v>0</v>
      </c>
      <c r="J450" s="1" t="n">
        <f aca="false">IF(AND(F450="ATM",E450&gt;2000,D450&lt;=4),1,0)</f>
        <v>0</v>
      </c>
      <c r="K450" s="1" t="n">
        <f aca="false">IF(COUNTIF('SQL Findings'!$A$4:$A$18,B450)&gt;0,1,0)</f>
        <v>0</v>
      </c>
      <c r="L450" s="1" t="n">
        <f aca="false">SUM(H450:K450)</f>
        <v>0</v>
      </c>
      <c r="M450" s="1" t="str">
        <f aca="false">IF(L450&gt;=2,"High",IF(L450=1,"Medium","Low"))</f>
        <v>Low</v>
      </c>
    </row>
    <row r="451" customFormat="false" ht="15" hidden="false" customHeight="true" outlineLevel="0" collapsed="false">
      <c r="A451" s="1" t="str">
        <f aca="false">Transactions!A451</f>
        <v>TXN500612</v>
      </c>
      <c r="B451" s="1" t="str">
        <f aca="false">Transactions!B451</f>
        <v>ACC1027</v>
      </c>
      <c r="C451" s="1" t="str">
        <f aca="false">Transactions!I451</f>
        <v>2026-01-28</v>
      </c>
      <c r="D451" s="1" t="n">
        <f aca="false">Transactions!J451</f>
        <v>23</v>
      </c>
      <c r="E451" s="1" t="n">
        <f aca="false">Transactions!D451</f>
        <v>63.43</v>
      </c>
      <c r="F451" s="1" t="str">
        <f aca="false">Transactions!H451</f>
        <v>Online</v>
      </c>
      <c r="G451" s="1" t="str">
        <f aca="false">Transactions!G451</f>
        <v>Dining</v>
      </c>
      <c r="H451" s="1" t="n">
        <f aca="false">IF(COUNTIFS($B$2:$B$1489,B451,$C$2:$C$1489,C451,$D$2:$D$1489,D451)&gt;6,1,0)</f>
        <v>0</v>
      </c>
      <c r="I451" s="1" t="n">
        <f aca="false">IF(AND(F451="Wire",E451&gt;=1000,MOD(E451,1000)=0),1,0)</f>
        <v>0</v>
      </c>
      <c r="J451" s="1" t="n">
        <f aca="false">IF(AND(F451="ATM",E451&gt;2000,D451&lt;=4),1,0)</f>
        <v>0</v>
      </c>
      <c r="K451" s="1" t="n">
        <f aca="false">IF(COUNTIF('SQL Findings'!$A$4:$A$18,B451)&gt;0,1,0)</f>
        <v>0</v>
      </c>
      <c r="L451" s="1" t="n">
        <f aca="false">SUM(H451:K451)</f>
        <v>0</v>
      </c>
      <c r="M451" s="1" t="str">
        <f aca="false">IF(L451&gt;=2,"High",IF(L451=1,"Medium","Low"))</f>
        <v>Low</v>
      </c>
    </row>
    <row r="452" customFormat="false" ht="15" hidden="false" customHeight="true" outlineLevel="0" collapsed="false">
      <c r="A452" s="1" t="str">
        <f aca="false">Transactions!A452</f>
        <v>TXN501215</v>
      </c>
      <c r="B452" s="1" t="str">
        <f aca="false">Transactions!B452</f>
        <v>ACC1053</v>
      </c>
      <c r="C452" s="1" t="str">
        <f aca="false">Transactions!I452</f>
        <v>2026-01-29</v>
      </c>
      <c r="D452" s="1" t="n">
        <f aca="false">Transactions!J452</f>
        <v>1</v>
      </c>
      <c r="E452" s="1" t="n">
        <f aca="false">Transactions!D452</f>
        <v>51.14</v>
      </c>
      <c r="F452" s="1" t="str">
        <f aca="false">Transactions!H452</f>
        <v>Online</v>
      </c>
      <c r="G452" s="1" t="str">
        <f aca="false">Transactions!G452</f>
        <v>Retail</v>
      </c>
      <c r="H452" s="1" t="n">
        <f aca="false">IF(COUNTIFS($B$2:$B$1489,B452,$C$2:$C$1489,C452,$D$2:$D$1489,D452)&gt;6,1,0)</f>
        <v>0</v>
      </c>
      <c r="I452" s="1" t="n">
        <f aca="false">IF(AND(F452="Wire",E452&gt;=1000,MOD(E452,1000)=0),1,0)</f>
        <v>0</v>
      </c>
      <c r="J452" s="1" t="n">
        <f aca="false">IF(AND(F452="ATM",E452&gt;2000,D452&lt;=4),1,0)</f>
        <v>0</v>
      </c>
      <c r="K452" s="1" t="n">
        <f aca="false">IF(COUNTIF('SQL Findings'!$A$4:$A$18,B452)&gt;0,1,0)</f>
        <v>0</v>
      </c>
      <c r="L452" s="1" t="n">
        <f aca="false">SUM(H452:K452)</f>
        <v>0</v>
      </c>
      <c r="M452" s="1" t="str">
        <f aca="false">IF(L452&gt;=2,"High",IF(L452=1,"Medium","Low"))</f>
        <v>Low</v>
      </c>
    </row>
    <row r="453" customFormat="false" ht="15" hidden="false" customHeight="true" outlineLevel="0" collapsed="false">
      <c r="A453" s="1" t="str">
        <f aca="false">Transactions!A453</f>
        <v>TXN500381</v>
      </c>
      <c r="B453" s="1" t="str">
        <f aca="false">Transactions!B453</f>
        <v>ACC1016</v>
      </c>
      <c r="C453" s="1" t="str">
        <f aca="false">Transactions!I453</f>
        <v>2026-01-29</v>
      </c>
      <c r="D453" s="1" t="n">
        <f aca="false">Transactions!J453</f>
        <v>5</v>
      </c>
      <c r="E453" s="1" t="n">
        <f aca="false">Transactions!D453</f>
        <v>31.32</v>
      </c>
      <c r="F453" s="1" t="str">
        <f aca="false">Transactions!H453</f>
        <v>POS</v>
      </c>
      <c r="G453" s="1" t="str">
        <f aca="false">Transactions!G453</f>
        <v>Travel</v>
      </c>
      <c r="H453" s="1" t="n">
        <f aca="false">IF(COUNTIFS($B$2:$B$1489,B453,$C$2:$C$1489,C453,$D$2:$D$1489,D453)&gt;6,1,0)</f>
        <v>0</v>
      </c>
      <c r="I453" s="1" t="n">
        <f aca="false">IF(AND(F453="Wire",E453&gt;=1000,MOD(E453,1000)=0),1,0)</f>
        <v>0</v>
      </c>
      <c r="J453" s="1" t="n">
        <f aca="false">IF(AND(F453="ATM",E453&gt;2000,D453&lt;=4),1,0)</f>
        <v>0</v>
      </c>
      <c r="K453" s="1" t="n">
        <f aca="false">IF(COUNTIF('SQL Findings'!$A$4:$A$18,B453)&gt;0,1,0)</f>
        <v>0</v>
      </c>
      <c r="L453" s="1" t="n">
        <f aca="false">SUM(H453:K453)</f>
        <v>0</v>
      </c>
      <c r="M453" s="1" t="str">
        <f aca="false">IF(L453&gt;=2,"High",IF(L453=1,"Medium","Low"))</f>
        <v>Low</v>
      </c>
    </row>
    <row r="454" customFormat="false" ht="15" hidden="false" customHeight="true" outlineLevel="0" collapsed="false">
      <c r="A454" s="1" t="str">
        <f aca="false">Transactions!A454</f>
        <v>TXN500097</v>
      </c>
      <c r="B454" s="1" t="str">
        <f aca="false">Transactions!B454</f>
        <v>ACC1004</v>
      </c>
      <c r="C454" s="1" t="str">
        <f aca="false">Transactions!I454</f>
        <v>2026-01-29</v>
      </c>
      <c r="D454" s="1" t="n">
        <f aca="false">Transactions!J454</f>
        <v>6</v>
      </c>
      <c r="E454" s="1" t="n">
        <f aca="false">Transactions!D454</f>
        <v>87.05</v>
      </c>
      <c r="F454" s="1" t="str">
        <f aca="false">Transactions!H454</f>
        <v>POS</v>
      </c>
      <c r="G454" s="1" t="str">
        <f aca="false">Transactions!G454</f>
        <v>Online Marketplace</v>
      </c>
      <c r="H454" s="1" t="n">
        <f aca="false">IF(COUNTIFS($B$2:$B$1489,B454,$C$2:$C$1489,C454,$D$2:$D$1489,D454)&gt;6,1,0)</f>
        <v>0</v>
      </c>
      <c r="I454" s="1" t="n">
        <f aca="false">IF(AND(F454="Wire",E454&gt;=1000,MOD(E454,1000)=0),1,0)</f>
        <v>0</v>
      </c>
      <c r="J454" s="1" t="n">
        <f aca="false">IF(AND(F454="ATM",E454&gt;2000,D454&lt;=4),1,0)</f>
        <v>0</v>
      </c>
      <c r="K454" s="1" t="n">
        <f aca="false">IF(COUNTIF('SQL Findings'!$A$4:$A$18,B454)&gt;0,1,0)</f>
        <v>1</v>
      </c>
      <c r="L454" s="1" t="n">
        <f aca="false">SUM(H454:K454)</f>
        <v>1</v>
      </c>
      <c r="M454" s="1" t="str">
        <f aca="false">IF(L454&gt;=2,"High",IF(L454=1,"Medium","Low"))</f>
        <v>Medium</v>
      </c>
    </row>
    <row r="455" customFormat="false" ht="15" hidden="false" customHeight="true" outlineLevel="0" collapsed="false">
      <c r="A455" s="1" t="str">
        <f aca="false">Transactions!A455</f>
        <v>TXN500467</v>
      </c>
      <c r="B455" s="1" t="str">
        <f aca="false">Transactions!B455</f>
        <v>ACC1021</v>
      </c>
      <c r="C455" s="1" t="str">
        <f aca="false">Transactions!I455</f>
        <v>2026-01-29</v>
      </c>
      <c r="D455" s="1" t="n">
        <f aca="false">Transactions!J455</f>
        <v>7</v>
      </c>
      <c r="E455" s="1" t="n">
        <f aca="false">Transactions!D455</f>
        <v>115.9</v>
      </c>
      <c r="F455" s="1" t="str">
        <f aca="false">Transactions!H455</f>
        <v>POS</v>
      </c>
      <c r="G455" s="1" t="str">
        <f aca="false">Transactions!G455</f>
        <v>Online Marketplace</v>
      </c>
      <c r="H455" s="1" t="n">
        <f aca="false">IF(COUNTIFS($B$2:$B$1489,B455,$C$2:$C$1489,C455,$D$2:$D$1489,D455)&gt;6,1,0)</f>
        <v>0</v>
      </c>
      <c r="I455" s="1" t="n">
        <f aca="false">IF(AND(F455="Wire",E455&gt;=1000,MOD(E455,1000)=0),1,0)</f>
        <v>0</v>
      </c>
      <c r="J455" s="1" t="n">
        <f aca="false">IF(AND(F455="ATM",E455&gt;2000,D455&lt;=4),1,0)</f>
        <v>0</v>
      </c>
      <c r="K455" s="1" t="n">
        <f aca="false">IF(COUNTIF('SQL Findings'!$A$4:$A$18,B455)&gt;0,1,0)</f>
        <v>0</v>
      </c>
      <c r="L455" s="1" t="n">
        <f aca="false">SUM(H455:K455)</f>
        <v>0</v>
      </c>
      <c r="M455" s="1" t="str">
        <f aca="false">IF(L455&gt;=2,"High",IF(L455=1,"Medium","Low"))</f>
        <v>Low</v>
      </c>
    </row>
    <row r="456" customFormat="false" ht="15" hidden="false" customHeight="true" outlineLevel="0" collapsed="false">
      <c r="A456" s="1" t="str">
        <f aca="false">Transactions!A456</f>
        <v>TXN501096</v>
      </c>
      <c r="B456" s="1" t="str">
        <f aca="false">Transactions!B456</f>
        <v>ACC1048</v>
      </c>
      <c r="C456" s="1" t="str">
        <f aca="false">Transactions!I456</f>
        <v>2026-01-29</v>
      </c>
      <c r="D456" s="1" t="n">
        <f aca="false">Transactions!J456</f>
        <v>8</v>
      </c>
      <c r="E456" s="1" t="n">
        <f aca="false">Transactions!D456</f>
        <v>62.01</v>
      </c>
      <c r="F456" s="1" t="str">
        <f aca="false">Transactions!H456</f>
        <v>ATM</v>
      </c>
      <c r="G456" s="1" t="str">
        <f aca="false">Transactions!G456</f>
        <v>Dining</v>
      </c>
      <c r="H456" s="1" t="n">
        <f aca="false">IF(COUNTIFS($B$2:$B$1489,B456,$C$2:$C$1489,C456,$D$2:$D$1489,D456)&gt;6,1,0)</f>
        <v>0</v>
      </c>
      <c r="I456" s="1" t="n">
        <f aca="false">IF(AND(F456="Wire",E456&gt;=1000,MOD(E456,1000)=0),1,0)</f>
        <v>0</v>
      </c>
      <c r="J456" s="1" t="n">
        <f aca="false">IF(AND(F456="ATM",E456&gt;2000,D456&lt;=4),1,0)</f>
        <v>0</v>
      </c>
      <c r="K456" s="1" t="n">
        <f aca="false">IF(COUNTIF('SQL Findings'!$A$4:$A$18,B456)&gt;0,1,0)</f>
        <v>0</v>
      </c>
      <c r="L456" s="1" t="n">
        <f aca="false">SUM(H456:K456)</f>
        <v>0</v>
      </c>
      <c r="M456" s="1" t="str">
        <f aca="false">IF(L456&gt;=2,"High",IF(L456=1,"Medium","Low"))</f>
        <v>Low</v>
      </c>
    </row>
    <row r="457" customFormat="false" ht="15" hidden="false" customHeight="true" outlineLevel="0" collapsed="false">
      <c r="A457" s="1" t="str">
        <f aca="false">Transactions!A457</f>
        <v>TXN500111</v>
      </c>
      <c r="B457" s="1" t="str">
        <f aca="false">Transactions!B457</f>
        <v>ACC1004</v>
      </c>
      <c r="C457" s="1" t="str">
        <f aca="false">Transactions!I457</f>
        <v>2026-01-29</v>
      </c>
      <c r="D457" s="1" t="n">
        <f aca="false">Transactions!J457</f>
        <v>8</v>
      </c>
      <c r="E457" s="1" t="n">
        <f aca="false">Transactions!D457</f>
        <v>11.86</v>
      </c>
      <c r="F457" s="1" t="str">
        <f aca="false">Transactions!H457</f>
        <v>Online</v>
      </c>
      <c r="G457" s="1" t="str">
        <f aca="false">Transactions!G457</f>
        <v>Retail</v>
      </c>
      <c r="H457" s="1" t="n">
        <f aca="false">IF(COUNTIFS($B$2:$B$1489,B457,$C$2:$C$1489,C457,$D$2:$D$1489,D457)&gt;6,1,0)</f>
        <v>0</v>
      </c>
      <c r="I457" s="1" t="n">
        <f aca="false">IF(AND(F457="Wire",E457&gt;=1000,MOD(E457,1000)=0),1,0)</f>
        <v>0</v>
      </c>
      <c r="J457" s="1" t="n">
        <f aca="false">IF(AND(F457="ATM",E457&gt;2000,D457&lt;=4),1,0)</f>
        <v>0</v>
      </c>
      <c r="K457" s="1" t="n">
        <f aca="false">IF(COUNTIF('SQL Findings'!$A$4:$A$18,B457)&gt;0,1,0)</f>
        <v>1</v>
      </c>
      <c r="L457" s="1" t="n">
        <f aca="false">SUM(H457:K457)</f>
        <v>1</v>
      </c>
      <c r="M457" s="1" t="str">
        <f aca="false">IF(L457&gt;=2,"High",IF(L457=1,"Medium","Low"))</f>
        <v>Medium</v>
      </c>
    </row>
    <row r="458" customFormat="false" ht="15" hidden="false" customHeight="true" outlineLevel="0" collapsed="false">
      <c r="A458" s="1" t="str">
        <f aca="false">Transactions!A458</f>
        <v>TXN501031</v>
      </c>
      <c r="B458" s="1" t="str">
        <f aca="false">Transactions!B458</f>
        <v>ACC1045</v>
      </c>
      <c r="C458" s="1" t="str">
        <f aca="false">Transactions!I458</f>
        <v>2026-01-29</v>
      </c>
      <c r="D458" s="1" t="n">
        <f aca="false">Transactions!J458</f>
        <v>13</v>
      </c>
      <c r="E458" s="1" t="n">
        <f aca="false">Transactions!D458</f>
        <v>52.9</v>
      </c>
      <c r="F458" s="1" t="str">
        <f aca="false">Transactions!H458</f>
        <v>Online</v>
      </c>
      <c r="G458" s="1" t="str">
        <f aca="false">Transactions!G458</f>
        <v>Online Marketplace</v>
      </c>
      <c r="H458" s="1" t="n">
        <f aca="false">IF(COUNTIFS($B$2:$B$1489,B458,$C$2:$C$1489,C458,$D$2:$D$1489,D458)&gt;6,1,0)</f>
        <v>0</v>
      </c>
      <c r="I458" s="1" t="n">
        <f aca="false">IF(AND(F458="Wire",E458&gt;=1000,MOD(E458,1000)=0),1,0)</f>
        <v>0</v>
      </c>
      <c r="J458" s="1" t="n">
        <f aca="false">IF(AND(F458="ATM",E458&gt;2000,D458&lt;=4),1,0)</f>
        <v>0</v>
      </c>
      <c r="K458" s="1" t="n">
        <f aca="false">IF(COUNTIF('SQL Findings'!$A$4:$A$18,B458)&gt;0,1,0)</f>
        <v>0</v>
      </c>
      <c r="L458" s="1" t="n">
        <f aca="false">SUM(H458:K458)</f>
        <v>0</v>
      </c>
      <c r="M458" s="1" t="str">
        <f aca="false">IF(L458&gt;=2,"High",IF(L458=1,"Medium","Low"))</f>
        <v>Low</v>
      </c>
    </row>
    <row r="459" customFormat="false" ht="15" hidden="false" customHeight="true" outlineLevel="0" collapsed="false">
      <c r="A459" s="1" t="str">
        <f aca="false">Transactions!A459</f>
        <v>TXN501410</v>
      </c>
      <c r="B459" s="1" t="str">
        <f aca="false">Transactions!B459</f>
        <v>ACC1023</v>
      </c>
      <c r="C459" s="1" t="str">
        <f aca="false">Transactions!I459</f>
        <v>2026-01-29</v>
      </c>
      <c r="D459" s="1" t="n">
        <f aca="false">Transactions!J459</f>
        <v>14</v>
      </c>
      <c r="E459" s="1" t="n">
        <f aca="false">Transactions!D459</f>
        <v>419.99</v>
      </c>
      <c r="F459" s="1" t="str">
        <f aca="false">Transactions!H459</f>
        <v>Online</v>
      </c>
      <c r="G459" s="1" t="str">
        <f aca="false">Transactions!G459</f>
        <v>Online Marketplace</v>
      </c>
      <c r="H459" s="1" t="n">
        <f aca="false">IF(COUNTIFS($B$2:$B$1489,B459,$C$2:$C$1489,C459,$D$2:$D$1489,D459)&gt;6,1,0)</f>
        <v>1</v>
      </c>
      <c r="I459" s="1" t="n">
        <f aca="false">IF(AND(F459="Wire",E459&gt;=1000,MOD(E459,1000)=0),1,0)</f>
        <v>0</v>
      </c>
      <c r="J459" s="1" t="n">
        <f aca="false">IF(AND(F459="ATM",E459&gt;2000,D459&lt;=4),1,0)</f>
        <v>0</v>
      </c>
      <c r="K459" s="1" t="n">
        <f aca="false">IF(COUNTIF('SQL Findings'!$A$4:$A$18,B459)&gt;0,1,0)</f>
        <v>0</v>
      </c>
      <c r="L459" s="1" t="n">
        <f aca="false">SUM(H459:K459)</f>
        <v>1</v>
      </c>
      <c r="M459" s="1" t="str">
        <f aca="false">IF(L459&gt;=2,"High",IF(L459=1,"Medium","Low"))</f>
        <v>Medium</v>
      </c>
    </row>
    <row r="460" customFormat="false" ht="15" hidden="false" customHeight="true" outlineLevel="0" collapsed="false">
      <c r="A460" s="1" t="str">
        <f aca="false">Transactions!A460</f>
        <v>TXN501438</v>
      </c>
      <c r="B460" s="1" t="str">
        <f aca="false">Transactions!B460</f>
        <v>ACC1052</v>
      </c>
      <c r="C460" s="1" t="str">
        <f aca="false">Transactions!I460</f>
        <v>2026-01-29</v>
      </c>
      <c r="D460" s="1" t="n">
        <f aca="false">Transactions!J460</f>
        <v>14</v>
      </c>
      <c r="E460" s="1" t="n">
        <f aca="false">Transactions!D460</f>
        <v>167.39</v>
      </c>
      <c r="F460" s="1" t="str">
        <f aca="false">Transactions!H460</f>
        <v>Online</v>
      </c>
      <c r="G460" s="1" t="str">
        <f aca="false">Transactions!G460</f>
        <v>Online Marketplace</v>
      </c>
      <c r="H460" s="1" t="n">
        <f aca="false">IF(COUNTIFS($B$2:$B$1489,B460,$C$2:$C$1489,C460,$D$2:$D$1489,D460)&gt;6,1,0)</f>
        <v>1</v>
      </c>
      <c r="I460" s="1" t="n">
        <f aca="false">IF(AND(F460="Wire",E460&gt;=1000,MOD(E460,1000)=0),1,0)</f>
        <v>0</v>
      </c>
      <c r="J460" s="1" t="n">
        <f aca="false">IF(AND(F460="ATM",E460&gt;2000,D460&lt;=4),1,0)</f>
        <v>0</v>
      </c>
      <c r="K460" s="1" t="n">
        <f aca="false">IF(COUNTIF('SQL Findings'!$A$4:$A$18,B460)&gt;0,1,0)</f>
        <v>0</v>
      </c>
      <c r="L460" s="1" t="n">
        <f aca="false">SUM(H460:K460)</f>
        <v>1</v>
      </c>
      <c r="M460" s="1" t="str">
        <f aca="false">IF(L460&gt;=2,"High",IF(L460=1,"Medium","Low"))</f>
        <v>Medium</v>
      </c>
    </row>
    <row r="461" customFormat="false" ht="15" hidden="false" customHeight="true" outlineLevel="0" collapsed="false">
      <c r="A461" s="1" t="str">
        <f aca="false">Transactions!A461</f>
        <v>TXN501411</v>
      </c>
      <c r="B461" s="1" t="str">
        <f aca="false">Transactions!B461</f>
        <v>ACC1023</v>
      </c>
      <c r="C461" s="1" t="str">
        <f aca="false">Transactions!I461</f>
        <v>2026-01-29</v>
      </c>
      <c r="D461" s="1" t="n">
        <f aca="false">Transactions!J461</f>
        <v>14</v>
      </c>
      <c r="E461" s="1" t="n">
        <f aca="false">Transactions!D461</f>
        <v>325.03</v>
      </c>
      <c r="F461" s="1" t="str">
        <f aca="false">Transactions!H461</f>
        <v>Online</v>
      </c>
      <c r="G461" s="1" t="str">
        <f aca="false">Transactions!G461</f>
        <v>Online Marketplace</v>
      </c>
      <c r="H461" s="1" t="n">
        <f aca="false">IF(COUNTIFS($B$2:$B$1489,B461,$C$2:$C$1489,C461,$D$2:$D$1489,D461)&gt;6,1,0)</f>
        <v>1</v>
      </c>
      <c r="I461" s="1" t="n">
        <f aca="false">IF(AND(F461="Wire",E461&gt;=1000,MOD(E461,1000)=0),1,0)</f>
        <v>0</v>
      </c>
      <c r="J461" s="1" t="n">
        <f aca="false">IF(AND(F461="ATM",E461&gt;2000,D461&lt;=4),1,0)</f>
        <v>0</v>
      </c>
      <c r="K461" s="1" t="n">
        <f aca="false">IF(COUNTIF('SQL Findings'!$A$4:$A$18,B461)&gt;0,1,0)</f>
        <v>0</v>
      </c>
      <c r="L461" s="1" t="n">
        <f aca="false">SUM(H461:K461)</f>
        <v>1</v>
      </c>
      <c r="M461" s="1" t="str">
        <f aca="false">IF(L461&gt;=2,"High",IF(L461=1,"Medium","Low"))</f>
        <v>Medium</v>
      </c>
    </row>
    <row r="462" customFormat="false" ht="15" hidden="false" customHeight="true" outlineLevel="0" collapsed="false">
      <c r="A462" s="1" t="str">
        <f aca="false">Transactions!A462</f>
        <v>TXN501439</v>
      </c>
      <c r="B462" s="1" t="str">
        <f aca="false">Transactions!B462</f>
        <v>ACC1052</v>
      </c>
      <c r="C462" s="1" t="str">
        <f aca="false">Transactions!I462</f>
        <v>2026-01-29</v>
      </c>
      <c r="D462" s="1" t="n">
        <f aca="false">Transactions!J462</f>
        <v>14</v>
      </c>
      <c r="E462" s="1" t="n">
        <f aca="false">Transactions!D462</f>
        <v>272.36</v>
      </c>
      <c r="F462" s="1" t="str">
        <f aca="false">Transactions!H462</f>
        <v>Online</v>
      </c>
      <c r="G462" s="1" t="str">
        <f aca="false">Transactions!G462</f>
        <v>Online Marketplace</v>
      </c>
      <c r="H462" s="1" t="n">
        <f aca="false">IF(COUNTIFS($B$2:$B$1489,B462,$C$2:$C$1489,C462,$D$2:$D$1489,D462)&gt;6,1,0)</f>
        <v>1</v>
      </c>
      <c r="I462" s="1" t="n">
        <f aca="false">IF(AND(F462="Wire",E462&gt;=1000,MOD(E462,1000)=0),1,0)</f>
        <v>0</v>
      </c>
      <c r="J462" s="1" t="n">
        <f aca="false">IF(AND(F462="ATM",E462&gt;2000,D462&lt;=4),1,0)</f>
        <v>0</v>
      </c>
      <c r="K462" s="1" t="n">
        <f aca="false">IF(COUNTIF('SQL Findings'!$A$4:$A$18,B462)&gt;0,1,0)</f>
        <v>0</v>
      </c>
      <c r="L462" s="1" t="n">
        <f aca="false">SUM(H462:K462)</f>
        <v>1</v>
      </c>
      <c r="M462" s="1" t="str">
        <f aca="false">IF(L462&gt;=2,"High",IF(L462=1,"Medium","Low"))</f>
        <v>Medium</v>
      </c>
    </row>
    <row r="463" customFormat="false" ht="15" hidden="false" customHeight="true" outlineLevel="0" collapsed="false">
      <c r="A463" s="1" t="str">
        <f aca="false">Transactions!A463</f>
        <v>TXN501440</v>
      </c>
      <c r="B463" s="1" t="str">
        <f aca="false">Transactions!B463</f>
        <v>ACC1052</v>
      </c>
      <c r="C463" s="1" t="str">
        <f aca="false">Transactions!I463</f>
        <v>2026-01-29</v>
      </c>
      <c r="D463" s="1" t="n">
        <f aca="false">Transactions!J463</f>
        <v>14</v>
      </c>
      <c r="E463" s="1" t="n">
        <f aca="false">Transactions!D463</f>
        <v>165.8</v>
      </c>
      <c r="F463" s="1" t="str">
        <f aca="false">Transactions!H463</f>
        <v>Online</v>
      </c>
      <c r="G463" s="1" t="str">
        <f aca="false">Transactions!G463</f>
        <v>Online Marketplace</v>
      </c>
      <c r="H463" s="1" t="n">
        <f aca="false">IF(COUNTIFS($B$2:$B$1489,B463,$C$2:$C$1489,C463,$D$2:$D$1489,D463)&gt;6,1,0)</f>
        <v>1</v>
      </c>
      <c r="I463" s="1" t="n">
        <f aca="false">IF(AND(F463="Wire",E463&gt;=1000,MOD(E463,1000)=0),1,0)</f>
        <v>0</v>
      </c>
      <c r="J463" s="1" t="n">
        <f aca="false">IF(AND(F463="ATM",E463&gt;2000,D463&lt;=4),1,0)</f>
        <v>0</v>
      </c>
      <c r="K463" s="1" t="n">
        <f aca="false">IF(COUNTIF('SQL Findings'!$A$4:$A$18,B463)&gt;0,1,0)</f>
        <v>0</v>
      </c>
      <c r="L463" s="1" t="n">
        <f aca="false">SUM(H463:K463)</f>
        <v>1</v>
      </c>
      <c r="M463" s="1" t="str">
        <f aca="false">IF(L463&gt;=2,"High",IF(L463=1,"Medium","Low"))</f>
        <v>Medium</v>
      </c>
    </row>
    <row r="464" customFormat="false" ht="15" hidden="false" customHeight="true" outlineLevel="0" collapsed="false">
      <c r="A464" s="1" t="str">
        <f aca="false">Transactions!A464</f>
        <v>TXN501412</v>
      </c>
      <c r="B464" s="1" t="str">
        <f aca="false">Transactions!B464</f>
        <v>ACC1023</v>
      </c>
      <c r="C464" s="1" t="str">
        <f aca="false">Transactions!I464</f>
        <v>2026-01-29</v>
      </c>
      <c r="D464" s="1" t="n">
        <f aca="false">Transactions!J464</f>
        <v>14</v>
      </c>
      <c r="E464" s="1" t="n">
        <f aca="false">Transactions!D464</f>
        <v>557.37</v>
      </c>
      <c r="F464" s="1" t="str">
        <f aca="false">Transactions!H464</f>
        <v>Online</v>
      </c>
      <c r="G464" s="1" t="str">
        <f aca="false">Transactions!G464</f>
        <v>Online Marketplace</v>
      </c>
      <c r="H464" s="1" t="n">
        <f aca="false">IF(COUNTIFS($B$2:$B$1489,B464,$C$2:$C$1489,C464,$D$2:$D$1489,D464)&gt;6,1,0)</f>
        <v>1</v>
      </c>
      <c r="I464" s="1" t="n">
        <f aca="false">IF(AND(F464="Wire",E464&gt;=1000,MOD(E464,1000)=0),1,0)</f>
        <v>0</v>
      </c>
      <c r="J464" s="1" t="n">
        <f aca="false">IF(AND(F464="ATM",E464&gt;2000,D464&lt;=4),1,0)</f>
        <v>0</v>
      </c>
      <c r="K464" s="1" t="n">
        <f aca="false">IF(COUNTIF('SQL Findings'!$A$4:$A$18,B464)&gt;0,1,0)</f>
        <v>0</v>
      </c>
      <c r="L464" s="1" t="n">
        <f aca="false">SUM(H464:K464)</f>
        <v>1</v>
      </c>
      <c r="M464" s="1" t="str">
        <f aca="false">IF(L464&gt;=2,"High",IF(L464=1,"Medium","Low"))</f>
        <v>Medium</v>
      </c>
    </row>
    <row r="465" customFormat="false" ht="15" hidden="false" customHeight="true" outlineLevel="0" collapsed="false">
      <c r="A465" s="1" t="str">
        <f aca="false">Transactions!A465</f>
        <v>TXN501441</v>
      </c>
      <c r="B465" s="1" t="str">
        <f aca="false">Transactions!B465</f>
        <v>ACC1052</v>
      </c>
      <c r="C465" s="1" t="str">
        <f aca="false">Transactions!I465</f>
        <v>2026-01-29</v>
      </c>
      <c r="D465" s="1" t="n">
        <f aca="false">Transactions!J465</f>
        <v>14</v>
      </c>
      <c r="E465" s="1" t="n">
        <f aca="false">Transactions!D465</f>
        <v>206.7</v>
      </c>
      <c r="F465" s="1" t="str">
        <f aca="false">Transactions!H465</f>
        <v>Online</v>
      </c>
      <c r="G465" s="1" t="str">
        <f aca="false">Transactions!G465</f>
        <v>Online Marketplace</v>
      </c>
      <c r="H465" s="1" t="n">
        <f aca="false">IF(COUNTIFS($B$2:$B$1489,B465,$C$2:$C$1489,C465,$D$2:$D$1489,D465)&gt;6,1,0)</f>
        <v>1</v>
      </c>
      <c r="I465" s="1" t="n">
        <f aca="false">IF(AND(F465="Wire",E465&gt;=1000,MOD(E465,1000)=0),1,0)</f>
        <v>0</v>
      </c>
      <c r="J465" s="1" t="n">
        <f aca="false">IF(AND(F465="ATM",E465&gt;2000,D465&lt;=4),1,0)</f>
        <v>0</v>
      </c>
      <c r="K465" s="1" t="n">
        <f aca="false">IF(COUNTIF('SQL Findings'!$A$4:$A$18,B465)&gt;0,1,0)</f>
        <v>0</v>
      </c>
      <c r="L465" s="1" t="n">
        <f aca="false">SUM(H465:K465)</f>
        <v>1</v>
      </c>
      <c r="M465" s="1" t="str">
        <f aca="false">IF(L465&gt;=2,"High",IF(L465=1,"Medium","Low"))</f>
        <v>Medium</v>
      </c>
    </row>
    <row r="466" customFormat="false" ht="15" hidden="false" customHeight="true" outlineLevel="0" collapsed="false">
      <c r="A466" s="1" t="str">
        <f aca="false">Transactions!A466</f>
        <v>TXN501413</v>
      </c>
      <c r="B466" s="1" t="str">
        <f aca="false">Transactions!B466</f>
        <v>ACC1023</v>
      </c>
      <c r="C466" s="1" t="str">
        <f aca="false">Transactions!I466</f>
        <v>2026-01-29</v>
      </c>
      <c r="D466" s="1" t="n">
        <f aca="false">Transactions!J466</f>
        <v>14</v>
      </c>
      <c r="E466" s="1" t="n">
        <f aca="false">Transactions!D466</f>
        <v>103.82</v>
      </c>
      <c r="F466" s="1" t="str">
        <f aca="false">Transactions!H466</f>
        <v>Online</v>
      </c>
      <c r="G466" s="1" t="str">
        <f aca="false">Transactions!G466</f>
        <v>Online Marketplace</v>
      </c>
      <c r="H466" s="1" t="n">
        <f aca="false">IF(COUNTIFS($B$2:$B$1489,B466,$C$2:$C$1489,C466,$D$2:$D$1489,D466)&gt;6,1,0)</f>
        <v>1</v>
      </c>
      <c r="I466" s="1" t="n">
        <f aca="false">IF(AND(F466="Wire",E466&gt;=1000,MOD(E466,1000)=0),1,0)</f>
        <v>0</v>
      </c>
      <c r="J466" s="1" t="n">
        <f aca="false">IF(AND(F466="ATM",E466&gt;2000,D466&lt;=4),1,0)</f>
        <v>0</v>
      </c>
      <c r="K466" s="1" t="n">
        <f aca="false">IF(COUNTIF('SQL Findings'!$A$4:$A$18,B466)&gt;0,1,0)</f>
        <v>0</v>
      </c>
      <c r="L466" s="1" t="n">
        <f aca="false">SUM(H466:K466)</f>
        <v>1</v>
      </c>
      <c r="M466" s="1" t="str">
        <f aca="false">IF(L466&gt;=2,"High",IF(L466=1,"Medium","Low"))</f>
        <v>Medium</v>
      </c>
    </row>
    <row r="467" customFormat="false" ht="15" hidden="false" customHeight="true" outlineLevel="0" collapsed="false">
      <c r="A467" s="1" t="str">
        <f aca="false">Transactions!A467</f>
        <v>TXN501442</v>
      </c>
      <c r="B467" s="1" t="str">
        <f aca="false">Transactions!B467</f>
        <v>ACC1052</v>
      </c>
      <c r="C467" s="1" t="str">
        <f aca="false">Transactions!I467</f>
        <v>2026-01-29</v>
      </c>
      <c r="D467" s="1" t="n">
        <f aca="false">Transactions!J467</f>
        <v>14</v>
      </c>
      <c r="E467" s="1" t="n">
        <f aca="false">Transactions!D467</f>
        <v>382.63</v>
      </c>
      <c r="F467" s="1" t="str">
        <f aca="false">Transactions!H467</f>
        <v>Online</v>
      </c>
      <c r="G467" s="1" t="str">
        <f aca="false">Transactions!G467</f>
        <v>Online Marketplace</v>
      </c>
      <c r="H467" s="1" t="n">
        <f aca="false">IF(COUNTIFS($B$2:$B$1489,B467,$C$2:$C$1489,C467,$D$2:$D$1489,D467)&gt;6,1,0)</f>
        <v>1</v>
      </c>
      <c r="I467" s="1" t="n">
        <f aca="false">IF(AND(F467="Wire",E467&gt;=1000,MOD(E467,1000)=0),1,0)</f>
        <v>0</v>
      </c>
      <c r="J467" s="1" t="n">
        <f aca="false">IF(AND(F467="ATM",E467&gt;2000,D467&lt;=4),1,0)</f>
        <v>0</v>
      </c>
      <c r="K467" s="1" t="n">
        <f aca="false">IF(COUNTIF('SQL Findings'!$A$4:$A$18,B467)&gt;0,1,0)</f>
        <v>0</v>
      </c>
      <c r="L467" s="1" t="n">
        <f aca="false">SUM(H467:K467)</f>
        <v>1</v>
      </c>
      <c r="M467" s="1" t="str">
        <f aca="false">IF(L467&gt;=2,"High",IF(L467=1,"Medium","Low"))</f>
        <v>Medium</v>
      </c>
    </row>
    <row r="468" customFormat="false" ht="15" hidden="false" customHeight="true" outlineLevel="0" collapsed="false">
      <c r="A468" s="1" t="str">
        <f aca="false">Transactions!A468</f>
        <v>TXN501414</v>
      </c>
      <c r="B468" s="1" t="str">
        <f aca="false">Transactions!B468</f>
        <v>ACC1023</v>
      </c>
      <c r="C468" s="1" t="str">
        <f aca="false">Transactions!I468</f>
        <v>2026-01-29</v>
      </c>
      <c r="D468" s="1" t="n">
        <f aca="false">Transactions!J468</f>
        <v>14</v>
      </c>
      <c r="E468" s="1" t="n">
        <f aca="false">Transactions!D468</f>
        <v>444.67</v>
      </c>
      <c r="F468" s="1" t="str">
        <f aca="false">Transactions!H468</f>
        <v>Online</v>
      </c>
      <c r="G468" s="1" t="str">
        <f aca="false">Transactions!G468</f>
        <v>Online Marketplace</v>
      </c>
      <c r="H468" s="1" t="n">
        <f aca="false">IF(COUNTIFS($B$2:$B$1489,B468,$C$2:$C$1489,C468,$D$2:$D$1489,D468)&gt;6,1,0)</f>
        <v>1</v>
      </c>
      <c r="I468" s="1" t="n">
        <f aca="false">IF(AND(F468="Wire",E468&gt;=1000,MOD(E468,1000)=0),1,0)</f>
        <v>0</v>
      </c>
      <c r="J468" s="1" t="n">
        <f aca="false">IF(AND(F468="ATM",E468&gt;2000,D468&lt;=4),1,0)</f>
        <v>0</v>
      </c>
      <c r="K468" s="1" t="n">
        <f aca="false">IF(COUNTIF('SQL Findings'!$A$4:$A$18,B468)&gt;0,1,0)</f>
        <v>0</v>
      </c>
      <c r="L468" s="1" t="n">
        <f aca="false">SUM(H468:K468)</f>
        <v>1</v>
      </c>
      <c r="M468" s="1" t="str">
        <f aca="false">IF(L468&gt;=2,"High",IF(L468=1,"Medium","Low"))</f>
        <v>Medium</v>
      </c>
    </row>
    <row r="469" customFormat="false" ht="15" hidden="false" customHeight="true" outlineLevel="0" collapsed="false">
      <c r="A469" s="1" t="str">
        <f aca="false">Transactions!A469</f>
        <v>TXN501415</v>
      </c>
      <c r="B469" s="1" t="str">
        <f aca="false">Transactions!B469</f>
        <v>ACC1023</v>
      </c>
      <c r="C469" s="1" t="str">
        <f aca="false">Transactions!I469</f>
        <v>2026-01-29</v>
      </c>
      <c r="D469" s="1" t="n">
        <f aca="false">Transactions!J469</f>
        <v>14</v>
      </c>
      <c r="E469" s="1" t="n">
        <f aca="false">Transactions!D469</f>
        <v>147.88</v>
      </c>
      <c r="F469" s="1" t="str">
        <f aca="false">Transactions!H469</f>
        <v>Online</v>
      </c>
      <c r="G469" s="1" t="str">
        <f aca="false">Transactions!G469</f>
        <v>Online Marketplace</v>
      </c>
      <c r="H469" s="1" t="n">
        <f aca="false">IF(COUNTIFS($B$2:$B$1489,B469,$C$2:$C$1489,C469,$D$2:$D$1489,D469)&gt;6,1,0)</f>
        <v>1</v>
      </c>
      <c r="I469" s="1" t="n">
        <f aca="false">IF(AND(F469="Wire",E469&gt;=1000,MOD(E469,1000)=0),1,0)</f>
        <v>0</v>
      </c>
      <c r="J469" s="1" t="n">
        <f aca="false">IF(AND(F469="ATM",E469&gt;2000,D469&lt;=4),1,0)</f>
        <v>0</v>
      </c>
      <c r="K469" s="1" t="n">
        <f aca="false">IF(COUNTIF('SQL Findings'!$A$4:$A$18,B469)&gt;0,1,0)</f>
        <v>0</v>
      </c>
      <c r="L469" s="1" t="n">
        <f aca="false">SUM(H469:K469)</f>
        <v>1</v>
      </c>
      <c r="M469" s="1" t="str">
        <f aca="false">IF(L469&gt;=2,"High",IF(L469=1,"Medium","Low"))</f>
        <v>Medium</v>
      </c>
    </row>
    <row r="470" customFormat="false" ht="15" hidden="false" customHeight="true" outlineLevel="0" collapsed="false">
      <c r="A470" s="1" t="str">
        <f aca="false">Transactions!A470</f>
        <v>TXN501443</v>
      </c>
      <c r="B470" s="1" t="str">
        <f aca="false">Transactions!B470</f>
        <v>ACC1052</v>
      </c>
      <c r="C470" s="1" t="str">
        <f aca="false">Transactions!I470</f>
        <v>2026-01-29</v>
      </c>
      <c r="D470" s="1" t="n">
        <f aca="false">Transactions!J470</f>
        <v>14</v>
      </c>
      <c r="E470" s="1" t="n">
        <f aca="false">Transactions!D470</f>
        <v>149.35</v>
      </c>
      <c r="F470" s="1" t="str">
        <f aca="false">Transactions!H470</f>
        <v>Online</v>
      </c>
      <c r="G470" s="1" t="str">
        <f aca="false">Transactions!G470</f>
        <v>Online Marketplace</v>
      </c>
      <c r="H470" s="1" t="n">
        <f aca="false">IF(COUNTIFS($B$2:$B$1489,B470,$C$2:$C$1489,C470,$D$2:$D$1489,D470)&gt;6,1,0)</f>
        <v>1</v>
      </c>
      <c r="I470" s="1" t="n">
        <f aca="false">IF(AND(F470="Wire",E470&gt;=1000,MOD(E470,1000)=0),1,0)</f>
        <v>0</v>
      </c>
      <c r="J470" s="1" t="n">
        <f aca="false">IF(AND(F470="ATM",E470&gt;2000,D470&lt;=4),1,0)</f>
        <v>0</v>
      </c>
      <c r="K470" s="1" t="n">
        <f aca="false">IF(COUNTIF('SQL Findings'!$A$4:$A$18,B470)&gt;0,1,0)</f>
        <v>0</v>
      </c>
      <c r="L470" s="1" t="n">
        <f aca="false">SUM(H470:K470)</f>
        <v>1</v>
      </c>
      <c r="M470" s="1" t="str">
        <f aca="false">IF(L470&gt;=2,"High",IF(L470=1,"Medium","Low"))</f>
        <v>Medium</v>
      </c>
    </row>
    <row r="471" customFormat="false" ht="15" hidden="false" customHeight="true" outlineLevel="0" collapsed="false">
      <c r="A471" s="1" t="str">
        <f aca="false">Transactions!A471</f>
        <v>TXN501416</v>
      </c>
      <c r="B471" s="1" t="str">
        <f aca="false">Transactions!B471</f>
        <v>ACC1023</v>
      </c>
      <c r="C471" s="1" t="str">
        <f aca="false">Transactions!I471</f>
        <v>2026-01-29</v>
      </c>
      <c r="D471" s="1" t="n">
        <f aca="false">Transactions!J471</f>
        <v>14</v>
      </c>
      <c r="E471" s="1" t="n">
        <f aca="false">Transactions!D471</f>
        <v>169.57</v>
      </c>
      <c r="F471" s="1" t="str">
        <f aca="false">Transactions!H471</f>
        <v>Online</v>
      </c>
      <c r="G471" s="1" t="str">
        <f aca="false">Transactions!G471</f>
        <v>Online Marketplace</v>
      </c>
      <c r="H471" s="1" t="n">
        <f aca="false">IF(COUNTIFS($B$2:$B$1489,B471,$C$2:$C$1489,C471,$D$2:$D$1489,D471)&gt;6,1,0)</f>
        <v>1</v>
      </c>
      <c r="I471" s="1" t="n">
        <f aca="false">IF(AND(F471="Wire",E471&gt;=1000,MOD(E471,1000)=0),1,0)</f>
        <v>0</v>
      </c>
      <c r="J471" s="1" t="n">
        <f aca="false">IF(AND(F471="ATM",E471&gt;2000,D471&lt;=4),1,0)</f>
        <v>0</v>
      </c>
      <c r="K471" s="1" t="n">
        <f aca="false">IF(COUNTIF('SQL Findings'!$A$4:$A$18,B471)&gt;0,1,0)</f>
        <v>0</v>
      </c>
      <c r="L471" s="1" t="n">
        <f aca="false">SUM(H471:K471)</f>
        <v>1</v>
      </c>
      <c r="M471" s="1" t="str">
        <f aca="false">IF(L471&gt;=2,"High",IF(L471=1,"Medium","Low"))</f>
        <v>Medium</v>
      </c>
    </row>
    <row r="472" customFormat="false" ht="15" hidden="false" customHeight="true" outlineLevel="0" collapsed="false">
      <c r="A472" s="1" t="str">
        <f aca="false">Transactions!A472</f>
        <v>TXN501444</v>
      </c>
      <c r="B472" s="1" t="str">
        <f aca="false">Transactions!B472</f>
        <v>ACC1052</v>
      </c>
      <c r="C472" s="1" t="str">
        <f aca="false">Transactions!I472</f>
        <v>2026-01-29</v>
      </c>
      <c r="D472" s="1" t="n">
        <f aca="false">Transactions!J472</f>
        <v>14</v>
      </c>
      <c r="E472" s="1" t="n">
        <f aca="false">Transactions!D472</f>
        <v>491.35</v>
      </c>
      <c r="F472" s="1" t="str">
        <f aca="false">Transactions!H472</f>
        <v>Online</v>
      </c>
      <c r="G472" s="1" t="str">
        <f aca="false">Transactions!G472</f>
        <v>Online Marketplace</v>
      </c>
      <c r="H472" s="1" t="n">
        <f aca="false">IF(COUNTIFS($B$2:$B$1489,B472,$C$2:$C$1489,C472,$D$2:$D$1489,D472)&gt;6,1,0)</f>
        <v>1</v>
      </c>
      <c r="I472" s="1" t="n">
        <f aca="false">IF(AND(F472="Wire",E472&gt;=1000,MOD(E472,1000)=0),1,0)</f>
        <v>0</v>
      </c>
      <c r="J472" s="1" t="n">
        <f aca="false">IF(AND(F472="ATM",E472&gt;2000,D472&lt;=4),1,0)</f>
        <v>0</v>
      </c>
      <c r="K472" s="1" t="n">
        <f aca="false">IF(COUNTIF('SQL Findings'!$A$4:$A$18,B472)&gt;0,1,0)</f>
        <v>0</v>
      </c>
      <c r="L472" s="1" t="n">
        <f aca="false">SUM(H472:K472)</f>
        <v>1</v>
      </c>
      <c r="M472" s="1" t="str">
        <f aca="false">IF(L472&gt;=2,"High",IF(L472=1,"Medium","Low"))</f>
        <v>Medium</v>
      </c>
    </row>
    <row r="473" customFormat="false" ht="15" hidden="false" customHeight="true" outlineLevel="0" collapsed="false">
      <c r="A473" s="1" t="str">
        <f aca="false">Transactions!A473</f>
        <v>TXN501445</v>
      </c>
      <c r="B473" s="1" t="str">
        <f aca="false">Transactions!B473</f>
        <v>ACC1052</v>
      </c>
      <c r="C473" s="1" t="str">
        <f aca="false">Transactions!I473</f>
        <v>2026-01-29</v>
      </c>
      <c r="D473" s="1" t="n">
        <f aca="false">Transactions!J473</f>
        <v>14</v>
      </c>
      <c r="E473" s="1" t="n">
        <f aca="false">Transactions!D473</f>
        <v>408.74</v>
      </c>
      <c r="F473" s="1" t="str">
        <f aca="false">Transactions!H473</f>
        <v>Online</v>
      </c>
      <c r="G473" s="1" t="str">
        <f aca="false">Transactions!G473</f>
        <v>Online Marketplace</v>
      </c>
      <c r="H473" s="1" t="n">
        <f aca="false">IF(COUNTIFS($B$2:$B$1489,B473,$C$2:$C$1489,C473,$D$2:$D$1489,D473)&gt;6,1,0)</f>
        <v>1</v>
      </c>
      <c r="I473" s="1" t="n">
        <f aca="false">IF(AND(F473="Wire",E473&gt;=1000,MOD(E473,1000)=0),1,0)</f>
        <v>0</v>
      </c>
      <c r="J473" s="1" t="n">
        <f aca="false">IF(AND(F473="ATM",E473&gt;2000,D473&lt;=4),1,0)</f>
        <v>0</v>
      </c>
      <c r="K473" s="1" t="n">
        <f aca="false">IF(COUNTIF('SQL Findings'!$A$4:$A$18,B473)&gt;0,1,0)</f>
        <v>0</v>
      </c>
      <c r="L473" s="1" t="n">
        <f aca="false">SUM(H473:K473)</f>
        <v>1</v>
      </c>
      <c r="M473" s="1" t="str">
        <f aca="false">IF(L473&gt;=2,"High",IF(L473=1,"Medium","Low"))</f>
        <v>Medium</v>
      </c>
    </row>
    <row r="474" customFormat="false" ht="15" hidden="false" customHeight="true" outlineLevel="0" collapsed="false">
      <c r="A474" s="1" t="str">
        <f aca="false">Transactions!A474</f>
        <v>TXN501417</v>
      </c>
      <c r="B474" s="1" t="str">
        <f aca="false">Transactions!B474</f>
        <v>ACC1023</v>
      </c>
      <c r="C474" s="1" t="str">
        <f aca="false">Transactions!I474</f>
        <v>2026-01-29</v>
      </c>
      <c r="D474" s="1" t="n">
        <f aca="false">Transactions!J474</f>
        <v>14</v>
      </c>
      <c r="E474" s="1" t="n">
        <f aca="false">Transactions!D474</f>
        <v>105.98</v>
      </c>
      <c r="F474" s="1" t="str">
        <f aca="false">Transactions!H474</f>
        <v>Online</v>
      </c>
      <c r="G474" s="1" t="str">
        <f aca="false">Transactions!G474</f>
        <v>Online Marketplace</v>
      </c>
      <c r="H474" s="1" t="n">
        <f aca="false">IF(COUNTIFS($B$2:$B$1489,B474,$C$2:$C$1489,C474,$D$2:$D$1489,D474)&gt;6,1,0)</f>
        <v>1</v>
      </c>
      <c r="I474" s="1" t="n">
        <f aca="false">IF(AND(F474="Wire",E474&gt;=1000,MOD(E474,1000)=0),1,0)</f>
        <v>0</v>
      </c>
      <c r="J474" s="1" t="n">
        <f aca="false">IF(AND(F474="ATM",E474&gt;2000,D474&lt;=4),1,0)</f>
        <v>0</v>
      </c>
      <c r="K474" s="1" t="n">
        <f aca="false">IF(COUNTIF('SQL Findings'!$A$4:$A$18,B474)&gt;0,1,0)</f>
        <v>0</v>
      </c>
      <c r="L474" s="1" t="n">
        <f aca="false">SUM(H474:K474)</f>
        <v>1</v>
      </c>
      <c r="M474" s="1" t="str">
        <f aca="false">IF(L474&gt;=2,"High",IF(L474=1,"Medium","Low"))</f>
        <v>Medium</v>
      </c>
    </row>
    <row r="475" customFormat="false" ht="15" hidden="false" customHeight="true" outlineLevel="0" collapsed="false">
      <c r="A475" s="1" t="str">
        <f aca="false">Transactions!A475</f>
        <v>TXN501418</v>
      </c>
      <c r="B475" s="1" t="str">
        <f aca="false">Transactions!B475</f>
        <v>ACC1023</v>
      </c>
      <c r="C475" s="1" t="str">
        <f aca="false">Transactions!I475</f>
        <v>2026-01-29</v>
      </c>
      <c r="D475" s="1" t="n">
        <f aca="false">Transactions!J475</f>
        <v>14</v>
      </c>
      <c r="E475" s="1" t="n">
        <f aca="false">Transactions!D475</f>
        <v>239.82</v>
      </c>
      <c r="F475" s="1" t="str">
        <f aca="false">Transactions!H475</f>
        <v>Online</v>
      </c>
      <c r="G475" s="1" t="str">
        <f aca="false">Transactions!G475</f>
        <v>Online Marketplace</v>
      </c>
      <c r="H475" s="1" t="n">
        <f aca="false">IF(COUNTIFS($B$2:$B$1489,B475,$C$2:$C$1489,C475,$D$2:$D$1489,D475)&gt;6,1,0)</f>
        <v>1</v>
      </c>
      <c r="I475" s="1" t="n">
        <f aca="false">IF(AND(F475="Wire",E475&gt;=1000,MOD(E475,1000)=0),1,0)</f>
        <v>0</v>
      </c>
      <c r="J475" s="1" t="n">
        <f aca="false">IF(AND(F475="ATM",E475&gt;2000,D475&lt;=4),1,0)</f>
        <v>0</v>
      </c>
      <c r="K475" s="1" t="n">
        <f aca="false">IF(COUNTIF('SQL Findings'!$A$4:$A$18,B475)&gt;0,1,0)</f>
        <v>0</v>
      </c>
      <c r="L475" s="1" t="n">
        <f aca="false">SUM(H475:K475)</f>
        <v>1</v>
      </c>
      <c r="M475" s="1" t="str">
        <f aca="false">IF(L475&gt;=2,"High",IF(L475=1,"Medium","Low"))</f>
        <v>Medium</v>
      </c>
    </row>
    <row r="476" customFormat="false" ht="15" hidden="false" customHeight="true" outlineLevel="0" collapsed="false">
      <c r="A476" s="1" t="str">
        <f aca="false">Transactions!A476</f>
        <v>TXN500813</v>
      </c>
      <c r="B476" s="1" t="str">
        <f aca="false">Transactions!B476</f>
        <v>ACC1034</v>
      </c>
      <c r="C476" s="1" t="str">
        <f aca="false">Transactions!I476</f>
        <v>2026-01-29</v>
      </c>
      <c r="D476" s="1" t="n">
        <f aca="false">Transactions!J476</f>
        <v>14</v>
      </c>
      <c r="E476" s="1" t="n">
        <f aca="false">Transactions!D476</f>
        <v>245.25</v>
      </c>
      <c r="F476" s="1" t="str">
        <f aca="false">Transactions!H476</f>
        <v>ATM</v>
      </c>
      <c r="G476" s="1" t="str">
        <f aca="false">Transactions!G476</f>
        <v>Online Marketplace</v>
      </c>
      <c r="H476" s="1" t="n">
        <f aca="false">IF(COUNTIFS($B$2:$B$1489,B476,$C$2:$C$1489,C476,$D$2:$D$1489,D476)&gt;6,1,0)</f>
        <v>0</v>
      </c>
      <c r="I476" s="1" t="n">
        <f aca="false">IF(AND(F476="Wire",E476&gt;=1000,MOD(E476,1000)=0),1,0)</f>
        <v>0</v>
      </c>
      <c r="J476" s="1" t="n">
        <f aca="false">IF(AND(F476="ATM",E476&gt;2000,D476&lt;=4),1,0)</f>
        <v>0</v>
      </c>
      <c r="K476" s="1" t="n">
        <f aca="false">IF(COUNTIF('SQL Findings'!$A$4:$A$18,B476)&gt;0,1,0)</f>
        <v>0</v>
      </c>
      <c r="L476" s="1" t="n">
        <f aca="false">SUM(H476:K476)</f>
        <v>0</v>
      </c>
      <c r="M476" s="1" t="str">
        <f aca="false">IF(L476&gt;=2,"High",IF(L476=1,"Medium","Low"))</f>
        <v>Low</v>
      </c>
    </row>
    <row r="477" customFormat="false" ht="15" hidden="false" customHeight="true" outlineLevel="0" collapsed="false">
      <c r="A477" s="1" t="str">
        <f aca="false">Transactions!A477</f>
        <v>TXN501446</v>
      </c>
      <c r="B477" s="1" t="str">
        <f aca="false">Transactions!B477</f>
        <v>ACC1052</v>
      </c>
      <c r="C477" s="1" t="str">
        <f aca="false">Transactions!I477</f>
        <v>2026-01-29</v>
      </c>
      <c r="D477" s="1" t="n">
        <f aca="false">Transactions!J477</f>
        <v>14</v>
      </c>
      <c r="E477" s="1" t="n">
        <f aca="false">Transactions!D477</f>
        <v>275.59</v>
      </c>
      <c r="F477" s="1" t="str">
        <f aca="false">Transactions!H477</f>
        <v>Online</v>
      </c>
      <c r="G477" s="1" t="str">
        <f aca="false">Transactions!G477</f>
        <v>Online Marketplace</v>
      </c>
      <c r="H477" s="1" t="n">
        <f aca="false">IF(COUNTIFS($B$2:$B$1489,B477,$C$2:$C$1489,C477,$D$2:$D$1489,D477)&gt;6,1,0)</f>
        <v>1</v>
      </c>
      <c r="I477" s="1" t="n">
        <f aca="false">IF(AND(F477="Wire",E477&gt;=1000,MOD(E477,1000)=0),1,0)</f>
        <v>0</v>
      </c>
      <c r="J477" s="1" t="n">
        <f aca="false">IF(AND(F477="ATM",E477&gt;2000,D477&lt;=4),1,0)</f>
        <v>0</v>
      </c>
      <c r="K477" s="1" t="n">
        <f aca="false">IF(COUNTIF('SQL Findings'!$A$4:$A$18,B477)&gt;0,1,0)</f>
        <v>0</v>
      </c>
      <c r="L477" s="1" t="n">
        <f aca="false">SUM(H477:K477)</f>
        <v>1</v>
      </c>
      <c r="M477" s="1" t="str">
        <f aca="false">IF(L477&gt;=2,"High",IF(L477=1,"Medium","Low"))</f>
        <v>Medium</v>
      </c>
    </row>
    <row r="478" customFormat="false" ht="15" hidden="false" customHeight="true" outlineLevel="0" collapsed="false">
      <c r="A478" s="1" t="str">
        <f aca="false">Transactions!A478</f>
        <v>TXN500233</v>
      </c>
      <c r="B478" s="1" t="str">
        <f aca="false">Transactions!B478</f>
        <v>ACC1010</v>
      </c>
      <c r="C478" s="1" t="str">
        <f aca="false">Transactions!I478</f>
        <v>2026-01-29</v>
      </c>
      <c r="D478" s="1" t="n">
        <f aca="false">Transactions!J478</f>
        <v>14</v>
      </c>
      <c r="E478" s="1" t="n">
        <f aca="false">Transactions!D478</f>
        <v>69.48</v>
      </c>
      <c r="F478" s="1" t="str">
        <f aca="false">Transactions!H478</f>
        <v>ATM</v>
      </c>
      <c r="G478" s="1" t="str">
        <f aca="false">Transactions!G478</f>
        <v>Online Marketplace</v>
      </c>
      <c r="H478" s="1" t="n">
        <f aca="false">IF(COUNTIFS($B$2:$B$1489,B478,$C$2:$C$1489,C478,$D$2:$D$1489,D478)&gt;6,1,0)</f>
        <v>0</v>
      </c>
      <c r="I478" s="1" t="n">
        <f aca="false">IF(AND(F478="Wire",E478&gt;=1000,MOD(E478,1000)=0),1,0)</f>
        <v>0</v>
      </c>
      <c r="J478" s="1" t="n">
        <f aca="false">IF(AND(F478="ATM",E478&gt;2000,D478&lt;=4),1,0)</f>
        <v>0</v>
      </c>
      <c r="K478" s="1" t="n">
        <f aca="false">IF(COUNTIF('SQL Findings'!$A$4:$A$18,B478)&gt;0,1,0)</f>
        <v>0</v>
      </c>
      <c r="L478" s="1" t="n">
        <f aca="false">SUM(H478:K478)</f>
        <v>0</v>
      </c>
      <c r="M478" s="1" t="str">
        <f aca="false">IF(L478&gt;=2,"High",IF(L478=1,"Medium","Low"))</f>
        <v>Low</v>
      </c>
    </row>
    <row r="479" customFormat="false" ht="15" hidden="false" customHeight="true" outlineLevel="0" collapsed="false">
      <c r="A479" s="1" t="str">
        <f aca="false">Transactions!A479</f>
        <v>TXN501419</v>
      </c>
      <c r="B479" s="1" t="str">
        <f aca="false">Transactions!B479</f>
        <v>ACC1023</v>
      </c>
      <c r="C479" s="1" t="str">
        <f aca="false">Transactions!I479</f>
        <v>2026-01-29</v>
      </c>
      <c r="D479" s="1" t="n">
        <f aca="false">Transactions!J479</f>
        <v>14</v>
      </c>
      <c r="E479" s="1" t="n">
        <f aca="false">Transactions!D479</f>
        <v>492.72</v>
      </c>
      <c r="F479" s="1" t="str">
        <f aca="false">Transactions!H479</f>
        <v>Online</v>
      </c>
      <c r="G479" s="1" t="str">
        <f aca="false">Transactions!G479</f>
        <v>Online Marketplace</v>
      </c>
      <c r="H479" s="1" t="n">
        <f aca="false">IF(COUNTIFS($B$2:$B$1489,B479,$C$2:$C$1489,C479,$D$2:$D$1489,D479)&gt;6,1,0)</f>
        <v>1</v>
      </c>
      <c r="I479" s="1" t="n">
        <f aca="false">IF(AND(F479="Wire",E479&gt;=1000,MOD(E479,1000)=0),1,0)</f>
        <v>0</v>
      </c>
      <c r="J479" s="1" t="n">
        <f aca="false">IF(AND(F479="ATM",E479&gt;2000,D479&lt;=4),1,0)</f>
        <v>0</v>
      </c>
      <c r="K479" s="1" t="n">
        <f aca="false">IF(COUNTIF('SQL Findings'!$A$4:$A$18,B479)&gt;0,1,0)</f>
        <v>0</v>
      </c>
      <c r="L479" s="1" t="n">
        <f aca="false">SUM(H479:K479)</f>
        <v>1</v>
      </c>
      <c r="M479" s="1" t="str">
        <f aca="false">IF(L479&gt;=2,"High",IF(L479=1,"Medium","Low"))</f>
        <v>Medium</v>
      </c>
    </row>
    <row r="480" customFormat="false" ht="15" hidden="false" customHeight="true" outlineLevel="0" collapsed="false">
      <c r="A480" s="1" t="str">
        <f aca="false">Transactions!A480</f>
        <v>TXN501447</v>
      </c>
      <c r="B480" s="1" t="str">
        <f aca="false">Transactions!B480</f>
        <v>ACC1052</v>
      </c>
      <c r="C480" s="1" t="str">
        <f aca="false">Transactions!I480</f>
        <v>2026-01-29</v>
      </c>
      <c r="D480" s="1" t="n">
        <f aca="false">Transactions!J480</f>
        <v>14</v>
      </c>
      <c r="E480" s="1" t="n">
        <f aca="false">Transactions!D480</f>
        <v>162.03</v>
      </c>
      <c r="F480" s="1" t="str">
        <f aca="false">Transactions!H480</f>
        <v>Online</v>
      </c>
      <c r="G480" s="1" t="str">
        <f aca="false">Transactions!G480</f>
        <v>Online Marketplace</v>
      </c>
      <c r="H480" s="1" t="n">
        <f aca="false">IF(COUNTIFS($B$2:$B$1489,B480,$C$2:$C$1489,C480,$D$2:$D$1489,D480)&gt;6,1,0)</f>
        <v>1</v>
      </c>
      <c r="I480" s="1" t="n">
        <f aca="false">IF(AND(F480="Wire",E480&gt;=1000,MOD(E480,1000)=0),1,0)</f>
        <v>0</v>
      </c>
      <c r="J480" s="1" t="n">
        <f aca="false">IF(AND(F480="ATM",E480&gt;2000,D480&lt;=4),1,0)</f>
        <v>0</v>
      </c>
      <c r="K480" s="1" t="n">
        <f aca="false">IF(COUNTIF('SQL Findings'!$A$4:$A$18,B480)&gt;0,1,0)</f>
        <v>0</v>
      </c>
      <c r="L480" s="1" t="n">
        <f aca="false">SUM(H480:K480)</f>
        <v>1</v>
      </c>
      <c r="M480" s="1" t="str">
        <f aca="false">IF(L480&gt;=2,"High",IF(L480=1,"Medium","Low"))</f>
        <v>Medium</v>
      </c>
    </row>
    <row r="481" customFormat="false" ht="15" hidden="false" customHeight="true" outlineLevel="0" collapsed="false">
      <c r="A481" s="1" t="str">
        <f aca="false">Transactions!A481</f>
        <v>TXN501363</v>
      </c>
      <c r="B481" s="1" t="str">
        <f aca="false">Transactions!B481</f>
        <v>ACC1059</v>
      </c>
      <c r="C481" s="1" t="str">
        <f aca="false">Transactions!I481</f>
        <v>2026-01-29</v>
      </c>
      <c r="D481" s="1" t="n">
        <f aca="false">Transactions!J481</f>
        <v>15</v>
      </c>
      <c r="E481" s="1" t="n">
        <f aca="false">Transactions!D481</f>
        <v>74.26</v>
      </c>
      <c r="F481" s="1" t="str">
        <f aca="false">Transactions!H481</f>
        <v>POS</v>
      </c>
      <c r="G481" s="1" t="str">
        <f aca="false">Transactions!G481</f>
        <v>Dining</v>
      </c>
      <c r="H481" s="1" t="n">
        <f aca="false">IF(COUNTIFS($B$2:$B$1489,B481,$C$2:$C$1489,C481,$D$2:$D$1489,D481)&gt;6,1,0)</f>
        <v>0</v>
      </c>
      <c r="I481" s="1" t="n">
        <f aca="false">IF(AND(F481="Wire",E481&gt;=1000,MOD(E481,1000)=0),1,0)</f>
        <v>0</v>
      </c>
      <c r="J481" s="1" t="n">
        <f aca="false">IF(AND(F481="ATM",E481&gt;2000,D481&lt;=4),1,0)</f>
        <v>0</v>
      </c>
      <c r="K481" s="1" t="n">
        <f aca="false">IF(COUNTIF('SQL Findings'!$A$4:$A$18,B481)&gt;0,1,0)</f>
        <v>0</v>
      </c>
      <c r="L481" s="1" t="n">
        <f aca="false">SUM(H481:K481)</f>
        <v>0</v>
      </c>
      <c r="M481" s="1" t="str">
        <f aca="false">IF(L481&gt;=2,"High",IF(L481=1,"Medium","Low"))</f>
        <v>Low</v>
      </c>
    </row>
    <row r="482" customFormat="false" ht="15" hidden="false" customHeight="true" outlineLevel="0" collapsed="false">
      <c r="A482" s="1" t="str">
        <f aca="false">Transactions!A482</f>
        <v>TXN501458</v>
      </c>
      <c r="B482" s="1" t="str">
        <f aca="false">Transactions!B482</f>
        <v>ACC1006</v>
      </c>
      <c r="C482" s="1" t="str">
        <f aca="false">Transactions!I482</f>
        <v>2026-01-29</v>
      </c>
      <c r="D482" s="1" t="n">
        <f aca="false">Transactions!J482</f>
        <v>16</v>
      </c>
      <c r="E482" s="1" t="n">
        <f aca="false">Transactions!D482</f>
        <v>9000</v>
      </c>
      <c r="F482" s="1" t="str">
        <f aca="false">Transactions!H482</f>
        <v>Wire</v>
      </c>
      <c r="G482" s="1" t="str">
        <f aca="false">Transactions!G482</f>
        <v>Wire Transfer</v>
      </c>
      <c r="H482" s="1" t="n">
        <f aca="false">IF(COUNTIFS($B$2:$B$1489,B482,$C$2:$C$1489,C482,$D$2:$D$1489,D482)&gt;6,1,0)</f>
        <v>0</v>
      </c>
      <c r="I482" s="1" t="n">
        <f aca="false">IF(AND(F482="Wire",E482&gt;=1000,MOD(E482,1000)=0),1,0)</f>
        <v>1</v>
      </c>
      <c r="J482" s="1" t="n">
        <f aca="false">IF(AND(F482="ATM",E482&gt;2000,D482&lt;=4),1,0)</f>
        <v>0</v>
      </c>
      <c r="K482" s="1" t="n">
        <f aca="false">IF(COUNTIF('SQL Findings'!$A$4:$A$18,B482)&gt;0,1,0)</f>
        <v>0</v>
      </c>
      <c r="L482" s="1" t="n">
        <f aca="false">SUM(H482:K482)</f>
        <v>1</v>
      </c>
      <c r="M482" s="1" t="str">
        <f aca="false">IF(L482&gt;=2,"High",IF(L482=1,"Medium","Low"))</f>
        <v>Medium</v>
      </c>
    </row>
    <row r="483" customFormat="false" ht="15" hidden="false" customHeight="true" outlineLevel="0" collapsed="false">
      <c r="A483" s="1" t="str">
        <f aca="false">Transactions!A483</f>
        <v>TXN501050</v>
      </c>
      <c r="B483" s="1" t="str">
        <f aca="false">Transactions!B483</f>
        <v>ACC1045</v>
      </c>
      <c r="C483" s="1" t="str">
        <f aca="false">Transactions!I483</f>
        <v>2026-01-29</v>
      </c>
      <c r="D483" s="1" t="n">
        <f aca="false">Transactions!J483</f>
        <v>16</v>
      </c>
      <c r="E483" s="1" t="n">
        <f aca="false">Transactions!D483</f>
        <v>230.92</v>
      </c>
      <c r="F483" s="1" t="str">
        <f aca="false">Transactions!H483</f>
        <v>ATM</v>
      </c>
      <c r="G483" s="1" t="str">
        <f aca="false">Transactions!G483</f>
        <v>Retail</v>
      </c>
      <c r="H483" s="1" t="n">
        <f aca="false">IF(COUNTIFS($B$2:$B$1489,B483,$C$2:$C$1489,C483,$D$2:$D$1489,D483)&gt;6,1,0)</f>
        <v>0</v>
      </c>
      <c r="I483" s="1" t="n">
        <f aca="false">IF(AND(F483="Wire",E483&gt;=1000,MOD(E483,1000)=0),1,0)</f>
        <v>0</v>
      </c>
      <c r="J483" s="1" t="n">
        <f aca="false">IF(AND(F483="ATM",E483&gt;2000,D483&lt;=4),1,0)</f>
        <v>0</v>
      </c>
      <c r="K483" s="1" t="n">
        <f aca="false">IF(COUNTIF('SQL Findings'!$A$4:$A$18,B483)&gt;0,1,0)</f>
        <v>0</v>
      </c>
      <c r="L483" s="1" t="n">
        <f aca="false">SUM(H483:K483)</f>
        <v>0</v>
      </c>
      <c r="M483" s="1" t="str">
        <f aca="false">IF(L483&gt;=2,"High",IF(L483=1,"Medium","Low"))</f>
        <v>Low</v>
      </c>
    </row>
    <row r="484" customFormat="false" ht="15" hidden="false" customHeight="true" outlineLevel="0" collapsed="false">
      <c r="A484" s="1" t="str">
        <f aca="false">Transactions!A484</f>
        <v>TXN500994</v>
      </c>
      <c r="B484" s="1" t="str">
        <f aca="false">Transactions!B484</f>
        <v>ACC1043</v>
      </c>
      <c r="C484" s="1" t="str">
        <f aca="false">Transactions!I484</f>
        <v>2026-01-29</v>
      </c>
      <c r="D484" s="1" t="n">
        <f aca="false">Transactions!J484</f>
        <v>17</v>
      </c>
      <c r="E484" s="1" t="n">
        <f aca="false">Transactions!D484</f>
        <v>36.1</v>
      </c>
      <c r="F484" s="1" t="str">
        <f aca="false">Transactions!H484</f>
        <v>ATM</v>
      </c>
      <c r="G484" s="1" t="str">
        <f aca="false">Transactions!G484</f>
        <v>Travel</v>
      </c>
      <c r="H484" s="1" t="n">
        <f aca="false">IF(COUNTIFS($B$2:$B$1489,B484,$C$2:$C$1489,C484,$D$2:$D$1489,D484)&gt;6,1,0)</f>
        <v>0</v>
      </c>
      <c r="I484" s="1" t="n">
        <f aca="false">IF(AND(F484="Wire",E484&gt;=1000,MOD(E484,1000)=0),1,0)</f>
        <v>0</v>
      </c>
      <c r="J484" s="1" t="n">
        <f aca="false">IF(AND(F484="ATM",E484&gt;2000,D484&lt;=4),1,0)</f>
        <v>0</v>
      </c>
      <c r="K484" s="1" t="n">
        <f aca="false">IF(COUNTIF('SQL Findings'!$A$4:$A$18,B484)&gt;0,1,0)</f>
        <v>0</v>
      </c>
      <c r="L484" s="1" t="n">
        <f aca="false">SUM(H484:K484)</f>
        <v>0</v>
      </c>
      <c r="M484" s="1" t="str">
        <f aca="false">IF(L484&gt;=2,"High",IF(L484=1,"Medium","Low"))</f>
        <v>Low</v>
      </c>
    </row>
    <row r="485" customFormat="false" ht="15" hidden="false" customHeight="true" outlineLevel="0" collapsed="false">
      <c r="A485" s="1" t="str">
        <f aca="false">Transactions!A485</f>
        <v>TXN500923</v>
      </c>
      <c r="B485" s="1" t="str">
        <f aca="false">Transactions!B485</f>
        <v>ACC1039</v>
      </c>
      <c r="C485" s="1" t="str">
        <f aca="false">Transactions!I485</f>
        <v>2026-01-29</v>
      </c>
      <c r="D485" s="1" t="n">
        <f aca="false">Transactions!J485</f>
        <v>21</v>
      </c>
      <c r="E485" s="1" t="n">
        <f aca="false">Transactions!D485</f>
        <v>75.16</v>
      </c>
      <c r="F485" s="1" t="str">
        <f aca="false">Transactions!H485</f>
        <v>ATM</v>
      </c>
      <c r="G485" s="1" t="str">
        <f aca="false">Transactions!G485</f>
        <v>Electronics</v>
      </c>
      <c r="H485" s="1" t="n">
        <f aca="false">IF(COUNTIFS($B$2:$B$1489,B485,$C$2:$C$1489,C485,$D$2:$D$1489,D485)&gt;6,1,0)</f>
        <v>0</v>
      </c>
      <c r="I485" s="1" t="n">
        <f aca="false">IF(AND(F485="Wire",E485&gt;=1000,MOD(E485,1000)=0),1,0)</f>
        <v>0</v>
      </c>
      <c r="J485" s="1" t="n">
        <f aca="false">IF(AND(F485="ATM",E485&gt;2000,D485&lt;=4),1,0)</f>
        <v>0</v>
      </c>
      <c r="K485" s="1" t="n">
        <f aca="false">IF(COUNTIF('SQL Findings'!$A$4:$A$18,B485)&gt;0,1,0)</f>
        <v>0</v>
      </c>
      <c r="L485" s="1" t="n">
        <f aca="false">SUM(H485:K485)</f>
        <v>0</v>
      </c>
      <c r="M485" s="1" t="str">
        <f aca="false">IF(L485&gt;=2,"High",IF(L485=1,"Medium","Low"))</f>
        <v>Low</v>
      </c>
    </row>
    <row r="486" customFormat="false" ht="15" hidden="false" customHeight="true" outlineLevel="0" collapsed="false">
      <c r="A486" s="1" t="str">
        <f aca="false">Transactions!A486</f>
        <v>TXN500011</v>
      </c>
      <c r="B486" s="1" t="str">
        <f aca="false">Transactions!B486</f>
        <v>ACC1000</v>
      </c>
      <c r="C486" s="1" t="str">
        <f aca="false">Transactions!I486</f>
        <v>2026-01-29</v>
      </c>
      <c r="D486" s="1" t="n">
        <f aca="false">Transactions!J486</f>
        <v>23</v>
      </c>
      <c r="E486" s="1" t="n">
        <f aca="false">Transactions!D486</f>
        <v>43.94</v>
      </c>
      <c r="F486" s="1" t="str">
        <f aca="false">Transactions!H486</f>
        <v>POS</v>
      </c>
      <c r="G486" s="1" t="str">
        <f aca="false">Transactions!G486</f>
        <v>Online Marketplace</v>
      </c>
      <c r="H486" s="1" t="n">
        <f aca="false">IF(COUNTIFS($B$2:$B$1489,B486,$C$2:$C$1489,C486,$D$2:$D$1489,D486)&gt;6,1,0)</f>
        <v>0</v>
      </c>
      <c r="I486" s="1" t="n">
        <f aca="false">IF(AND(F486="Wire",E486&gt;=1000,MOD(E486,1000)=0),1,0)</f>
        <v>0</v>
      </c>
      <c r="J486" s="1" t="n">
        <f aca="false">IF(AND(F486="ATM",E486&gt;2000,D486&lt;=4),1,0)</f>
        <v>0</v>
      </c>
      <c r="K486" s="1" t="n">
        <f aca="false">IF(COUNTIF('SQL Findings'!$A$4:$A$18,B486)&gt;0,1,0)</f>
        <v>1</v>
      </c>
      <c r="L486" s="1" t="n">
        <f aca="false">SUM(H486:K486)</f>
        <v>1</v>
      </c>
      <c r="M486" s="1" t="str">
        <f aca="false">IF(L486&gt;=2,"High",IF(L486=1,"Medium","Low"))</f>
        <v>Medium</v>
      </c>
    </row>
    <row r="487" customFormat="false" ht="15" hidden="false" customHeight="true" outlineLevel="0" collapsed="false">
      <c r="A487" s="1" t="str">
        <f aca="false">Transactions!A487</f>
        <v>TXN500184</v>
      </c>
      <c r="B487" s="1" t="str">
        <f aca="false">Transactions!B487</f>
        <v>ACC1007</v>
      </c>
      <c r="C487" s="1" t="str">
        <f aca="false">Transactions!I487</f>
        <v>2026-01-29</v>
      </c>
      <c r="D487" s="1" t="n">
        <f aca="false">Transactions!J487</f>
        <v>23</v>
      </c>
      <c r="E487" s="1" t="n">
        <f aca="false">Transactions!D487</f>
        <v>102.95</v>
      </c>
      <c r="F487" s="1" t="str">
        <f aca="false">Transactions!H487</f>
        <v>Online</v>
      </c>
      <c r="G487" s="1" t="str">
        <f aca="false">Transactions!G487</f>
        <v>Electronics</v>
      </c>
      <c r="H487" s="1" t="n">
        <f aca="false">IF(COUNTIFS($B$2:$B$1489,B487,$C$2:$C$1489,C487,$D$2:$D$1489,D487)&gt;6,1,0)</f>
        <v>0</v>
      </c>
      <c r="I487" s="1" t="n">
        <f aca="false">IF(AND(F487="Wire",E487&gt;=1000,MOD(E487,1000)=0),1,0)</f>
        <v>0</v>
      </c>
      <c r="J487" s="1" t="n">
        <f aca="false">IF(AND(F487="ATM",E487&gt;2000,D487&lt;=4),1,0)</f>
        <v>0</v>
      </c>
      <c r="K487" s="1" t="n">
        <f aca="false">IF(COUNTIF('SQL Findings'!$A$4:$A$18,B487)&gt;0,1,0)</f>
        <v>0</v>
      </c>
      <c r="L487" s="1" t="n">
        <f aca="false">SUM(H487:K487)</f>
        <v>0</v>
      </c>
      <c r="M487" s="1" t="str">
        <f aca="false">IF(L487&gt;=2,"High",IF(L487=1,"Medium","Low"))</f>
        <v>Low</v>
      </c>
    </row>
    <row r="488" customFormat="false" ht="15" hidden="false" customHeight="true" outlineLevel="0" collapsed="false">
      <c r="A488" s="1" t="str">
        <f aca="false">Transactions!A488</f>
        <v>TXN500446</v>
      </c>
      <c r="B488" s="1" t="str">
        <f aca="false">Transactions!B488</f>
        <v>ACC1020</v>
      </c>
      <c r="C488" s="1" t="str">
        <f aca="false">Transactions!I488</f>
        <v>2026-01-30</v>
      </c>
      <c r="D488" s="1" t="n">
        <f aca="false">Transactions!J488</f>
        <v>2</v>
      </c>
      <c r="E488" s="1" t="n">
        <f aca="false">Transactions!D488</f>
        <v>121.84</v>
      </c>
      <c r="F488" s="1" t="str">
        <f aca="false">Transactions!H488</f>
        <v>ATM</v>
      </c>
      <c r="G488" s="1" t="str">
        <f aca="false">Transactions!G488</f>
        <v>Cash Withdrawal</v>
      </c>
      <c r="H488" s="1" t="n">
        <f aca="false">IF(COUNTIFS($B$2:$B$1489,B488,$C$2:$C$1489,C488,$D$2:$D$1489,D488)&gt;6,1,0)</f>
        <v>0</v>
      </c>
      <c r="I488" s="1" t="n">
        <f aca="false">IF(AND(F488="Wire",E488&gt;=1000,MOD(E488,1000)=0),1,0)</f>
        <v>0</v>
      </c>
      <c r="J488" s="1" t="n">
        <f aca="false">IF(AND(F488="ATM",E488&gt;2000,D488&lt;=4),1,0)</f>
        <v>0</v>
      </c>
      <c r="K488" s="1" t="n">
        <f aca="false">IF(COUNTIF('SQL Findings'!$A$4:$A$18,B488)&gt;0,1,0)</f>
        <v>0</v>
      </c>
      <c r="L488" s="1" t="n">
        <f aca="false">SUM(H488:K488)</f>
        <v>0</v>
      </c>
      <c r="M488" s="1" t="str">
        <f aca="false">IF(L488&gt;=2,"High",IF(L488=1,"Medium","Low"))</f>
        <v>Low</v>
      </c>
    </row>
    <row r="489" customFormat="false" ht="15" hidden="false" customHeight="true" outlineLevel="0" collapsed="false">
      <c r="A489" s="1" t="str">
        <f aca="false">Transactions!A489</f>
        <v>TXN500975</v>
      </c>
      <c r="B489" s="1" t="str">
        <f aca="false">Transactions!B489</f>
        <v>ACC1042</v>
      </c>
      <c r="C489" s="1" t="str">
        <f aca="false">Transactions!I489</f>
        <v>2026-01-30</v>
      </c>
      <c r="D489" s="1" t="n">
        <f aca="false">Transactions!J489</f>
        <v>3</v>
      </c>
      <c r="E489" s="1" t="n">
        <f aca="false">Transactions!D489</f>
        <v>44.63</v>
      </c>
      <c r="F489" s="1" t="str">
        <f aca="false">Transactions!H489</f>
        <v>POS</v>
      </c>
      <c r="G489" s="1" t="str">
        <f aca="false">Transactions!G489</f>
        <v>Dining</v>
      </c>
      <c r="H489" s="1" t="n">
        <f aca="false">IF(COUNTIFS($B$2:$B$1489,B489,$C$2:$C$1489,C489,$D$2:$D$1489,D489)&gt;6,1,0)</f>
        <v>0</v>
      </c>
      <c r="I489" s="1" t="n">
        <f aca="false">IF(AND(F489="Wire",E489&gt;=1000,MOD(E489,1000)=0),1,0)</f>
        <v>0</v>
      </c>
      <c r="J489" s="1" t="n">
        <f aca="false">IF(AND(F489="ATM",E489&gt;2000,D489&lt;=4),1,0)</f>
        <v>0</v>
      </c>
      <c r="K489" s="1" t="n">
        <f aca="false">IF(COUNTIF('SQL Findings'!$A$4:$A$18,B489)&gt;0,1,0)</f>
        <v>1</v>
      </c>
      <c r="L489" s="1" t="n">
        <f aca="false">SUM(H489:K489)</f>
        <v>1</v>
      </c>
      <c r="M489" s="1" t="str">
        <f aca="false">IF(L489&gt;=2,"High",IF(L489=1,"Medium","Low"))</f>
        <v>Medium</v>
      </c>
    </row>
    <row r="490" customFormat="false" ht="15" hidden="false" customHeight="true" outlineLevel="0" collapsed="false">
      <c r="A490" s="1" t="str">
        <f aca="false">Transactions!A490</f>
        <v>TXN500838</v>
      </c>
      <c r="B490" s="1" t="str">
        <f aca="false">Transactions!B490</f>
        <v>ACC1035</v>
      </c>
      <c r="C490" s="1" t="str">
        <f aca="false">Transactions!I490</f>
        <v>2026-01-30</v>
      </c>
      <c r="D490" s="1" t="n">
        <f aca="false">Transactions!J490</f>
        <v>7</v>
      </c>
      <c r="E490" s="1" t="n">
        <f aca="false">Transactions!D490</f>
        <v>27.15</v>
      </c>
      <c r="F490" s="1" t="str">
        <f aca="false">Transactions!H490</f>
        <v>ATM</v>
      </c>
      <c r="G490" s="1" t="str">
        <f aca="false">Transactions!G490</f>
        <v>Dining</v>
      </c>
      <c r="H490" s="1" t="n">
        <f aca="false">IF(COUNTIFS($B$2:$B$1489,B490,$C$2:$C$1489,C490,$D$2:$D$1489,D490)&gt;6,1,0)</f>
        <v>0</v>
      </c>
      <c r="I490" s="1" t="n">
        <f aca="false">IF(AND(F490="Wire",E490&gt;=1000,MOD(E490,1000)=0),1,0)</f>
        <v>0</v>
      </c>
      <c r="J490" s="1" t="n">
        <f aca="false">IF(AND(F490="ATM",E490&gt;2000,D490&lt;=4),1,0)</f>
        <v>0</v>
      </c>
      <c r="K490" s="1" t="n">
        <f aca="false">IF(COUNTIF('SQL Findings'!$A$4:$A$18,B490)&gt;0,1,0)</f>
        <v>0</v>
      </c>
      <c r="L490" s="1" t="n">
        <f aca="false">SUM(H490:K490)</f>
        <v>0</v>
      </c>
      <c r="M490" s="1" t="str">
        <f aca="false">IF(L490&gt;=2,"High",IF(L490=1,"Medium","Low"))</f>
        <v>Low</v>
      </c>
    </row>
    <row r="491" customFormat="false" ht="15" hidden="false" customHeight="true" outlineLevel="0" collapsed="false">
      <c r="A491" s="1" t="str">
        <f aca="false">Transactions!A491</f>
        <v>TXN501045</v>
      </c>
      <c r="B491" s="1" t="str">
        <f aca="false">Transactions!B491</f>
        <v>ACC1045</v>
      </c>
      <c r="C491" s="1" t="str">
        <f aca="false">Transactions!I491</f>
        <v>2026-01-30</v>
      </c>
      <c r="D491" s="1" t="n">
        <f aca="false">Transactions!J491</f>
        <v>7</v>
      </c>
      <c r="E491" s="1" t="n">
        <f aca="false">Transactions!D491</f>
        <v>57.09</v>
      </c>
      <c r="F491" s="1" t="str">
        <f aca="false">Transactions!H491</f>
        <v>POS</v>
      </c>
      <c r="G491" s="1" t="str">
        <f aca="false">Transactions!G491</f>
        <v>Cash Withdrawal</v>
      </c>
      <c r="H491" s="1" t="n">
        <f aca="false">IF(COUNTIFS($B$2:$B$1489,B491,$C$2:$C$1489,C491,$D$2:$D$1489,D491)&gt;6,1,0)</f>
        <v>0</v>
      </c>
      <c r="I491" s="1" t="n">
        <f aca="false">IF(AND(F491="Wire",E491&gt;=1000,MOD(E491,1000)=0),1,0)</f>
        <v>0</v>
      </c>
      <c r="J491" s="1" t="n">
        <f aca="false">IF(AND(F491="ATM",E491&gt;2000,D491&lt;=4),1,0)</f>
        <v>0</v>
      </c>
      <c r="K491" s="1" t="n">
        <f aca="false">IF(COUNTIF('SQL Findings'!$A$4:$A$18,B491)&gt;0,1,0)</f>
        <v>0</v>
      </c>
      <c r="L491" s="1" t="n">
        <f aca="false">SUM(H491:K491)</f>
        <v>0</v>
      </c>
      <c r="M491" s="1" t="str">
        <f aca="false">IF(L491&gt;=2,"High",IF(L491=1,"Medium","Low"))</f>
        <v>Low</v>
      </c>
    </row>
    <row r="492" customFormat="false" ht="15" hidden="false" customHeight="true" outlineLevel="0" collapsed="false">
      <c r="A492" s="1" t="str">
        <f aca="false">Transactions!A492</f>
        <v>TXN500986</v>
      </c>
      <c r="B492" s="1" t="str">
        <f aca="false">Transactions!B492</f>
        <v>ACC1043</v>
      </c>
      <c r="C492" s="1" t="str">
        <f aca="false">Transactions!I492</f>
        <v>2026-01-30</v>
      </c>
      <c r="D492" s="1" t="n">
        <f aca="false">Transactions!J492</f>
        <v>10</v>
      </c>
      <c r="E492" s="1" t="n">
        <f aca="false">Transactions!D492</f>
        <v>23.51</v>
      </c>
      <c r="F492" s="1" t="str">
        <f aca="false">Transactions!H492</f>
        <v>Online</v>
      </c>
      <c r="G492" s="1" t="str">
        <f aca="false">Transactions!G492</f>
        <v>Electronics</v>
      </c>
      <c r="H492" s="1" t="n">
        <f aca="false">IF(COUNTIFS($B$2:$B$1489,B492,$C$2:$C$1489,C492,$D$2:$D$1489,D492)&gt;6,1,0)</f>
        <v>0</v>
      </c>
      <c r="I492" s="1" t="n">
        <f aca="false">IF(AND(F492="Wire",E492&gt;=1000,MOD(E492,1000)=0),1,0)</f>
        <v>0</v>
      </c>
      <c r="J492" s="1" t="n">
        <f aca="false">IF(AND(F492="ATM",E492&gt;2000,D492&lt;=4),1,0)</f>
        <v>0</v>
      </c>
      <c r="K492" s="1" t="n">
        <f aca="false">IF(COUNTIF('SQL Findings'!$A$4:$A$18,B492)&gt;0,1,0)</f>
        <v>0</v>
      </c>
      <c r="L492" s="1" t="n">
        <f aca="false">SUM(H492:K492)</f>
        <v>0</v>
      </c>
      <c r="M492" s="1" t="str">
        <f aca="false">IF(L492&gt;=2,"High",IF(L492=1,"Medium","Low"))</f>
        <v>Low</v>
      </c>
    </row>
    <row r="493" customFormat="false" ht="15" hidden="false" customHeight="true" outlineLevel="0" collapsed="false">
      <c r="A493" s="1" t="str">
        <f aca="false">Transactions!A493</f>
        <v>TXN500210</v>
      </c>
      <c r="B493" s="1" t="str">
        <f aca="false">Transactions!B493</f>
        <v>ACC1009</v>
      </c>
      <c r="C493" s="1" t="str">
        <f aca="false">Transactions!I493</f>
        <v>2026-01-30</v>
      </c>
      <c r="D493" s="1" t="n">
        <f aca="false">Transactions!J493</f>
        <v>11</v>
      </c>
      <c r="E493" s="1" t="n">
        <f aca="false">Transactions!D493</f>
        <v>2137.64</v>
      </c>
      <c r="F493" s="1" t="str">
        <f aca="false">Transactions!H493</f>
        <v>Online</v>
      </c>
      <c r="G493" s="1" t="str">
        <f aca="false">Transactions!G493</f>
        <v>Online Marketplace</v>
      </c>
      <c r="H493" s="1" t="n">
        <f aca="false">IF(COUNTIFS($B$2:$B$1489,B493,$C$2:$C$1489,C493,$D$2:$D$1489,D493)&gt;6,1,0)</f>
        <v>0</v>
      </c>
      <c r="I493" s="1" t="n">
        <f aca="false">IF(AND(F493="Wire",E493&gt;=1000,MOD(E493,1000)=0),1,0)</f>
        <v>0</v>
      </c>
      <c r="J493" s="1" t="n">
        <f aca="false">IF(AND(F493="ATM",E493&gt;2000,D493&lt;=4),1,0)</f>
        <v>0</v>
      </c>
      <c r="K493" s="1" t="n">
        <f aca="false">IF(COUNTIF('SQL Findings'!$A$4:$A$18,B493)&gt;0,1,0)</f>
        <v>1</v>
      </c>
      <c r="L493" s="1" t="n">
        <f aca="false">SUM(H493:K493)</f>
        <v>1</v>
      </c>
      <c r="M493" s="1" t="str">
        <f aca="false">IF(L493&gt;=2,"High",IF(L493=1,"Medium","Low"))</f>
        <v>Medium</v>
      </c>
    </row>
    <row r="494" customFormat="false" ht="15" hidden="false" customHeight="true" outlineLevel="0" collapsed="false">
      <c r="A494" s="1" t="str">
        <f aca="false">Transactions!A494</f>
        <v>TXN501016</v>
      </c>
      <c r="B494" s="1" t="str">
        <f aca="false">Transactions!B494</f>
        <v>ACC1044</v>
      </c>
      <c r="C494" s="1" t="str">
        <f aca="false">Transactions!I494</f>
        <v>2026-01-30</v>
      </c>
      <c r="D494" s="1" t="n">
        <f aca="false">Transactions!J494</f>
        <v>11</v>
      </c>
      <c r="E494" s="1" t="n">
        <f aca="false">Transactions!D494</f>
        <v>79.69</v>
      </c>
      <c r="F494" s="1" t="str">
        <f aca="false">Transactions!H494</f>
        <v>POS</v>
      </c>
      <c r="G494" s="1" t="str">
        <f aca="false">Transactions!G494</f>
        <v>Travel</v>
      </c>
      <c r="H494" s="1" t="n">
        <f aca="false">IF(COUNTIFS($B$2:$B$1489,B494,$C$2:$C$1489,C494,$D$2:$D$1489,D494)&gt;6,1,0)</f>
        <v>0</v>
      </c>
      <c r="I494" s="1" t="n">
        <f aca="false">IF(AND(F494="Wire",E494&gt;=1000,MOD(E494,1000)=0),1,0)</f>
        <v>0</v>
      </c>
      <c r="J494" s="1" t="n">
        <f aca="false">IF(AND(F494="ATM",E494&gt;2000,D494&lt;=4),1,0)</f>
        <v>0</v>
      </c>
      <c r="K494" s="1" t="n">
        <f aca="false">IF(COUNTIF('SQL Findings'!$A$4:$A$18,B494)&gt;0,1,0)</f>
        <v>0</v>
      </c>
      <c r="L494" s="1" t="n">
        <f aca="false">SUM(H494:K494)</f>
        <v>0</v>
      </c>
      <c r="M494" s="1" t="str">
        <f aca="false">IF(L494&gt;=2,"High",IF(L494=1,"Medium","Low"))</f>
        <v>Low</v>
      </c>
    </row>
    <row r="495" customFormat="false" ht="15" hidden="false" customHeight="true" outlineLevel="0" collapsed="false">
      <c r="A495" s="1" t="str">
        <f aca="false">Transactions!A495</f>
        <v>TXN500766</v>
      </c>
      <c r="B495" s="1" t="str">
        <f aca="false">Transactions!B495</f>
        <v>ACC1033</v>
      </c>
      <c r="C495" s="1" t="str">
        <f aca="false">Transactions!I495</f>
        <v>2026-01-30</v>
      </c>
      <c r="D495" s="1" t="n">
        <f aca="false">Transactions!J495</f>
        <v>12</v>
      </c>
      <c r="E495" s="1" t="n">
        <f aca="false">Transactions!D495</f>
        <v>35.42</v>
      </c>
      <c r="F495" s="1" t="str">
        <f aca="false">Transactions!H495</f>
        <v>ATM</v>
      </c>
      <c r="G495" s="1" t="str">
        <f aca="false">Transactions!G495</f>
        <v>Wire Transfer</v>
      </c>
      <c r="H495" s="1" t="n">
        <f aca="false">IF(COUNTIFS($B$2:$B$1489,B495,$C$2:$C$1489,C495,$D$2:$D$1489,D495)&gt;6,1,0)</f>
        <v>0</v>
      </c>
      <c r="I495" s="1" t="n">
        <f aca="false">IF(AND(F495="Wire",E495&gt;=1000,MOD(E495,1000)=0),1,0)</f>
        <v>0</v>
      </c>
      <c r="J495" s="1" t="n">
        <f aca="false">IF(AND(F495="ATM",E495&gt;2000,D495&lt;=4),1,0)</f>
        <v>0</v>
      </c>
      <c r="K495" s="1" t="n">
        <f aca="false">IF(COUNTIF('SQL Findings'!$A$4:$A$18,B495)&gt;0,1,0)</f>
        <v>0</v>
      </c>
      <c r="L495" s="1" t="n">
        <f aca="false">SUM(H495:K495)</f>
        <v>0</v>
      </c>
      <c r="M495" s="1" t="str">
        <f aca="false">IF(L495&gt;=2,"High",IF(L495=1,"Medium","Low"))</f>
        <v>Low</v>
      </c>
    </row>
    <row r="496" customFormat="false" ht="15" hidden="false" customHeight="true" outlineLevel="0" collapsed="false">
      <c r="A496" s="1" t="str">
        <f aca="false">Transactions!A496</f>
        <v>TXN500728</v>
      </c>
      <c r="B496" s="1" t="str">
        <f aca="false">Transactions!B496</f>
        <v>ACC1031</v>
      </c>
      <c r="C496" s="1" t="str">
        <f aca="false">Transactions!I496</f>
        <v>2026-01-30</v>
      </c>
      <c r="D496" s="1" t="n">
        <f aca="false">Transactions!J496</f>
        <v>13</v>
      </c>
      <c r="E496" s="1" t="n">
        <f aca="false">Transactions!D496</f>
        <v>91.18</v>
      </c>
      <c r="F496" s="1" t="str">
        <f aca="false">Transactions!H496</f>
        <v>POS</v>
      </c>
      <c r="G496" s="1" t="str">
        <f aca="false">Transactions!G496</f>
        <v>Online Marketplace</v>
      </c>
      <c r="H496" s="1" t="n">
        <f aca="false">IF(COUNTIFS($B$2:$B$1489,B496,$C$2:$C$1489,C496,$D$2:$D$1489,D496)&gt;6,1,0)</f>
        <v>0</v>
      </c>
      <c r="I496" s="1" t="n">
        <f aca="false">IF(AND(F496="Wire",E496&gt;=1000,MOD(E496,1000)=0),1,0)</f>
        <v>0</v>
      </c>
      <c r="J496" s="1" t="n">
        <f aca="false">IF(AND(F496="ATM",E496&gt;2000,D496&lt;=4),1,0)</f>
        <v>0</v>
      </c>
      <c r="K496" s="1" t="n">
        <f aca="false">IF(COUNTIF('SQL Findings'!$A$4:$A$18,B496)&gt;0,1,0)</f>
        <v>0</v>
      </c>
      <c r="L496" s="1" t="n">
        <f aca="false">SUM(H496:K496)</f>
        <v>0</v>
      </c>
      <c r="M496" s="1" t="str">
        <f aca="false">IF(L496&gt;=2,"High",IF(L496=1,"Medium","Low"))</f>
        <v>Low</v>
      </c>
    </row>
    <row r="497" customFormat="false" ht="15" hidden="false" customHeight="true" outlineLevel="0" collapsed="false">
      <c r="A497" s="1" t="str">
        <f aca="false">Transactions!A497</f>
        <v>TXN501093</v>
      </c>
      <c r="B497" s="1" t="str">
        <f aca="false">Transactions!B497</f>
        <v>ACC1048</v>
      </c>
      <c r="C497" s="1" t="str">
        <f aca="false">Transactions!I497</f>
        <v>2026-01-30</v>
      </c>
      <c r="D497" s="1" t="n">
        <f aca="false">Transactions!J497</f>
        <v>16</v>
      </c>
      <c r="E497" s="1" t="n">
        <f aca="false">Transactions!D497</f>
        <v>128.36</v>
      </c>
      <c r="F497" s="1" t="str">
        <f aca="false">Transactions!H497</f>
        <v>POS</v>
      </c>
      <c r="G497" s="1" t="str">
        <f aca="false">Transactions!G497</f>
        <v>Cash Withdrawal</v>
      </c>
      <c r="H497" s="1" t="n">
        <f aca="false">IF(COUNTIFS($B$2:$B$1489,B497,$C$2:$C$1489,C497,$D$2:$D$1489,D497)&gt;6,1,0)</f>
        <v>0</v>
      </c>
      <c r="I497" s="1" t="n">
        <f aca="false">IF(AND(F497="Wire",E497&gt;=1000,MOD(E497,1000)=0),1,0)</f>
        <v>0</v>
      </c>
      <c r="J497" s="1" t="n">
        <f aca="false">IF(AND(F497="ATM",E497&gt;2000,D497&lt;=4),1,0)</f>
        <v>0</v>
      </c>
      <c r="K497" s="1" t="n">
        <f aca="false">IF(COUNTIF('SQL Findings'!$A$4:$A$18,B497)&gt;0,1,0)</f>
        <v>0</v>
      </c>
      <c r="L497" s="1" t="n">
        <f aca="false">SUM(H497:K497)</f>
        <v>0</v>
      </c>
      <c r="M497" s="1" t="str">
        <f aca="false">IF(L497&gt;=2,"High",IF(L497=1,"Medium","Low"))</f>
        <v>Low</v>
      </c>
    </row>
    <row r="498" customFormat="false" ht="15" hidden="false" customHeight="true" outlineLevel="0" collapsed="false">
      <c r="A498" s="1" t="str">
        <f aca="false">Transactions!A498</f>
        <v>TXN500006</v>
      </c>
      <c r="B498" s="1" t="str">
        <f aca="false">Transactions!B498</f>
        <v>ACC1000</v>
      </c>
      <c r="C498" s="1" t="str">
        <f aca="false">Transactions!I498</f>
        <v>2026-01-30</v>
      </c>
      <c r="D498" s="1" t="n">
        <f aca="false">Transactions!J498</f>
        <v>17</v>
      </c>
      <c r="E498" s="1" t="n">
        <f aca="false">Transactions!D498</f>
        <v>54.02</v>
      </c>
      <c r="F498" s="1" t="str">
        <f aca="false">Transactions!H498</f>
        <v>Online</v>
      </c>
      <c r="G498" s="1" t="str">
        <f aca="false">Transactions!G498</f>
        <v>Cash Withdrawal</v>
      </c>
      <c r="H498" s="1" t="n">
        <f aca="false">IF(COUNTIFS($B$2:$B$1489,B498,$C$2:$C$1489,C498,$D$2:$D$1489,D498)&gt;6,1,0)</f>
        <v>0</v>
      </c>
      <c r="I498" s="1" t="n">
        <f aca="false">IF(AND(F498="Wire",E498&gt;=1000,MOD(E498,1000)=0),1,0)</f>
        <v>0</v>
      </c>
      <c r="J498" s="1" t="n">
        <f aca="false">IF(AND(F498="ATM",E498&gt;2000,D498&lt;=4),1,0)</f>
        <v>0</v>
      </c>
      <c r="K498" s="1" t="n">
        <f aca="false">IF(COUNTIF('SQL Findings'!$A$4:$A$18,B498)&gt;0,1,0)</f>
        <v>1</v>
      </c>
      <c r="L498" s="1" t="n">
        <f aca="false">SUM(H498:K498)</f>
        <v>1</v>
      </c>
      <c r="M498" s="1" t="str">
        <f aca="false">IF(L498&gt;=2,"High",IF(L498=1,"Medium","Low"))</f>
        <v>Medium</v>
      </c>
    </row>
    <row r="499" customFormat="false" ht="15" hidden="false" customHeight="true" outlineLevel="0" collapsed="false">
      <c r="A499" s="1" t="str">
        <f aca="false">Transactions!A499</f>
        <v>TXN501295</v>
      </c>
      <c r="B499" s="1" t="str">
        <f aca="false">Transactions!B499</f>
        <v>ACC1056</v>
      </c>
      <c r="C499" s="1" t="str">
        <f aca="false">Transactions!I499</f>
        <v>2026-01-30</v>
      </c>
      <c r="D499" s="1" t="n">
        <f aca="false">Transactions!J499</f>
        <v>21</v>
      </c>
      <c r="E499" s="1" t="n">
        <f aca="false">Transactions!D499</f>
        <v>71.78</v>
      </c>
      <c r="F499" s="1" t="str">
        <f aca="false">Transactions!H499</f>
        <v>Online</v>
      </c>
      <c r="G499" s="1" t="str">
        <f aca="false">Transactions!G499</f>
        <v>Utilities</v>
      </c>
      <c r="H499" s="1" t="n">
        <f aca="false">IF(COUNTIFS($B$2:$B$1489,B499,$C$2:$C$1489,C499,$D$2:$D$1489,D499)&gt;6,1,0)</f>
        <v>0</v>
      </c>
      <c r="I499" s="1" t="n">
        <f aca="false">IF(AND(F499="Wire",E499&gt;=1000,MOD(E499,1000)=0),1,0)</f>
        <v>0</v>
      </c>
      <c r="J499" s="1" t="n">
        <f aca="false">IF(AND(F499="ATM",E499&gt;2000,D499&lt;=4),1,0)</f>
        <v>0</v>
      </c>
      <c r="K499" s="1" t="n">
        <f aca="false">IF(COUNTIF('SQL Findings'!$A$4:$A$18,B499)&gt;0,1,0)</f>
        <v>0</v>
      </c>
      <c r="L499" s="1" t="n">
        <f aca="false">SUM(H499:K499)</f>
        <v>0</v>
      </c>
      <c r="M499" s="1" t="str">
        <f aca="false">IF(L499&gt;=2,"High",IF(L499=1,"Medium","Low"))</f>
        <v>Low</v>
      </c>
    </row>
    <row r="500" customFormat="false" ht="15" hidden="false" customHeight="true" outlineLevel="0" collapsed="false">
      <c r="A500" s="1" t="str">
        <f aca="false">Transactions!A500</f>
        <v>TXN500022</v>
      </c>
      <c r="B500" s="1" t="str">
        <f aca="false">Transactions!B500</f>
        <v>ACC1000</v>
      </c>
      <c r="C500" s="1" t="str">
        <f aca="false">Transactions!I500</f>
        <v>2026-01-31</v>
      </c>
      <c r="D500" s="1" t="n">
        <f aca="false">Transactions!J500</f>
        <v>2</v>
      </c>
      <c r="E500" s="1" t="n">
        <f aca="false">Transactions!D500</f>
        <v>54.42</v>
      </c>
      <c r="F500" s="1" t="str">
        <f aca="false">Transactions!H500</f>
        <v>POS</v>
      </c>
      <c r="G500" s="1" t="str">
        <f aca="false">Transactions!G500</f>
        <v>Electronics</v>
      </c>
      <c r="H500" s="1" t="n">
        <f aca="false">IF(COUNTIFS($B$2:$B$1489,B500,$C$2:$C$1489,C500,$D$2:$D$1489,D500)&gt;6,1,0)</f>
        <v>0</v>
      </c>
      <c r="I500" s="1" t="n">
        <f aca="false">IF(AND(F500="Wire",E500&gt;=1000,MOD(E500,1000)=0),1,0)</f>
        <v>0</v>
      </c>
      <c r="J500" s="1" t="n">
        <f aca="false">IF(AND(F500="ATM",E500&gt;2000,D500&lt;=4),1,0)</f>
        <v>0</v>
      </c>
      <c r="K500" s="1" t="n">
        <f aca="false">IF(COUNTIF('SQL Findings'!$A$4:$A$18,B500)&gt;0,1,0)</f>
        <v>1</v>
      </c>
      <c r="L500" s="1" t="n">
        <f aca="false">SUM(H500:K500)</f>
        <v>1</v>
      </c>
      <c r="M500" s="1" t="str">
        <f aca="false">IF(L500&gt;=2,"High",IF(L500=1,"Medium","Low"))</f>
        <v>Medium</v>
      </c>
    </row>
    <row r="501" customFormat="false" ht="15" hidden="false" customHeight="true" outlineLevel="0" collapsed="false">
      <c r="A501" s="1" t="str">
        <f aca="false">Transactions!A501</f>
        <v>TXN500040</v>
      </c>
      <c r="B501" s="1" t="str">
        <f aca="false">Transactions!B501</f>
        <v>ACC1001</v>
      </c>
      <c r="C501" s="1" t="str">
        <f aca="false">Transactions!I501</f>
        <v>2026-01-31</v>
      </c>
      <c r="D501" s="1" t="n">
        <f aca="false">Transactions!J501</f>
        <v>6</v>
      </c>
      <c r="E501" s="1" t="n">
        <f aca="false">Transactions!D501</f>
        <v>79.61</v>
      </c>
      <c r="F501" s="1" t="str">
        <f aca="false">Transactions!H501</f>
        <v>POS</v>
      </c>
      <c r="G501" s="1" t="str">
        <f aca="false">Transactions!G501</f>
        <v>Online Marketplace</v>
      </c>
      <c r="H501" s="1" t="n">
        <f aca="false">IF(COUNTIFS($B$2:$B$1489,B501,$C$2:$C$1489,C501,$D$2:$D$1489,D501)&gt;6,1,0)</f>
        <v>0</v>
      </c>
      <c r="I501" s="1" t="n">
        <f aca="false">IF(AND(F501="Wire",E501&gt;=1000,MOD(E501,1000)=0),1,0)</f>
        <v>0</v>
      </c>
      <c r="J501" s="1" t="n">
        <f aca="false">IF(AND(F501="ATM",E501&gt;2000,D501&lt;=4),1,0)</f>
        <v>0</v>
      </c>
      <c r="K501" s="1" t="n">
        <f aca="false">IF(COUNTIF('SQL Findings'!$A$4:$A$18,B501)&gt;0,1,0)</f>
        <v>1</v>
      </c>
      <c r="L501" s="1" t="n">
        <f aca="false">SUM(H501:K501)</f>
        <v>1</v>
      </c>
      <c r="M501" s="1" t="str">
        <f aca="false">IF(L501&gt;=2,"High",IF(L501=1,"Medium","Low"))</f>
        <v>Medium</v>
      </c>
    </row>
    <row r="502" customFormat="false" ht="15" hidden="false" customHeight="true" outlineLevel="0" collapsed="false">
      <c r="A502" s="1" t="str">
        <f aca="false">Transactions!A502</f>
        <v>TXN501131</v>
      </c>
      <c r="B502" s="1" t="str">
        <f aca="false">Transactions!B502</f>
        <v>ACC1050</v>
      </c>
      <c r="C502" s="1" t="str">
        <f aca="false">Transactions!I502</f>
        <v>2026-01-31</v>
      </c>
      <c r="D502" s="1" t="n">
        <f aca="false">Transactions!J502</f>
        <v>9</v>
      </c>
      <c r="E502" s="1" t="n">
        <f aca="false">Transactions!D502</f>
        <v>89.05</v>
      </c>
      <c r="F502" s="1" t="str">
        <f aca="false">Transactions!H502</f>
        <v>POS</v>
      </c>
      <c r="G502" s="1" t="str">
        <f aca="false">Transactions!G502</f>
        <v>Wire Transfer</v>
      </c>
      <c r="H502" s="1" t="n">
        <f aca="false">IF(COUNTIFS($B$2:$B$1489,B502,$C$2:$C$1489,C502,$D$2:$D$1489,D502)&gt;6,1,0)</f>
        <v>0</v>
      </c>
      <c r="I502" s="1" t="n">
        <f aca="false">IF(AND(F502="Wire",E502&gt;=1000,MOD(E502,1000)=0),1,0)</f>
        <v>0</v>
      </c>
      <c r="J502" s="1" t="n">
        <f aca="false">IF(AND(F502="ATM",E502&gt;2000,D502&lt;=4),1,0)</f>
        <v>0</v>
      </c>
      <c r="K502" s="1" t="n">
        <f aca="false">IF(COUNTIF('SQL Findings'!$A$4:$A$18,B502)&gt;0,1,0)</f>
        <v>0</v>
      </c>
      <c r="L502" s="1" t="n">
        <f aca="false">SUM(H502:K502)</f>
        <v>0</v>
      </c>
      <c r="M502" s="1" t="str">
        <f aca="false">IF(L502&gt;=2,"High",IF(L502=1,"Medium","Low"))</f>
        <v>Low</v>
      </c>
    </row>
    <row r="503" customFormat="false" ht="15" hidden="false" customHeight="true" outlineLevel="0" collapsed="false">
      <c r="A503" s="1" t="str">
        <f aca="false">Transactions!A503</f>
        <v>TXN501272</v>
      </c>
      <c r="B503" s="1" t="str">
        <f aca="false">Transactions!B503</f>
        <v>ACC1056</v>
      </c>
      <c r="C503" s="1" t="str">
        <f aca="false">Transactions!I503</f>
        <v>2026-01-31</v>
      </c>
      <c r="D503" s="1" t="n">
        <f aca="false">Transactions!J503</f>
        <v>9</v>
      </c>
      <c r="E503" s="1" t="n">
        <f aca="false">Transactions!D503</f>
        <v>115.38</v>
      </c>
      <c r="F503" s="1" t="str">
        <f aca="false">Transactions!H503</f>
        <v>POS</v>
      </c>
      <c r="G503" s="1" t="str">
        <f aca="false">Transactions!G503</f>
        <v>Utilities</v>
      </c>
      <c r="H503" s="1" t="n">
        <f aca="false">IF(COUNTIFS($B$2:$B$1489,B503,$C$2:$C$1489,C503,$D$2:$D$1489,D503)&gt;6,1,0)</f>
        <v>0</v>
      </c>
      <c r="I503" s="1" t="n">
        <f aca="false">IF(AND(F503="Wire",E503&gt;=1000,MOD(E503,1000)=0),1,0)</f>
        <v>0</v>
      </c>
      <c r="J503" s="1" t="n">
        <f aca="false">IF(AND(F503="ATM",E503&gt;2000,D503&lt;=4),1,0)</f>
        <v>0</v>
      </c>
      <c r="K503" s="1" t="n">
        <f aca="false">IF(COUNTIF('SQL Findings'!$A$4:$A$18,B503)&gt;0,1,0)</f>
        <v>0</v>
      </c>
      <c r="L503" s="1" t="n">
        <f aca="false">SUM(H503:K503)</f>
        <v>0</v>
      </c>
      <c r="M503" s="1" t="str">
        <f aca="false">IF(L503&gt;=2,"High",IF(L503=1,"Medium","Low"))</f>
        <v>Low</v>
      </c>
    </row>
    <row r="504" customFormat="false" ht="15" hidden="false" customHeight="true" outlineLevel="0" collapsed="false">
      <c r="A504" s="1" t="str">
        <f aca="false">Transactions!A504</f>
        <v>TXN500215</v>
      </c>
      <c r="B504" s="1" t="str">
        <f aca="false">Transactions!B504</f>
        <v>ACC1009</v>
      </c>
      <c r="C504" s="1" t="str">
        <f aca="false">Transactions!I504</f>
        <v>2026-01-31</v>
      </c>
      <c r="D504" s="1" t="n">
        <f aca="false">Transactions!J504</f>
        <v>10</v>
      </c>
      <c r="E504" s="1" t="n">
        <f aca="false">Transactions!D504</f>
        <v>50.21</v>
      </c>
      <c r="F504" s="1" t="str">
        <f aca="false">Transactions!H504</f>
        <v>ATM</v>
      </c>
      <c r="G504" s="1" t="str">
        <f aca="false">Transactions!G504</f>
        <v>Utilities</v>
      </c>
      <c r="H504" s="1" t="n">
        <f aca="false">IF(COUNTIFS($B$2:$B$1489,B504,$C$2:$C$1489,C504,$D$2:$D$1489,D504)&gt;6,1,0)</f>
        <v>0</v>
      </c>
      <c r="I504" s="1" t="n">
        <f aca="false">IF(AND(F504="Wire",E504&gt;=1000,MOD(E504,1000)=0),1,0)</f>
        <v>0</v>
      </c>
      <c r="J504" s="1" t="n">
        <f aca="false">IF(AND(F504="ATM",E504&gt;2000,D504&lt;=4),1,0)</f>
        <v>0</v>
      </c>
      <c r="K504" s="1" t="n">
        <f aca="false">IF(COUNTIF('SQL Findings'!$A$4:$A$18,B504)&gt;0,1,0)</f>
        <v>1</v>
      </c>
      <c r="L504" s="1" t="n">
        <f aca="false">SUM(H504:K504)</f>
        <v>1</v>
      </c>
      <c r="M504" s="1" t="str">
        <f aca="false">IF(L504&gt;=2,"High",IF(L504=1,"Medium","Low"))</f>
        <v>Medium</v>
      </c>
    </row>
    <row r="505" customFormat="false" ht="15" hidden="false" customHeight="true" outlineLevel="0" collapsed="false">
      <c r="A505" s="1" t="str">
        <f aca="false">Transactions!A505</f>
        <v>TXN500768</v>
      </c>
      <c r="B505" s="1" t="str">
        <f aca="false">Transactions!B505</f>
        <v>ACC1033</v>
      </c>
      <c r="C505" s="1" t="str">
        <f aca="false">Transactions!I505</f>
        <v>2026-01-31</v>
      </c>
      <c r="D505" s="1" t="n">
        <f aca="false">Transactions!J505</f>
        <v>11</v>
      </c>
      <c r="E505" s="1" t="n">
        <f aca="false">Transactions!D505</f>
        <v>328.23</v>
      </c>
      <c r="F505" s="1" t="str">
        <f aca="false">Transactions!H505</f>
        <v>ATM</v>
      </c>
      <c r="G505" s="1" t="str">
        <f aca="false">Transactions!G505</f>
        <v>Wire Transfer</v>
      </c>
      <c r="H505" s="1" t="n">
        <f aca="false">IF(COUNTIFS($B$2:$B$1489,B505,$C$2:$C$1489,C505,$D$2:$D$1489,D505)&gt;6,1,0)</f>
        <v>0</v>
      </c>
      <c r="I505" s="1" t="n">
        <f aca="false">IF(AND(F505="Wire",E505&gt;=1000,MOD(E505,1000)=0),1,0)</f>
        <v>0</v>
      </c>
      <c r="J505" s="1" t="n">
        <f aca="false">IF(AND(F505="ATM",E505&gt;2000,D505&lt;=4),1,0)</f>
        <v>0</v>
      </c>
      <c r="K505" s="1" t="n">
        <f aca="false">IF(COUNTIF('SQL Findings'!$A$4:$A$18,B505)&gt;0,1,0)</f>
        <v>0</v>
      </c>
      <c r="L505" s="1" t="n">
        <f aca="false">SUM(H505:K505)</f>
        <v>0</v>
      </c>
      <c r="M505" s="1" t="str">
        <f aca="false">IF(L505&gt;=2,"High",IF(L505=1,"Medium","Low"))</f>
        <v>Low</v>
      </c>
    </row>
    <row r="506" customFormat="false" ht="15" hidden="false" customHeight="true" outlineLevel="0" collapsed="false">
      <c r="A506" s="1" t="str">
        <f aca="false">Transactions!A506</f>
        <v>TXN500404</v>
      </c>
      <c r="B506" s="1" t="str">
        <f aca="false">Transactions!B506</f>
        <v>ACC1017</v>
      </c>
      <c r="C506" s="1" t="str">
        <f aca="false">Transactions!I506</f>
        <v>2026-01-31</v>
      </c>
      <c r="D506" s="1" t="n">
        <f aca="false">Transactions!J506</f>
        <v>11</v>
      </c>
      <c r="E506" s="1" t="n">
        <f aca="false">Transactions!D506</f>
        <v>69.57</v>
      </c>
      <c r="F506" s="1" t="str">
        <f aca="false">Transactions!H506</f>
        <v>POS</v>
      </c>
      <c r="G506" s="1" t="str">
        <f aca="false">Transactions!G506</f>
        <v>Online Marketplace</v>
      </c>
      <c r="H506" s="1" t="n">
        <f aca="false">IF(COUNTIFS($B$2:$B$1489,B506,$C$2:$C$1489,C506,$D$2:$D$1489,D506)&gt;6,1,0)</f>
        <v>0</v>
      </c>
      <c r="I506" s="1" t="n">
        <f aca="false">IF(AND(F506="Wire",E506&gt;=1000,MOD(E506,1000)=0),1,0)</f>
        <v>0</v>
      </c>
      <c r="J506" s="1" t="n">
        <f aca="false">IF(AND(F506="ATM",E506&gt;2000,D506&lt;=4),1,0)</f>
        <v>0</v>
      </c>
      <c r="K506" s="1" t="n">
        <f aca="false">IF(COUNTIF('SQL Findings'!$A$4:$A$18,B506)&gt;0,1,0)</f>
        <v>0</v>
      </c>
      <c r="L506" s="1" t="n">
        <f aca="false">SUM(H506:K506)</f>
        <v>0</v>
      </c>
      <c r="M506" s="1" t="str">
        <f aca="false">IF(L506&gt;=2,"High",IF(L506=1,"Medium","Low"))</f>
        <v>Low</v>
      </c>
    </row>
    <row r="507" customFormat="false" ht="15" hidden="false" customHeight="true" outlineLevel="0" collapsed="false">
      <c r="A507" s="1" t="str">
        <f aca="false">Transactions!A507</f>
        <v>TXN501347</v>
      </c>
      <c r="B507" s="1" t="str">
        <f aca="false">Transactions!B507</f>
        <v>ACC1058</v>
      </c>
      <c r="C507" s="1" t="str">
        <f aca="false">Transactions!I507</f>
        <v>2026-01-31</v>
      </c>
      <c r="D507" s="1" t="n">
        <f aca="false">Transactions!J507</f>
        <v>11</v>
      </c>
      <c r="E507" s="1" t="n">
        <f aca="false">Transactions!D507</f>
        <v>6.7</v>
      </c>
      <c r="F507" s="1" t="str">
        <f aca="false">Transactions!H507</f>
        <v>Online</v>
      </c>
      <c r="G507" s="1" t="str">
        <f aca="false">Transactions!G507</f>
        <v>Retail</v>
      </c>
      <c r="H507" s="1" t="n">
        <f aca="false">IF(COUNTIFS($B$2:$B$1489,B507,$C$2:$C$1489,C507,$D$2:$D$1489,D507)&gt;6,1,0)</f>
        <v>0</v>
      </c>
      <c r="I507" s="1" t="n">
        <f aca="false">IF(AND(F507="Wire",E507&gt;=1000,MOD(E507,1000)=0),1,0)</f>
        <v>0</v>
      </c>
      <c r="J507" s="1" t="n">
        <f aca="false">IF(AND(F507="ATM",E507&gt;2000,D507&lt;=4),1,0)</f>
        <v>0</v>
      </c>
      <c r="K507" s="1" t="n">
        <f aca="false">IF(COUNTIF('SQL Findings'!$A$4:$A$18,B507)&gt;0,1,0)</f>
        <v>0</v>
      </c>
      <c r="L507" s="1" t="n">
        <f aca="false">SUM(H507:K507)</f>
        <v>0</v>
      </c>
      <c r="M507" s="1" t="str">
        <f aca="false">IF(L507&gt;=2,"High",IF(L507=1,"Medium","Low"))</f>
        <v>Low</v>
      </c>
    </row>
    <row r="508" customFormat="false" ht="15" hidden="false" customHeight="true" outlineLevel="0" collapsed="false">
      <c r="A508" s="1" t="str">
        <f aca="false">Transactions!A508</f>
        <v>TXN500510</v>
      </c>
      <c r="B508" s="1" t="str">
        <f aca="false">Transactions!B508</f>
        <v>ACC1022</v>
      </c>
      <c r="C508" s="1" t="str">
        <f aca="false">Transactions!I508</f>
        <v>2026-01-31</v>
      </c>
      <c r="D508" s="1" t="n">
        <f aca="false">Transactions!J508</f>
        <v>12</v>
      </c>
      <c r="E508" s="1" t="n">
        <f aca="false">Transactions!D508</f>
        <v>31.57</v>
      </c>
      <c r="F508" s="1" t="str">
        <f aca="false">Transactions!H508</f>
        <v>Online</v>
      </c>
      <c r="G508" s="1" t="str">
        <f aca="false">Transactions!G508</f>
        <v>Utilities</v>
      </c>
      <c r="H508" s="1" t="n">
        <f aca="false">IF(COUNTIFS($B$2:$B$1489,B508,$C$2:$C$1489,C508,$D$2:$D$1489,D508)&gt;6,1,0)</f>
        <v>0</v>
      </c>
      <c r="I508" s="1" t="n">
        <f aca="false">IF(AND(F508="Wire",E508&gt;=1000,MOD(E508,1000)=0),1,0)</f>
        <v>0</v>
      </c>
      <c r="J508" s="1" t="n">
        <f aca="false">IF(AND(F508="ATM",E508&gt;2000,D508&lt;=4),1,0)</f>
        <v>0</v>
      </c>
      <c r="K508" s="1" t="n">
        <f aca="false">IF(COUNTIF('SQL Findings'!$A$4:$A$18,B508)&gt;0,1,0)</f>
        <v>0</v>
      </c>
      <c r="L508" s="1" t="n">
        <f aca="false">SUM(H508:K508)</f>
        <v>0</v>
      </c>
      <c r="M508" s="1" t="str">
        <f aca="false">IF(L508&gt;=2,"High",IF(L508=1,"Medium","Low"))</f>
        <v>Low</v>
      </c>
    </row>
    <row r="509" customFormat="false" ht="15" hidden="false" customHeight="true" outlineLevel="0" collapsed="false">
      <c r="A509" s="1" t="str">
        <f aca="false">Transactions!A509</f>
        <v>TXN501151</v>
      </c>
      <c r="B509" s="1" t="str">
        <f aca="false">Transactions!B509</f>
        <v>ACC1050</v>
      </c>
      <c r="C509" s="1" t="str">
        <f aca="false">Transactions!I509</f>
        <v>2026-01-31</v>
      </c>
      <c r="D509" s="1" t="n">
        <f aca="false">Transactions!J509</f>
        <v>13</v>
      </c>
      <c r="E509" s="1" t="n">
        <f aca="false">Transactions!D509</f>
        <v>27.32</v>
      </c>
      <c r="F509" s="1" t="str">
        <f aca="false">Transactions!H509</f>
        <v>ATM</v>
      </c>
      <c r="G509" s="1" t="str">
        <f aca="false">Transactions!G509</f>
        <v>Wire Transfer</v>
      </c>
      <c r="H509" s="1" t="n">
        <f aca="false">IF(COUNTIFS($B$2:$B$1489,B509,$C$2:$C$1489,C509,$D$2:$D$1489,D509)&gt;6,1,0)</f>
        <v>0</v>
      </c>
      <c r="I509" s="1" t="n">
        <f aca="false">IF(AND(F509="Wire",E509&gt;=1000,MOD(E509,1000)=0),1,0)</f>
        <v>0</v>
      </c>
      <c r="J509" s="1" t="n">
        <f aca="false">IF(AND(F509="ATM",E509&gt;2000,D509&lt;=4),1,0)</f>
        <v>0</v>
      </c>
      <c r="K509" s="1" t="n">
        <f aca="false">IF(COUNTIF('SQL Findings'!$A$4:$A$18,B509)&gt;0,1,0)</f>
        <v>0</v>
      </c>
      <c r="L509" s="1" t="n">
        <f aca="false">SUM(H509:K509)</f>
        <v>0</v>
      </c>
      <c r="M509" s="1" t="str">
        <f aca="false">IF(L509&gt;=2,"High",IF(L509=1,"Medium","Low"))</f>
        <v>Low</v>
      </c>
    </row>
    <row r="510" customFormat="false" ht="15" hidden="false" customHeight="true" outlineLevel="0" collapsed="false">
      <c r="A510" s="1" t="str">
        <f aca="false">Transactions!A510</f>
        <v>TXN501201</v>
      </c>
      <c r="B510" s="1" t="str">
        <f aca="false">Transactions!B510</f>
        <v>ACC1052</v>
      </c>
      <c r="C510" s="1" t="str">
        <f aca="false">Transactions!I510</f>
        <v>2026-01-31</v>
      </c>
      <c r="D510" s="1" t="n">
        <f aca="false">Transactions!J510</f>
        <v>13</v>
      </c>
      <c r="E510" s="1" t="n">
        <f aca="false">Transactions!D510</f>
        <v>74.64</v>
      </c>
      <c r="F510" s="1" t="str">
        <f aca="false">Transactions!H510</f>
        <v>ATM</v>
      </c>
      <c r="G510" s="1" t="str">
        <f aca="false">Transactions!G510</f>
        <v>Utilities</v>
      </c>
      <c r="H510" s="1" t="n">
        <f aca="false">IF(COUNTIFS($B$2:$B$1489,B510,$C$2:$C$1489,C510,$D$2:$D$1489,D510)&gt;6,1,0)</f>
        <v>0</v>
      </c>
      <c r="I510" s="1" t="n">
        <f aca="false">IF(AND(F510="Wire",E510&gt;=1000,MOD(E510,1000)=0),1,0)</f>
        <v>0</v>
      </c>
      <c r="J510" s="1" t="n">
        <f aca="false">IF(AND(F510="ATM",E510&gt;2000,D510&lt;=4),1,0)</f>
        <v>0</v>
      </c>
      <c r="K510" s="1" t="n">
        <f aca="false">IF(COUNTIF('SQL Findings'!$A$4:$A$18,B510)&gt;0,1,0)</f>
        <v>0</v>
      </c>
      <c r="L510" s="1" t="n">
        <f aca="false">SUM(H510:K510)</f>
        <v>0</v>
      </c>
      <c r="M510" s="1" t="str">
        <f aca="false">IF(L510&gt;=2,"High",IF(L510=1,"Medium","Low"))</f>
        <v>Low</v>
      </c>
    </row>
    <row r="511" customFormat="false" ht="15" hidden="false" customHeight="true" outlineLevel="0" collapsed="false">
      <c r="A511" s="1" t="str">
        <f aca="false">Transactions!A511</f>
        <v>TXN500092</v>
      </c>
      <c r="B511" s="1" t="str">
        <f aca="false">Transactions!B511</f>
        <v>ACC1004</v>
      </c>
      <c r="C511" s="1" t="str">
        <f aca="false">Transactions!I511</f>
        <v>2026-01-31</v>
      </c>
      <c r="D511" s="1" t="n">
        <f aca="false">Transactions!J511</f>
        <v>14</v>
      </c>
      <c r="E511" s="1" t="n">
        <f aca="false">Transactions!D511</f>
        <v>159.46</v>
      </c>
      <c r="F511" s="1" t="str">
        <f aca="false">Transactions!H511</f>
        <v>POS</v>
      </c>
      <c r="G511" s="1" t="str">
        <f aca="false">Transactions!G511</f>
        <v>Dining</v>
      </c>
      <c r="H511" s="1" t="n">
        <f aca="false">IF(COUNTIFS($B$2:$B$1489,B511,$C$2:$C$1489,C511,$D$2:$D$1489,D511)&gt;6,1,0)</f>
        <v>0</v>
      </c>
      <c r="I511" s="1" t="n">
        <f aca="false">IF(AND(F511="Wire",E511&gt;=1000,MOD(E511,1000)=0),1,0)</f>
        <v>0</v>
      </c>
      <c r="J511" s="1" t="n">
        <f aca="false">IF(AND(F511="ATM",E511&gt;2000,D511&lt;=4),1,0)</f>
        <v>0</v>
      </c>
      <c r="K511" s="1" t="n">
        <f aca="false">IF(COUNTIF('SQL Findings'!$A$4:$A$18,B511)&gt;0,1,0)</f>
        <v>1</v>
      </c>
      <c r="L511" s="1" t="n">
        <f aca="false">SUM(H511:K511)</f>
        <v>1</v>
      </c>
      <c r="M511" s="1" t="str">
        <f aca="false">IF(L511&gt;=2,"High",IF(L511=1,"Medium","Low"))</f>
        <v>Medium</v>
      </c>
    </row>
    <row r="512" customFormat="false" ht="15" hidden="false" customHeight="true" outlineLevel="0" collapsed="false">
      <c r="A512" s="1" t="str">
        <f aca="false">Transactions!A512</f>
        <v>TXN501077</v>
      </c>
      <c r="B512" s="1" t="str">
        <f aca="false">Transactions!B512</f>
        <v>ACC1047</v>
      </c>
      <c r="C512" s="1" t="str">
        <f aca="false">Transactions!I512</f>
        <v>2026-01-31</v>
      </c>
      <c r="D512" s="1" t="n">
        <f aca="false">Transactions!J512</f>
        <v>14</v>
      </c>
      <c r="E512" s="1" t="n">
        <f aca="false">Transactions!D512</f>
        <v>16.43</v>
      </c>
      <c r="F512" s="1" t="str">
        <f aca="false">Transactions!H512</f>
        <v>POS</v>
      </c>
      <c r="G512" s="1" t="str">
        <f aca="false">Transactions!G512</f>
        <v>Electronics</v>
      </c>
      <c r="H512" s="1" t="n">
        <f aca="false">IF(COUNTIFS($B$2:$B$1489,B512,$C$2:$C$1489,C512,$D$2:$D$1489,D512)&gt;6,1,0)</f>
        <v>0</v>
      </c>
      <c r="I512" s="1" t="n">
        <f aca="false">IF(AND(F512="Wire",E512&gt;=1000,MOD(E512,1000)=0),1,0)</f>
        <v>0</v>
      </c>
      <c r="J512" s="1" t="n">
        <f aca="false">IF(AND(F512="ATM",E512&gt;2000,D512&lt;=4),1,0)</f>
        <v>0</v>
      </c>
      <c r="K512" s="1" t="n">
        <f aca="false">IF(COUNTIF('SQL Findings'!$A$4:$A$18,B512)&gt;0,1,0)</f>
        <v>0</v>
      </c>
      <c r="L512" s="1" t="n">
        <f aca="false">SUM(H512:K512)</f>
        <v>0</v>
      </c>
      <c r="M512" s="1" t="str">
        <f aca="false">IF(L512&gt;=2,"High",IF(L512=1,"Medium","Low"))</f>
        <v>Low</v>
      </c>
    </row>
    <row r="513" customFormat="false" ht="15" hidden="false" customHeight="true" outlineLevel="0" collapsed="false">
      <c r="A513" s="1" t="str">
        <f aca="false">Transactions!A513</f>
        <v>TXN501473</v>
      </c>
      <c r="B513" s="1" t="str">
        <f aca="false">Transactions!B513</f>
        <v>ACC1034</v>
      </c>
      <c r="C513" s="1" t="str">
        <f aca="false">Transactions!I513</f>
        <v>2026-01-31</v>
      </c>
      <c r="D513" s="1" t="n">
        <f aca="false">Transactions!J513</f>
        <v>15</v>
      </c>
      <c r="E513" s="1" t="n">
        <f aca="false">Transactions!D513</f>
        <v>2000</v>
      </c>
      <c r="F513" s="1" t="str">
        <f aca="false">Transactions!H513</f>
        <v>Wire</v>
      </c>
      <c r="G513" s="1" t="str">
        <f aca="false">Transactions!G513</f>
        <v>Wire Transfer</v>
      </c>
      <c r="H513" s="1" t="n">
        <f aca="false">IF(COUNTIFS($B$2:$B$1489,B513,$C$2:$C$1489,C513,$D$2:$D$1489,D513)&gt;6,1,0)</f>
        <v>0</v>
      </c>
      <c r="I513" s="1" t="n">
        <f aca="false">IF(AND(F513="Wire",E513&gt;=1000,MOD(E513,1000)=0),1,0)</f>
        <v>1</v>
      </c>
      <c r="J513" s="1" t="n">
        <f aca="false">IF(AND(F513="ATM",E513&gt;2000,D513&lt;=4),1,0)</f>
        <v>0</v>
      </c>
      <c r="K513" s="1" t="n">
        <f aca="false">IF(COUNTIF('SQL Findings'!$A$4:$A$18,B513)&gt;0,1,0)</f>
        <v>0</v>
      </c>
      <c r="L513" s="1" t="n">
        <f aca="false">SUM(H513:K513)</f>
        <v>1</v>
      </c>
      <c r="M513" s="1" t="str">
        <f aca="false">IF(L513&gt;=2,"High",IF(L513=1,"Medium","Low"))</f>
        <v>Medium</v>
      </c>
    </row>
    <row r="514" customFormat="false" ht="15" hidden="false" customHeight="true" outlineLevel="0" collapsed="false">
      <c r="A514" s="1" t="str">
        <f aca="false">Transactions!A514</f>
        <v>TXN500236</v>
      </c>
      <c r="B514" s="1" t="str">
        <f aca="false">Transactions!B514</f>
        <v>ACC1010</v>
      </c>
      <c r="C514" s="1" t="str">
        <f aca="false">Transactions!I514</f>
        <v>2026-01-31</v>
      </c>
      <c r="D514" s="1" t="n">
        <f aca="false">Transactions!J514</f>
        <v>18</v>
      </c>
      <c r="E514" s="1" t="n">
        <f aca="false">Transactions!D514</f>
        <v>117.98</v>
      </c>
      <c r="F514" s="1" t="str">
        <f aca="false">Transactions!H514</f>
        <v>Online</v>
      </c>
      <c r="G514" s="1" t="str">
        <f aca="false">Transactions!G514</f>
        <v>Wire Transfer</v>
      </c>
      <c r="H514" s="1" t="n">
        <f aca="false">IF(COUNTIFS($B$2:$B$1489,B514,$C$2:$C$1489,C514,$D$2:$D$1489,D514)&gt;6,1,0)</f>
        <v>0</v>
      </c>
      <c r="I514" s="1" t="n">
        <f aca="false">IF(AND(F514="Wire",E514&gt;=1000,MOD(E514,1000)=0),1,0)</f>
        <v>0</v>
      </c>
      <c r="J514" s="1" t="n">
        <f aca="false">IF(AND(F514="ATM",E514&gt;2000,D514&lt;=4),1,0)</f>
        <v>0</v>
      </c>
      <c r="K514" s="1" t="n">
        <f aca="false">IF(COUNTIF('SQL Findings'!$A$4:$A$18,B514)&gt;0,1,0)</f>
        <v>0</v>
      </c>
      <c r="L514" s="1" t="n">
        <f aca="false">SUM(H514:K514)</f>
        <v>0</v>
      </c>
      <c r="M514" s="1" t="str">
        <f aca="false">IF(L514&gt;=2,"High",IF(L514=1,"Medium","Low"))</f>
        <v>Low</v>
      </c>
    </row>
    <row r="515" customFormat="false" ht="15" hidden="false" customHeight="true" outlineLevel="0" collapsed="false">
      <c r="A515" s="1" t="str">
        <f aca="false">Transactions!A515</f>
        <v>TXN501117</v>
      </c>
      <c r="B515" s="1" t="str">
        <f aca="false">Transactions!B515</f>
        <v>ACC1049</v>
      </c>
      <c r="C515" s="1" t="str">
        <f aca="false">Transactions!I515</f>
        <v>2026-02-01</v>
      </c>
      <c r="D515" s="1" t="n">
        <f aca="false">Transactions!J515</f>
        <v>0</v>
      </c>
      <c r="E515" s="1" t="n">
        <f aca="false">Transactions!D515</f>
        <v>580.03</v>
      </c>
      <c r="F515" s="1" t="str">
        <f aca="false">Transactions!H515</f>
        <v>ATM</v>
      </c>
      <c r="G515" s="1" t="str">
        <f aca="false">Transactions!G515</f>
        <v>Online Marketplace</v>
      </c>
      <c r="H515" s="1" t="n">
        <f aca="false">IF(COUNTIFS($B$2:$B$1489,B515,$C$2:$C$1489,C515,$D$2:$D$1489,D515)&gt;6,1,0)</f>
        <v>0</v>
      </c>
      <c r="I515" s="1" t="n">
        <f aca="false">IF(AND(F515="Wire",E515&gt;=1000,MOD(E515,1000)=0),1,0)</f>
        <v>0</v>
      </c>
      <c r="J515" s="1" t="n">
        <f aca="false">IF(AND(F515="ATM",E515&gt;2000,D515&lt;=4),1,0)</f>
        <v>0</v>
      </c>
      <c r="K515" s="1" t="n">
        <f aca="false">IF(COUNTIF('SQL Findings'!$A$4:$A$18,B515)&gt;0,1,0)</f>
        <v>0</v>
      </c>
      <c r="L515" s="1" t="n">
        <f aca="false">SUM(H515:K515)</f>
        <v>0</v>
      </c>
      <c r="M515" s="1" t="str">
        <f aca="false">IF(L515&gt;=2,"High",IF(L515=1,"Medium","Low"))</f>
        <v>Low</v>
      </c>
    </row>
    <row r="516" customFormat="false" ht="15" hidden="false" customHeight="true" outlineLevel="0" collapsed="false">
      <c r="A516" s="1" t="str">
        <f aca="false">Transactions!A516</f>
        <v>TXN500663</v>
      </c>
      <c r="B516" s="1" t="str">
        <f aca="false">Transactions!B516</f>
        <v>ACC1028</v>
      </c>
      <c r="C516" s="1" t="str">
        <f aca="false">Transactions!I516</f>
        <v>2026-02-01</v>
      </c>
      <c r="D516" s="1" t="n">
        <f aca="false">Transactions!J516</f>
        <v>4</v>
      </c>
      <c r="E516" s="1" t="n">
        <f aca="false">Transactions!D516</f>
        <v>64.75</v>
      </c>
      <c r="F516" s="1" t="str">
        <f aca="false">Transactions!H516</f>
        <v>Online</v>
      </c>
      <c r="G516" s="1" t="str">
        <f aca="false">Transactions!G516</f>
        <v>Electronics</v>
      </c>
      <c r="H516" s="1" t="n">
        <f aca="false">IF(COUNTIFS($B$2:$B$1489,B516,$C$2:$C$1489,C516,$D$2:$D$1489,D516)&gt;6,1,0)</f>
        <v>0</v>
      </c>
      <c r="I516" s="1" t="n">
        <f aca="false">IF(AND(F516="Wire",E516&gt;=1000,MOD(E516,1000)=0),1,0)</f>
        <v>0</v>
      </c>
      <c r="J516" s="1" t="n">
        <f aca="false">IF(AND(F516="ATM",E516&gt;2000,D516&lt;=4),1,0)</f>
        <v>0</v>
      </c>
      <c r="K516" s="1" t="n">
        <f aca="false">IF(COUNTIF('SQL Findings'!$A$4:$A$18,B516)&gt;0,1,0)</f>
        <v>0</v>
      </c>
      <c r="L516" s="1" t="n">
        <f aca="false">SUM(H516:K516)</f>
        <v>0</v>
      </c>
      <c r="M516" s="1" t="str">
        <f aca="false">IF(L516&gt;=2,"High",IF(L516=1,"Medium","Low"))</f>
        <v>Low</v>
      </c>
    </row>
    <row r="517" customFormat="false" ht="15" hidden="false" customHeight="true" outlineLevel="0" collapsed="false">
      <c r="A517" s="1" t="str">
        <f aca="false">Transactions!A517</f>
        <v>TXN500004</v>
      </c>
      <c r="B517" s="1" t="str">
        <f aca="false">Transactions!B517</f>
        <v>ACC1000</v>
      </c>
      <c r="C517" s="1" t="str">
        <f aca="false">Transactions!I517</f>
        <v>2026-02-01</v>
      </c>
      <c r="D517" s="1" t="n">
        <f aca="false">Transactions!J517</f>
        <v>6</v>
      </c>
      <c r="E517" s="1" t="n">
        <f aca="false">Transactions!D517</f>
        <v>262.62</v>
      </c>
      <c r="F517" s="1" t="str">
        <f aca="false">Transactions!H517</f>
        <v>ATM</v>
      </c>
      <c r="G517" s="1" t="str">
        <f aca="false">Transactions!G517</f>
        <v>Utilities</v>
      </c>
      <c r="H517" s="1" t="n">
        <f aca="false">IF(COUNTIFS($B$2:$B$1489,B517,$C$2:$C$1489,C517,$D$2:$D$1489,D517)&gt;6,1,0)</f>
        <v>0</v>
      </c>
      <c r="I517" s="1" t="n">
        <f aca="false">IF(AND(F517="Wire",E517&gt;=1000,MOD(E517,1000)=0),1,0)</f>
        <v>0</v>
      </c>
      <c r="J517" s="1" t="n">
        <f aca="false">IF(AND(F517="ATM",E517&gt;2000,D517&lt;=4),1,0)</f>
        <v>0</v>
      </c>
      <c r="K517" s="1" t="n">
        <f aca="false">IF(COUNTIF('SQL Findings'!$A$4:$A$18,B517)&gt;0,1,0)</f>
        <v>1</v>
      </c>
      <c r="L517" s="1" t="n">
        <f aca="false">SUM(H517:K517)</f>
        <v>1</v>
      </c>
      <c r="M517" s="1" t="str">
        <f aca="false">IF(L517&gt;=2,"High",IF(L517=1,"Medium","Low"))</f>
        <v>Medium</v>
      </c>
    </row>
    <row r="518" customFormat="false" ht="15" hidden="false" customHeight="true" outlineLevel="0" collapsed="false">
      <c r="A518" s="1" t="str">
        <f aca="false">Transactions!A518</f>
        <v>TXN500120</v>
      </c>
      <c r="B518" s="1" t="str">
        <f aca="false">Transactions!B518</f>
        <v>ACC1005</v>
      </c>
      <c r="C518" s="1" t="str">
        <f aca="false">Transactions!I518</f>
        <v>2026-02-01</v>
      </c>
      <c r="D518" s="1" t="n">
        <f aca="false">Transactions!J518</f>
        <v>7</v>
      </c>
      <c r="E518" s="1" t="n">
        <f aca="false">Transactions!D518</f>
        <v>131.2</v>
      </c>
      <c r="F518" s="1" t="str">
        <f aca="false">Transactions!H518</f>
        <v>POS</v>
      </c>
      <c r="G518" s="1" t="str">
        <f aca="false">Transactions!G518</f>
        <v>Travel</v>
      </c>
      <c r="H518" s="1" t="n">
        <f aca="false">IF(COUNTIFS($B$2:$B$1489,B518,$C$2:$C$1489,C518,$D$2:$D$1489,D518)&gt;6,1,0)</f>
        <v>0</v>
      </c>
      <c r="I518" s="1" t="n">
        <f aca="false">IF(AND(F518="Wire",E518&gt;=1000,MOD(E518,1000)=0),1,0)</f>
        <v>0</v>
      </c>
      <c r="J518" s="1" t="n">
        <f aca="false">IF(AND(F518="ATM",E518&gt;2000,D518&lt;=4),1,0)</f>
        <v>0</v>
      </c>
      <c r="K518" s="1" t="n">
        <f aca="false">IF(COUNTIF('SQL Findings'!$A$4:$A$18,B518)&gt;0,1,0)</f>
        <v>0</v>
      </c>
      <c r="L518" s="1" t="n">
        <f aca="false">SUM(H518:K518)</f>
        <v>0</v>
      </c>
      <c r="M518" s="1" t="str">
        <f aca="false">IF(L518&gt;=2,"High",IF(L518=1,"Medium","Low"))</f>
        <v>Low</v>
      </c>
    </row>
    <row r="519" customFormat="false" ht="15" hidden="false" customHeight="true" outlineLevel="0" collapsed="false">
      <c r="A519" s="1" t="str">
        <f aca="false">Transactions!A519</f>
        <v>TXN500028</v>
      </c>
      <c r="B519" s="1" t="str">
        <f aca="false">Transactions!B519</f>
        <v>ACC1001</v>
      </c>
      <c r="C519" s="1" t="str">
        <f aca="false">Transactions!I519</f>
        <v>2026-02-01</v>
      </c>
      <c r="D519" s="1" t="n">
        <f aca="false">Transactions!J519</f>
        <v>7</v>
      </c>
      <c r="E519" s="1" t="n">
        <f aca="false">Transactions!D519</f>
        <v>93.52</v>
      </c>
      <c r="F519" s="1" t="str">
        <f aca="false">Transactions!H519</f>
        <v>ATM</v>
      </c>
      <c r="G519" s="1" t="str">
        <f aca="false">Transactions!G519</f>
        <v>Retail</v>
      </c>
      <c r="H519" s="1" t="n">
        <f aca="false">IF(COUNTIFS($B$2:$B$1489,B519,$C$2:$C$1489,C519,$D$2:$D$1489,D519)&gt;6,1,0)</f>
        <v>0</v>
      </c>
      <c r="I519" s="1" t="n">
        <f aca="false">IF(AND(F519="Wire",E519&gt;=1000,MOD(E519,1000)=0),1,0)</f>
        <v>0</v>
      </c>
      <c r="J519" s="1" t="n">
        <f aca="false">IF(AND(F519="ATM",E519&gt;2000,D519&lt;=4),1,0)</f>
        <v>0</v>
      </c>
      <c r="K519" s="1" t="n">
        <f aca="false">IF(COUNTIF('SQL Findings'!$A$4:$A$18,B519)&gt;0,1,0)</f>
        <v>1</v>
      </c>
      <c r="L519" s="1" t="n">
        <f aca="false">SUM(H519:K519)</f>
        <v>1</v>
      </c>
      <c r="M519" s="1" t="str">
        <f aca="false">IF(L519&gt;=2,"High",IF(L519=1,"Medium","Low"))</f>
        <v>Medium</v>
      </c>
    </row>
    <row r="520" customFormat="false" ht="15" hidden="false" customHeight="true" outlineLevel="0" collapsed="false">
      <c r="A520" s="1" t="str">
        <f aca="false">Transactions!A520</f>
        <v>TXN500503</v>
      </c>
      <c r="B520" s="1" t="str">
        <f aca="false">Transactions!B520</f>
        <v>ACC1022</v>
      </c>
      <c r="C520" s="1" t="str">
        <f aca="false">Transactions!I520</f>
        <v>2026-02-01</v>
      </c>
      <c r="D520" s="1" t="n">
        <f aca="false">Transactions!J520</f>
        <v>8</v>
      </c>
      <c r="E520" s="1" t="n">
        <f aca="false">Transactions!D520</f>
        <v>18.94</v>
      </c>
      <c r="F520" s="1" t="str">
        <f aca="false">Transactions!H520</f>
        <v>Online</v>
      </c>
      <c r="G520" s="1" t="str">
        <f aca="false">Transactions!G520</f>
        <v>Electronics</v>
      </c>
      <c r="H520" s="1" t="n">
        <f aca="false">IF(COUNTIFS($B$2:$B$1489,B520,$C$2:$C$1489,C520,$D$2:$D$1489,D520)&gt;6,1,0)</f>
        <v>0</v>
      </c>
      <c r="I520" s="1" t="n">
        <f aca="false">IF(AND(F520="Wire",E520&gt;=1000,MOD(E520,1000)=0),1,0)</f>
        <v>0</v>
      </c>
      <c r="J520" s="1" t="n">
        <f aca="false">IF(AND(F520="ATM",E520&gt;2000,D520&lt;=4),1,0)</f>
        <v>0</v>
      </c>
      <c r="K520" s="1" t="n">
        <f aca="false">IF(COUNTIF('SQL Findings'!$A$4:$A$18,B520)&gt;0,1,0)</f>
        <v>0</v>
      </c>
      <c r="L520" s="1" t="n">
        <f aca="false">SUM(H520:K520)</f>
        <v>0</v>
      </c>
      <c r="M520" s="1" t="str">
        <f aca="false">IF(L520&gt;=2,"High",IF(L520=1,"Medium","Low"))</f>
        <v>Low</v>
      </c>
    </row>
    <row r="521" customFormat="false" ht="15" hidden="false" customHeight="true" outlineLevel="0" collapsed="false">
      <c r="A521" s="1" t="str">
        <f aca="false">Transactions!A521</f>
        <v>TXN500187</v>
      </c>
      <c r="B521" s="1" t="str">
        <f aca="false">Transactions!B521</f>
        <v>ACC1008</v>
      </c>
      <c r="C521" s="1" t="str">
        <f aca="false">Transactions!I521</f>
        <v>2026-02-01</v>
      </c>
      <c r="D521" s="1" t="n">
        <f aca="false">Transactions!J521</f>
        <v>11</v>
      </c>
      <c r="E521" s="1" t="n">
        <f aca="false">Transactions!D521</f>
        <v>102.1</v>
      </c>
      <c r="F521" s="1" t="str">
        <f aca="false">Transactions!H521</f>
        <v>POS</v>
      </c>
      <c r="G521" s="1" t="str">
        <f aca="false">Transactions!G521</f>
        <v>Wire Transfer</v>
      </c>
      <c r="H521" s="1" t="n">
        <f aca="false">IF(COUNTIFS($B$2:$B$1489,B521,$C$2:$C$1489,C521,$D$2:$D$1489,D521)&gt;6,1,0)</f>
        <v>0</v>
      </c>
      <c r="I521" s="1" t="n">
        <f aca="false">IF(AND(F521="Wire",E521&gt;=1000,MOD(E521,1000)=0),1,0)</f>
        <v>0</v>
      </c>
      <c r="J521" s="1" t="n">
        <f aca="false">IF(AND(F521="ATM",E521&gt;2000,D521&lt;=4),1,0)</f>
        <v>0</v>
      </c>
      <c r="K521" s="1" t="n">
        <f aca="false">IF(COUNTIF('SQL Findings'!$A$4:$A$18,B521)&gt;0,1,0)</f>
        <v>0</v>
      </c>
      <c r="L521" s="1" t="n">
        <f aca="false">SUM(H521:K521)</f>
        <v>0</v>
      </c>
      <c r="M521" s="1" t="str">
        <f aca="false">IF(L521&gt;=2,"High",IF(L521=1,"Medium","Low"))</f>
        <v>Low</v>
      </c>
    </row>
    <row r="522" customFormat="false" ht="15" hidden="false" customHeight="true" outlineLevel="0" collapsed="false">
      <c r="A522" s="1" t="str">
        <f aca="false">Transactions!A522</f>
        <v>TXN500517</v>
      </c>
      <c r="B522" s="1" t="str">
        <f aca="false">Transactions!B522</f>
        <v>ACC1023</v>
      </c>
      <c r="C522" s="1" t="str">
        <f aca="false">Transactions!I522</f>
        <v>2026-02-01</v>
      </c>
      <c r="D522" s="1" t="n">
        <f aca="false">Transactions!J522</f>
        <v>11</v>
      </c>
      <c r="E522" s="1" t="n">
        <f aca="false">Transactions!D522</f>
        <v>104.67</v>
      </c>
      <c r="F522" s="1" t="str">
        <f aca="false">Transactions!H522</f>
        <v>Online</v>
      </c>
      <c r="G522" s="1" t="str">
        <f aca="false">Transactions!G522</f>
        <v>Cash Withdrawal</v>
      </c>
      <c r="H522" s="1" t="n">
        <f aca="false">IF(COUNTIFS($B$2:$B$1489,B522,$C$2:$C$1489,C522,$D$2:$D$1489,D522)&gt;6,1,0)</f>
        <v>0</v>
      </c>
      <c r="I522" s="1" t="n">
        <f aca="false">IF(AND(F522="Wire",E522&gt;=1000,MOD(E522,1000)=0),1,0)</f>
        <v>0</v>
      </c>
      <c r="J522" s="1" t="n">
        <f aca="false">IF(AND(F522="ATM",E522&gt;2000,D522&lt;=4),1,0)</f>
        <v>0</v>
      </c>
      <c r="K522" s="1" t="n">
        <f aca="false">IF(COUNTIF('SQL Findings'!$A$4:$A$18,B522)&gt;0,1,0)</f>
        <v>0</v>
      </c>
      <c r="L522" s="1" t="n">
        <f aca="false">SUM(H522:K522)</f>
        <v>0</v>
      </c>
      <c r="M522" s="1" t="str">
        <f aca="false">IF(L522&gt;=2,"High",IF(L522=1,"Medium","Low"))</f>
        <v>Low</v>
      </c>
    </row>
    <row r="523" customFormat="false" ht="15" hidden="false" customHeight="true" outlineLevel="0" collapsed="false">
      <c r="A523" s="1" t="str">
        <f aca="false">Transactions!A523</f>
        <v>TXN500576</v>
      </c>
      <c r="B523" s="1" t="str">
        <f aca="false">Transactions!B523</f>
        <v>ACC1025</v>
      </c>
      <c r="C523" s="1" t="str">
        <f aca="false">Transactions!I523</f>
        <v>2026-02-01</v>
      </c>
      <c r="D523" s="1" t="n">
        <f aca="false">Transactions!J523</f>
        <v>14</v>
      </c>
      <c r="E523" s="1" t="n">
        <f aca="false">Transactions!D523</f>
        <v>9.12</v>
      </c>
      <c r="F523" s="1" t="str">
        <f aca="false">Transactions!H523</f>
        <v>ATM</v>
      </c>
      <c r="G523" s="1" t="str">
        <f aca="false">Transactions!G523</f>
        <v>Travel</v>
      </c>
      <c r="H523" s="1" t="n">
        <f aca="false">IF(COUNTIFS($B$2:$B$1489,B523,$C$2:$C$1489,C523,$D$2:$D$1489,D523)&gt;6,1,0)</f>
        <v>0</v>
      </c>
      <c r="I523" s="1" t="n">
        <f aca="false">IF(AND(F523="Wire",E523&gt;=1000,MOD(E523,1000)=0),1,0)</f>
        <v>0</v>
      </c>
      <c r="J523" s="1" t="n">
        <f aca="false">IF(AND(F523="ATM",E523&gt;2000,D523&lt;=4),1,0)</f>
        <v>0</v>
      </c>
      <c r="K523" s="1" t="n">
        <f aca="false">IF(COUNTIF('SQL Findings'!$A$4:$A$18,B523)&gt;0,1,0)</f>
        <v>0</v>
      </c>
      <c r="L523" s="1" t="n">
        <f aca="false">SUM(H523:K523)</f>
        <v>0</v>
      </c>
      <c r="M523" s="1" t="str">
        <f aca="false">IF(L523&gt;=2,"High",IF(L523=1,"Medium","Low"))</f>
        <v>Low</v>
      </c>
    </row>
    <row r="524" customFormat="false" ht="15" hidden="false" customHeight="true" outlineLevel="0" collapsed="false">
      <c r="A524" s="1" t="str">
        <f aca="false">Transactions!A524</f>
        <v>TXN501082</v>
      </c>
      <c r="B524" s="1" t="str">
        <f aca="false">Transactions!B524</f>
        <v>ACC1047</v>
      </c>
      <c r="C524" s="1" t="str">
        <f aca="false">Transactions!I524</f>
        <v>2026-02-01</v>
      </c>
      <c r="D524" s="1" t="n">
        <f aca="false">Transactions!J524</f>
        <v>15</v>
      </c>
      <c r="E524" s="1" t="n">
        <f aca="false">Transactions!D524</f>
        <v>48.7</v>
      </c>
      <c r="F524" s="1" t="str">
        <f aca="false">Transactions!H524</f>
        <v>POS</v>
      </c>
      <c r="G524" s="1" t="str">
        <f aca="false">Transactions!G524</f>
        <v>Travel</v>
      </c>
      <c r="H524" s="1" t="n">
        <f aca="false">IF(COUNTIFS($B$2:$B$1489,B524,$C$2:$C$1489,C524,$D$2:$D$1489,D524)&gt;6,1,0)</f>
        <v>0</v>
      </c>
      <c r="I524" s="1" t="n">
        <f aca="false">IF(AND(F524="Wire",E524&gt;=1000,MOD(E524,1000)=0),1,0)</f>
        <v>0</v>
      </c>
      <c r="J524" s="1" t="n">
        <f aca="false">IF(AND(F524="ATM",E524&gt;2000,D524&lt;=4),1,0)</f>
        <v>0</v>
      </c>
      <c r="K524" s="1" t="n">
        <f aca="false">IF(COUNTIF('SQL Findings'!$A$4:$A$18,B524)&gt;0,1,0)</f>
        <v>0</v>
      </c>
      <c r="L524" s="1" t="n">
        <f aca="false">SUM(H524:K524)</f>
        <v>0</v>
      </c>
      <c r="M524" s="1" t="str">
        <f aca="false">IF(L524&gt;=2,"High",IF(L524=1,"Medium","Low"))</f>
        <v>Low</v>
      </c>
    </row>
    <row r="525" customFormat="false" ht="15" hidden="false" customHeight="true" outlineLevel="0" collapsed="false">
      <c r="A525" s="1" t="str">
        <f aca="false">Transactions!A525</f>
        <v>TXN501194</v>
      </c>
      <c r="B525" s="1" t="str">
        <f aca="false">Transactions!B525</f>
        <v>ACC1052</v>
      </c>
      <c r="C525" s="1" t="str">
        <f aca="false">Transactions!I525</f>
        <v>2026-02-01</v>
      </c>
      <c r="D525" s="1" t="n">
        <f aca="false">Transactions!J525</f>
        <v>20</v>
      </c>
      <c r="E525" s="1" t="n">
        <f aca="false">Transactions!D525</f>
        <v>88.93</v>
      </c>
      <c r="F525" s="1" t="str">
        <f aca="false">Transactions!H525</f>
        <v>Online</v>
      </c>
      <c r="G525" s="1" t="str">
        <f aca="false">Transactions!G525</f>
        <v>Cash Withdrawal</v>
      </c>
      <c r="H525" s="1" t="n">
        <f aca="false">IF(COUNTIFS($B$2:$B$1489,B525,$C$2:$C$1489,C525,$D$2:$D$1489,D525)&gt;6,1,0)</f>
        <v>0</v>
      </c>
      <c r="I525" s="1" t="n">
        <f aca="false">IF(AND(F525="Wire",E525&gt;=1000,MOD(E525,1000)=0),1,0)</f>
        <v>0</v>
      </c>
      <c r="J525" s="1" t="n">
        <f aca="false">IF(AND(F525="ATM",E525&gt;2000,D525&lt;=4),1,0)</f>
        <v>0</v>
      </c>
      <c r="K525" s="1" t="n">
        <f aca="false">IF(COUNTIF('SQL Findings'!$A$4:$A$18,B525)&gt;0,1,0)</f>
        <v>0</v>
      </c>
      <c r="L525" s="1" t="n">
        <f aca="false">SUM(H525:K525)</f>
        <v>0</v>
      </c>
      <c r="M525" s="1" t="str">
        <f aca="false">IF(L525&gt;=2,"High",IF(L525=1,"Medium","Low"))</f>
        <v>Low</v>
      </c>
    </row>
    <row r="526" customFormat="false" ht="15" hidden="false" customHeight="true" outlineLevel="0" collapsed="false">
      <c r="A526" s="1" t="str">
        <f aca="false">Transactions!A526</f>
        <v>TXN500531</v>
      </c>
      <c r="B526" s="1" t="str">
        <f aca="false">Transactions!B526</f>
        <v>ACC1023</v>
      </c>
      <c r="C526" s="1" t="str">
        <f aca="false">Transactions!I526</f>
        <v>2026-02-01</v>
      </c>
      <c r="D526" s="1" t="n">
        <f aca="false">Transactions!J526</f>
        <v>23</v>
      </c>
      <c r="E526" s="1" t="n">
        <f aca="false">Transactions!D526</f>
        <v>118.48</v>
      </c>
      <c r="F526" s="1" t="str">
        <f aca="false">Transactions!H526</f>
        <v>ATM</v>
      </c>
      <c r="G526" s="1" t="str">
        <f aca="false">Transactions!G526</f>
        <v>Utilities</v>
      </c>
      <c r="H526" s="1" t="n">
        <f aca="false">IF(COUNTIFS($B$2:$B$1489,B526,$C$2:$C$1489,C526,$D$2:$D$1489,D526)&gt;6,1,0)</f>
        <v>0</v>
      </c>
      <c r="I526" s="1" t="n">
        <f aca="false">IF(AND(F526="Wire",E526&gt;=1000,MOD(E526,1000)=0),1,0)</f>
        <v>0</v>
      </c>
      <c r="J526" s="1" t="n">
        <f aca="false">IF(AND(F526="ATM",E526&gt;2000,D526&lt;=4),1,0)</f>
        <v>0</v>
      </c>
      <c r="K526" s="1" t="n">
        <f aca="false">IF(COUNTIF('SQL Findings'!$A$4:$A$18,B526)&gt;0,1,0)</f>
        <v>0</v>
      </c>
      <c r="L526" s="1" t="n">
        <f aca="false">SUM(H526:K526)</f>
        <v>0</v>
      </c>
      <c r="M526" s="1" t="str">
        <f aca="false">IF(L526&gt;=2,"High",IF(L526=1,"Medium","Low"))</f>
        <v>Low</v>
      </c>
    </row>
    <row r="527" customFormat="false" ht="15" hidden="false" customHeight="true" outlineLevel="0" collapsed="false">
      <c r="A527" s="1" t="str">
        <f aca="false">Transactions!A527</f>
        <v>TXN500391</v>
      </c>
      <c r="B527" s="1" t="str">
        <f aca="false">Transactions!B527</f>
        <v>ACC1017</v>
      </c>
      <c r="C527" s="1" t="str">
        <f aca="false">Transactions!I527</f>
        <v>2026-02-02</v>
      </c>
      <c r="D527" s="1" t="n">
        <f aca="false">Transactions!J527</f>
        <v>7</v>
      </c>
      <c r="E527" s="1" t="n">
        <f aca="false">Transactions!D527</f>
        <v>29.71</v>
      </c>
      <c r="F527" s="1" t="str">
        <f aca="false">Transactions!H527</f>
        <v>POS</v>
      </c>
      <c r="G527" s="1" t="str">
        <f aca="false">Transactions!G527</f>
        <v>Utilities</v>
      </c>
      <c r="H527" s="1" t="n">
        <f aca="false">IF(COUNTIFS($B$2:$B$1489,B527,$C$2:$C$1489,C527,$D$2:$D$1489,D527)&gt;6,1,0)</f>
        <v>0</v>
      </c>
      <c r="I527" s="1" t="n">
        <f aca="false">IF(AND(F527="Wire",E527&gt;=1000,MOD(E527,1000)=0),1,0)</f>
        <v>0</v>
      </c>
      <c r="J527" s="1" t="n">
        <f aca="false">IF(AND(F527="ATM",E527&gt;2000,D527&lt;=4),1,0)</f>
        <v>0</v>
      </c>
      <c r="K527" s="1" t="n">
        <f aca="false">IF(COUNTIF('SQL Findings'!$A$4:$A$18,B527)&gt;0,1,0)</f>
        <v>0</v>
      </c>
      <c r="L527" s="1" t="n">
        <f aca="false">SUM(H527:K527)</f>
        <v>0</v>
      </c>
      <c r="M527" s="1" t="str">
        <f aca="false">IF(L527&gt;=2,"High",IF(L527=1,"Medium","Low"))</f>
        <v>Low</v>
      </c>
    </row>
    <row r="528" customFormat="false" ht="15" hidden="false" customHeight="true" outlineLevel="0" collapsed="false">
      <c r="A528" s="1" t="str">
        <f aca="false">Transactions!A528</f>
        <v>TXN500298</v>
      </c>
      <c r="B528" s="1" t="str">
        <f aca="false">Transactions!B528</f>
        <v>ACC1013</v>
      </c>
      <c r="C528" s="1" t="str">
        <f aca="false">Transactions!I528</f>
        <v>2026-02-02</v>
      </c>
      <c r="D528" s="1" t="n">
        <f aca="false">Transactions!J528</f>
        <v>7</v>
      </c>
      <c r="E528" s="1" t="n">
        <f aca="false">Transactions!D528</f>
        <v>87.93</v>
      </c>
      <c r="F528" s="1" t="str">
        <f aca="false">Transactions!H528</f>
        <v>ATM</v>
      </c>
      <c r="G528" s="1" t="str">
        <f aca="false">Transactions!G528</f>
        <v>Travel</v>
      </c>
      <c r="H528" s="1" t="n">
        <f aca="false">IF(COUNTIFS($B$2:$B$1489,B528,$C$2:$C$1489,C528,$D$2:$D$1489,D528)&gt;6,1,0)</f>
        <v>0</v>
      </c>
      <c r="I528" s="1" t="n">
        <f aca="false">IF(AND(F528="Wire",E528&gt;=1000,MOD(E528,1000)=0),1,0)</f>
        <v>0</v>
      </c>
      <c r="J528" s="1" t="n">
        <f aca="false">IF(AND(F528="ATM",E528&gt;2000,D528&lt;=4),1,0)</f>
        <v>0</v>
      </c>
      <c r="K528" s="1" t="n">
        <f aca="false">IF(COUNTIF('SQL Findings'!$A$4:$A$18,B528)&gt;0,1,0)</f>
        <v>0</v>
      </c>
      <c r="L528" s="1" t="n">
        <f aca="false">SUM(H528:K528)</f>
        <v>0</v>
      </c>
      <c r="M528" s="1" t="str">
        <f aca="false">IF(L528&gt;=2,"High",IF(L528=1,"Medium","Low"))</f>
        <v>Low</v>
      </c>
    </row>
    <row r="529" customFormat="false" ht="15" hidden="false" customHeight="true" outlineLevel="0" collapsed="false">
      <c r="A529" s="1" t="str">
        <f aca="false">Transactions!A529</f>
        <v>TXN500913</v>
      </c>
      <c r="B529" s="1" t="str">
        <f aca="false">Transactions!B529</f>
        <v>ACC1039</v>
      </c>
      <c r="C529" s="1" t="str">
        <f aca="false">Transactions!I529</f>
        <v>2026-02-02</v>
      </c>
      <c r="D529" s="1" t="n">
        <f aca="false">Transactions!J529</f>
        <v>7</v>
      </c>
      <c r="E529" s="1" t="n">
        <f aca="false">Transactions!D529</f>
        <v>83.47</v>
      </c>
      <c r="F529" s="1" t="str">
        <f aca="false">Transactions!H529</f>
        <v>POS</v>
      </c>
      <c r="G529" s="1" t="str">
        <f aca="false">Transactions!G529</f>
        <v>Online Marketplace</v>
      </c>
      <c r="H529" s="1" t="n">
        <f aca="false">IF(COUNTIFS($B$2:$B$1489,B529,$C$2:$C$1489,C529,$D$2:$D$1489,D529)&gt;6,1,0)</f>
        <v>0</v>
      </c>
      <c r="I529" s="1" t="n">
        <f aca="false">IF(AND(F529="Wire",E529&gt;=1000,MOD(E529,1000)=0),1,0)</f>
        <v>0</v>
      </c>
      <c r="J529" s="1" t="n">
        <f aca="false">IF(AND(F529="ATM",E529&gt;2000,D529&lt;=4),1,0)</f>
        <v>0</v>
      </c>
      <c r="K529" s="1" t="n">
        <f aca="false">IF(COUNTIF('SQL Findings'!$A$4:$A$18,B529)&gt;0,1,0)</f>
        <v>0</v>
      </c>
      <c r="L529" s="1" t="n">
        <f aca="false">SUM(H529:K529)</f>
        <v>0</v>
      </c>
      <c r="M529" s="1" t="str">
        <f aca="false">IF(L529&gt;=2,"High",IF(L529=1,"Medium","Low"))</f>
        <v>Low</v>
      </c>
    </row>
    <row r="530" customFormat="false" ht="15" hidden="false" customHeight="true" outlineLevel="0" collapsed="false">
      <c r="A530" s="1" t="str">
        <f aca="false">Transactions!A530</f>
        <v>TXN500285</v>
      </c>
      <c r="B530" s="1" t="str">
        <f aca="false">Transactions!B530</f>
        <v>ACC1012</v>
      </c>
      <c r="C530" s="1" t="str">
        <f aca="false">Transactions!I530</f>
        <v>2026-02-02</v>
      </c>
      <c r="D530" s="1" t="n">
        <f aca="false">Transactions!J530</f>
        <v>8</v>
      </c>
      <c r="E530" s="1" t="n">
        <f aca="false">Transactions!D530</f>
        <v>454.74</v>
      </c>
      <c r="F530" s="1" t="str">
        <f aca="false">Transactions!H530</f>
        <v>Online</v>
      </c>
      <c r="G530" s="1" t="str">
        <f aca="false">Transactions!G530</f>
        <v>Retail</v>
      </c>
      <c r="H530" s="1" t="n">
        <f aca="false">IF(COUNTIFS($B$2:$B$1489,B530,$C$2:$C$1489,C530,$D$2:$D$1489,D530)&gt;6,1,0)</f>
        <v>0</v>
      </c>
      <c r="I530" s="1" t="n">
        <f aca="false">IF(AND(F530="Wire",E530&gt;=1000,MOD(E530,1000)=0),1,0)</f>
        <v>0</v>
      </c>
      <c r="J530" s="1" t="n">
        <f aca="false">IF(AND(F530="ATM",E530&gt;2000,D530&lt;=4),1,0)</f>
        <v>0</v>
      </c>
      <c r="K530" s="1" t="n">
        <f aca="false">IF(COUNTIF('SQL Findings'!$A$4:$A$18,B530)&gt;0,1,0)</f>
        <v>0</v>
      </c>
      <c r="L530" s="1" t="n">
        <f aca="false">SUM(H530:K530)</f>
        <v>0</v>
      </c>
      <c r="M530" s="1" t="str">
        <f aca="false">IF(L530&gt;=2,"High",IF(L530=1,"Medium","Low"))</f>
        <v>Low</v>
      </c>
    </row>
    <row r="531" customFormat="false" ht="15" hidden="false" customHeight="true" outlineLevel="0" collapsed="false">
      <c r="A531" s="1" t="str">
        <f aca="false">Transactions!A531</f>
        <v>TXN501152</v>
      </c>
      <c r="B531" s="1" t="str">
        <f aca="false">Transactions!B531</f>
        <v>ACC1050</v>
      </c>
      <c r="C531" s="1" t="str">
        <f aca="false">Transactions!I531</f>
        <v>2026-02-02</v>
      </c>
      <c r="D531" s="1" t="n">
        <f aca="false">Transactions!J531</f>
        <v>9</v>
      </c>
      <c r="E531" s="1" t="n">
        <f aca="false">Transactions!D531</f>
        <v>9.6</v>
      </c>
      <c r="F531" s="1" t="str">
        <f aca="false">Transactions!H531</f>
        <v>Online</v>
      </c>
      <c r="G531" s="1" t="str">
        <f aca="false">Transactions!G531</f>
        <v>Online Marketplace</v>
      </c>
      <c r="H531" s="1" t="n">
        <f aca="false">IF(COUNTIFS($B$2:$B$1489,B531,$C$2:$C$1489,C531,$D$2:$D$1489,D531)&gt;6,1,0)</f>
        <v>0</v>
      </c>
      <c r="I531" s="1" t="n">
        <f aca="false">IF(AND(F531="Wire",E531&gt;=1000,MOD(E531,1000)=0),1,0)</f>
        <v>0</v>
      </c>
      <c r="J531" s="1" t="n">
        <f aca="false">IF(AND(F531="ATM",E531&gt;2000,D531&lt;=4),1,0)</f>
        <v>0</v>
      </c>
      <c r="K531" s="1" t="n">
        <f aca="false">IF(COUNTIF('SQL Findings'!$A$4:$A$18,B531)&gt;0,1,0)</f>
        <v>0</v>
      </c>
      <c r="L531" s="1" t="n">
        <f aca="false">SUM(H531:K531)</f>
        <v>0</v>
      </c>
      <c r="M531" s="1" t="str">
        <f aca="false">IF(L531&gt;=2,"High",IF(L531=1,"Medium","Low"))</f>
        <v>Low</v>
      </c>
    </row>
    <row r="532" customFormat="false" ht="15" hidden="false" customHeight="true" outlineLevel="0" collapsed="false">
      <c r="A532" s="1" t="str">
        <f aca="false">Transactions!A532</f>
        <v>TXN500930</v>
      </c>
      <c r="B532" s="1" t="str">
        <f aca="false">Transactions!B532</f>
        <v>ACC1040</v>
      </c>
      <c r="C532" s="1" t="str">
        <f aca="false">Transactions!I532</f>
        <v>2026-02-02</v>
      </c>
      <c r="D532" s="1" t="n">
        <f aca="false">Transactions!J532</f>
        <v>12</v>
      </c>
      <c r="E532" s="1" t="n">
        <f aca="false">Transactions!D532</f>
        <v>62.85</v>
      </c>
      <c r="F532" s="1" t="str">
        <f aca="false">Transactions!H532</f>
        <v>ATM</v>
      </c>
      <c r="G532" s="1" t="str">
        <f aca="false">Transactions!G532</f>
        <v>Retail</v>
      </c>
      <c r="H532" s="1" t="n">
        <f aca="false">IF(COUNTIFS($B$2:$B$1489,B532,$C$2:$C$1489,C532,$D$2:$D$1489,D532)&gt;6,1,0)</f>
        <v>0</v>
      </c>
      <c r="I532" s="1" t="n">
        <f aca="false">IF(AND(F532="Wire",E532&gt;=1000,MOD(E532,1000)=0),1,0)</f>
        <v>0</v>
      </c>
      <c r="J532" s="1" t="n">
        <f aca="false">IF(AND(F532="ATM",E532&gt;2000,D532&lt;=4),1,0)</f>
        <v>0</v>
      </c>
      <c r="K532" s="1" t="n">
        <f aca="false">IF(COUNTIF('SQL Findings'!$A$4:$A$18,B532)&gt;0,1,0)</f>
        <v>1</v>
      </c>
      <c r="L532" s="1" t="n">
        <f aca="false">SUM(H532:K532)</f>
        <v>1</v>
      </c>
      <c r="M532" s="1" t="str">
        <f aca="false">IF(L532&gt;=2,"High",IF(L532=1,"Medium","Low"))</f>
        <v>Medium</v>
      </c>
    </row>
    <row r="533" customFormat="false" ht="15" hidden="false" customHeight="true" outlineLevel="0" collapsed="false">
      <c r="A533" s="1" t="str">
        <f aca="false">Transactions!A533</f>
        <v>TXN500939</v>
      </c>
      <c r="B533" s="1" t="str">
        <f aca="false">Transactions!B533</f>
        <v>ACC1040</v>
      </c>
      <c r="C533" s="1" t="str">
        <f aca="false">Transactions!I533</f>
        <v>2026-02-02</v>
      </c>
      <c r="D533" s="1" t="n">
        <f aca="false">Transactions!J533</f>
        <v>12</v>
      </c>
      <c r="E533" s="1" t="n">
        <f aca="false">Transactions!D533</f>
        <v>83.05</v>
      </c>
      <c r="F533" s="1" t="str">
        <f aca="false">Transactions!H533</f>
        <v>Online</v>
      </c>
      <c r="G533" s="1" t="str">
        <f aca="false">Transactions!G533</f>
        <v>Dining</v>
      </c>
      <c r="H533" s="1" t="n">
        <f aca="false">IF(COUNTIFS($B$2:$B$1489,B533,$C$2:$C$1489,C533,$D$2:$D$1489,D533)&gt;6,1,0)</f>
        <v>0</v>
      </c>
      <c r="I533" s="1" t="n">
        <f aca="false">IF(AND(F533="Wire",E533&gt;=1000,MOD(E533,1000)=0),1,0)</f>
        <v>0</v>
      </c>
      <c r="J533" s="1" t="n">
        <f aca="false">IF(AND(F533="ATM",E533&gt;2000,D533&lt;=4),1,0)</f>
        <v>0</v>
      </c>
      <c r="K533" s="1" t="n">
        <f aca="false">IF(COUNTIF('SQL Findings'!$A$4:$A$18,B533)&gt;0,1,0)</f>
        <v>1</v>
      </c>
      <c r="L533" s="1" t="n">
        <f aca="false">SUM(H533:K533)</f>
        <v>1</v>
      </c>
      <c r="M533" s="1" t="str">
        <f aca="false">IF(L533&gt;=2,"High",IF(L533=1,"Medium","Low"))</f>
        <v>Medium</v>
      </c>
    </row>
    <row r="534" customFormat="false" ht="15" hidden="false" customHeight="true" outlineLevel="0" collapsed="false">
      <c r="A534" s="1" t="str">
        <f aca="false">Transactions!A534</f>
        <v>TXN501064</v>
      </c>
      <c r="B534" s="1" t="str">
        <f aca="false">Transactions!B534</f>
        <v>ACC1046</v>
      </c>
      <c r="C534" s="1" t="str">
        <f aca="false">Transactions!I534</f>
        <v>2026-02-02</v>
      </c>
      <c r="D534" s="1" t="n">
        <f aca="false">Transactions!J534</f>
        <v>12</v>
      </c>
      <c r="E534" s="1" t="n">
        <f aca="false">Transactions!D534</f>
        <v>13.93</v>
      </c>
      <c r="F534" s="1" t="str">
        <f aca="false">Transactions!H534</f>
        <v>Online</v>
      </c>
      <c r="G534" s="1" t="str">
        <f aca="false">Transactions!G534</f>
        <v>Retail</v>
      </c>
      <c r="H534" s="1" t="n">
        <f aca="false">IF(COUNTIFS($B$2:$B$1489,B534,$C$2:$C$1489,C534,$D$2:$D$1489,D534)&gt;6,1,0)</f>
        <v>0</v>
      </c>
      <c r="I534" s="1" t="n">
        <f aca="false">IF(AND(F534="Wire",E534&gt;=1000,MOD(E534,1000)=0),1,0)</f>
        <v>0</v>
      </c>
      <c r="J534" s="1" t="n">
        <f aca="false">IF(AND(F534="ATM",E534&gt;2000,D534&lt;=4),1,0)</f>
        <v>0</v>
      </c>
      <c r="K534" s="1" t="n">
        <f aca="false">IF(COUNTIF('SQL Findings'!$A$4:$A$18,B534)&gt;0,1,0)</f>
        <v>0</v>
      </c>
      <c r="L534" s="1" t="n">
        <f aca="false">SUM(H534:K534)</f>
        <v>0</v>
      </c>
      <c r="M534" s="1" t="str">
        <f aca="false">IF(L534&gt;=2,"High",IF(L534=1,"Medium","Low"))</f>
        <v>Low</v>
      </c>
    </row>
    <row r="535" customFormat="false" ht="15" hidden="false" customHeight="true" outlineLevel="0" collapsed="false">
      <c r="A535" s="1" t="str">
        <f aca="false">Transactions!A535</f>
        <v>TXN500887</v>
      </c>
      <c r="B535" s="1" t="str">
        <f aca="false">Transactions!B535</f>
        <v>ACC1038</v>
      </c>
      <c r="C535" s="1" t="str">
        <f aca="false">Transactions!I535</f>
        <v>2026-02-02</v>
      </c>
      <c r="D535" s="1" t="n">
        <f aca="false">Transactions!J535</f>
        <v>13</v>
      </c>
      <c r="E535" s="1" t="n">
        <f aca="false">Transactions!D535</f>
        <v>112.79</v>
      </c>
      <c r="F535" s="1" t="str">
        <f aca="false">Transactions!H535</f>
        <v>Online</v>
      </c>
      <c r="G535" s="1" t="str">
        <f aca="false">Transactions!G535</f>
        <v>Electronics</v>
      </c>
      <c r="H535" s="1" t="n">
        <f aca="false">IF(COUNTIFS($B$2:$B$1489,B535,$C$2:$C$1489,C535,$D$2:$D$1489,D535)&gt;6,1,0)</f>
        <v>0</v>
      </c>
      <c r="I535" s="1" t="n">
        <f aca="false">IF(AND(F535="Wire",E535&gt;=1000,MOD(E535,1000)=0),1,0)</f>
        <v>0</v>
      </c>
      <c r="J535" s="1" t="n">
        <f aca="false">IF(AND(F535="ATM",E535&gt;2000,D535&lt;=4),1,0)</f>
        <v>0</v>
      </c>
      <c r="K535" s="1" t="n">
        <f aca="false">IF(COUNTIF('SQL Findings'!$A$4:$A$18,B535)&gt;0,1,0)</f>
        <v>0</v>
      </c>
      <c r="L535" s="1" t="n">
        <f aca="false">SUM(H535:K535)</f>
        <v>0</v>
      </c>
      <c r="M535" s="1" t="str">
        <f aca="false">IF(L535&gt;=2,"High",IF(L535=1,"Medium","Low"))</f>
        <v>Low</v>
      </c>
    </row>
    <row r="536" customFormat="false" ht="15" hidden="false" customHeight="true" outlineLevel="0" collapsed="false">
      <c r="A536" s="1" t="str">
        <f aca="false">Transactions!A536</f>
        <v>TXN500802</v>
      </c>
      <c r="B536" s="1" t="str">
        <f aca="false">Transactions!B536</f>
        <v>ACC1034</v>
      </c>
      <c r="C536" s="1" t="str">
        <f aca="false">Transactions!I536</f>
        <v>2026-02-02</v>
      </c>
      <c r="D536" s="1" t="n">
        <f aca="false">Transactions!J536</f>
        <v>13</v>
      </c>
      <c r="E536" s="1" t="n">
        <f aca="false">Transactions!D536</f>
        <v>41.91</v>
      </c>
      <c r="F536" s="1" t="str">
        <f aca="false">Transactions!H536</f>
        <v>Online</v>
      </c>
      <c r="G536" s="1" t="str">
        <f aca="false">Transactions!G536</f>
        <v>Utilities</v>
      </c>
      <c r="H536" s="1" t="n">
        <f aca="false">IF(COUNTIFS($B$2:$B$1489,B536,$C$2:$C$1489,C536,$D$2:$D$1489,D536)&gt;6,1,0)</f>
        <v>0</v>
      </c>
      <c r="I536" s="1" t="n">
        <f aca="false">IF(AND(F536="Wire",E536&gt;=1000,MOD(E536,1000)=0),1,0)</f>
        <v>0</v>
      </c>
      <c r="J536" s="1" t="n">
        <f aca="false">IF(AND(F536="ATM",E536&gt;2000,D536&lt;=4),1,0)</f>
        <v>0</v>
      </c>
      <c r="K536" s="1" t="n">
        <f aca="false">IF(COUNTIF('SQL Findings'!$A$4:$A$18,B536)&gt;0,1,0)</f>
        <v>0</v>
      </c>
      <c r="L536" s="1" t="n">
        <f aca="false">SUM(H536:K536)</f>
        <v>0</v>
      </c>
      <c r="M536" s="1" t="str">
        <f aca="false">IF(L536&gt;=2,"High",IF(L536=1,"Medium","Low"))</f>
        <v>Low</v>
      </c>
    </row>
    <row r="537" customFormat="false" ht="15" hidden="false" customHeight="true" outlineLevel="0" collapsed="false">
      <c r="A537" s="1" t="str">
        <f aca="false">Transactions!A537</f>
        <v>TXN500572</v>
      </c>
      <c r="B537" s="1" t="str">
        <f aca="false">Transactions!B537</f>
        <v>ACC1025</v>
      </c>
      <c r="C537" s="1" t="str">
        <f aca="false">Transactions!I537</f>
        <v>2026-02-02</v>
      </c>
      <c r="D537" s="1" t="n">
        <f aca="false">Transactions!J537</f>
        <v>14</v>
      </c>
      <c r="E537" s="1" t="n">
        <f aca="false">Transactions!D537</f>
        <v>301.51</v>
      </c>
      <c r="F537" s="1" t="str">
        <f aca="false">Transactions!H537</f>
        <v>Online</v>
      </c>
      <c r="G537" s="1" t="str">
        <f aca="false">Transactions!G537</f>
        <v>Wire Transfer</v>
      </c>
      <c r="H537" s="1" t="n">
        <f aca="false">IF(COUNTIFS($B$2:$B$1489,B537,$C$2:$C$1489,C537,$D$2:$D$1489,D537)&gt;6,1,0)</f>
        <v>0</v>
      </c>
      <c r="I537" s="1" t="n">
        <f aca="false">IF(AND(F537="Wire",E537&gt;=1000,MOD(E537,1000)=0),1,0)</f>
        <v>0</v>
      </c>
      <c r="J537" s="1" t="n">
        <f aca="false">IF(AND(F537="ATM",E537&gt;2000,D537&lt;=4),1,0)</f>
        <v>0</v>
      </c>
      <c r="K537" s="1" t="n">
        <f aca="false">IF(COUNTIF('SQL Findings'!$A$4:$A$18,B537)&gt;0,1,0)</f>
        <v>0</v>
      </c>
      <c r="L537" s="1" t="n">
        <f aca="false">SUM(H537:K537)</f>
        <v>0</v>
      </c>
      <c r="M537" s="1" t="str">
        <f aca="false">IF(L537&gt;=2,"High",IF(L537=1,"Medium","Low"))</f>
        <v>Low</v>
      </c>
    </row>
    <row r="538" customFormat="false" ht="15" hidden="false" customHeight="true" outlineLevel="0" collapsed="false">
      <c r="A538" s="1" t="str">
        <f aca="false">Transactions!A538</f>
        <v>TXN500220</v>
      </c>
      <c r="B538" s="1" t="str">
        <f aca="false">Transactions!B538</f>
        <v>ACC1009</v>
      </c>
      <c r="C538" s="1" t="str">
        <f aca="false">Transactions!I538</f>
        <v>2026-02-02</v>
      </c>
      <c r="D538" s="1" t="n">
        <f aca="false">Transactions!J538</f>
        <v>14</v>
      </c>
      <c r="E538" s="1" t="n">
        <f aca="false">Transactions!D538</f>
        <v>71.79</v>
      </c>
      <c r="F538" s="1" t="str">
        <f aca="false">Transactions!H538</f>
        <v>ATM</v>
      </c>
      <c r="G538" s="1" t="str">
        <f aca="false">Transactions!G538</f>
        <v>Travel</v>
      </c>
      <c r="H538" s="1" t="n">
        <f aca="false">IF(COUNTIFS($B$2:$B$1489,B538,$C$2:$C$1489,C538,$D$2:$D$1489,D538)&gt;6,1,0)</f>
        <v>0</v>
      </c>
      <c r="I538" s="1" t="n">
        <f aca="false">IF(AND(F538="Wire",E538&gt;=1000,MOD(E538,1000)=0),1,0)</f>
        <v>0</v>
      </c>
      <c r="J538" s="1" t="n">
        <f aca="false">IF(AND(F538="ATM",E538&gt;2000,D538&lt;=4),1,0)</f>
        <v>0</v>
      </c>
      <c r="K538" s="1" t="n">
        <f aca="false">IF(COUNTIF('SQL Findings'!$A$4:$A$18,B538)&gt;0,1,0)</f>
        <v>1</v>
      </c>
      <c r="L538" s="1" t="n">
        <f aca="false">SUM(H538:K538)</f>
        <v>1</v>
      </c>
      <c r="M538" s="1" t="str">
        <f aca="false">IF(L538&gt;=2,"High",IF(L538=1,"Medium","Low"))</f>
        <v>Medium</v>
      </c>
    </row>
    <row r="539" customFormat="false" ht="15" hidden="false" customHeight="true" outlineLevel="0" collapsed="false">
      <c r="A539" s="1" t="str">
        <f aca="false">Transactions!A539</f>
        <v>TXN501376</v>
      </c>
      <c r="B539" s="1" t="str">
        <f aca="false">Transactions!B539</f>
        <v>ACC1059</v>
      </c>
      <c r="C539" s="1" t="str">
        <f aca="false">Transactions!I539</f>
        <v>2026-02-02</v>
      </c>
      <c r="D539" s="1" t="n">
        <f aca="false">Transactions!J539</f>
        <v>16</v>
      </c>
      <c r="E539" s="1" t="n">
        <f aca="false">Transactions!D539</f>
        <v>55.24</v>
      </c>
      <c r="F539" s="1" t="str">
        <f aca="false">Transactions!H539</f>
        <v>POS</v>
      </c>
      <c r="G539" s="1" t="str">
        <f aca="false">Transactions!G539</f>
        <v>Online Marketplace</v>
      </c>
      <c r="H539" s="1" t="n">
        <f aca="false">IF(COUNTIFS($B$2:$B$1489,B539,$C$2:$C$1489,C539,$D$2:$D$1489,D539)&gt;6,1,0)</f>
        <v>0</v>
      </c>
      <c r="I539" s="1" t="n">
        <f aca="false">IF(AND(F539="Wire",E539&gt;=1000,MOD(E539,1000)=0),1,0)</f>
        <v>0</v>
      </c>
      <c r="J539" s="1" t="n">
        <f aca="false">IF(AND(F539="ATM",E539&gt;2000,D539&lt;=4),1,0)</f>
        <v>0</v>
      </c>
      <c r="K539" s="1" t="n">
        <f aca="false">IF(COUNTIF('SQL Findings'!$A$4:$A$18,B539)&gt;0,1,0)</f>
        <v>0</v>
      </c>
      <c r="L539" s="1" t="n">
        <f aca="false">SUM(H539:K539)</f>
        <v>0</v>
      </c>
      <c r="M539" s="1" t="str">
        <f aca="false">IF(L539&gt;=2,"High",IF(L539=1,"Medium","Low"))</f>
        <v>Low</v>
      </c>
    </row>
    <row r="540" customFormat="false" ht="15" hidden="false" customHeight="true" outlineLevel="0" collapsed="false">
      <c r="A540" s="1" t="str">
        <f aca="false">Transactions!A540</f>
        <v>TXN500744</v>
      </c>
      <c r="B540" s="1" t="str">
        <f aca="false">Transactions!B540</f>
        <v>ACC1032</v>
      </c>
      <c r="C540" s="1" t="str">
        <f aca="false">Transactions!I540</f>
        <v>2026-02-02</v>
      </c>
      <c r="D540" s="1" t="n">
        <f aca="false">Transactions!J540</f>
        <v>16</v>
      </c>
      <c r="E540" s="1" t="n">
        <f aca="false">Transactions!D540</f>
        <v>68.27</v>
      </c>
      <c r="F540" s="1" t="str">
        <f aca="false">Transactions!H540</f>
        <v>POS</v>
      </c>
      <c r="G540" s="1" t="str">
        <f aca="false">Transactions!G540</f>
        <v>Retail</v>
      </c>
      <c r="H540" s="1" t="n">
        <f aca="false">IF(COUNTIFS($B$2:$B$1489,B540,$C$2:$C$1489,C540,$D$2:$D$1489,D540)&gt;6,1,0)</f>
        <v>0</v>
      </c>
      <c r="I540" s="1" t="n">
        <f aca="false">IF(AND(F540="Wire",E540&gt;=1000,MOD(E540,1000)=0),1,0)</f>
        <v>0</v>
      </c>
      <c r="J540" s="1" t="n">
        <f aca="false">IF(AND(F540="ATM",E540&gt;2000,D540&lt;=4),1,0)</f>
        <v>0</v>
      </c>
      <c r="K540" s="1" t="n">
        <f aca="false">IF(COUNTIF('SQL Findings'!$A$4:$A$18,B540)&gt;0,1,0)</f>
        <v>0</v>
      </c>
      <c r="L540" s="1" t="n">
        <f aca="false">SUM(H540:K540)</f>
        <v>0</v>
      </c>
      <c r="M540" s="1" t="str">
        <f aca="false">IF(L540&gt;=2,"High",IF(L540=1,"Medium","Low"))</f>
        <v>Low</v>
      </c>
    </row>
    <row r="541" customFormat="false" ht="15" hidden="false" customHeight="true" outlineLevel="0" collapsed="false">
      <c r="A541" s="1" t="str">
        <f aca="false">Transactions!A541</f>
        <v>TXN500478</v>
      </c>
      <c r="B541" s="1" t="str">
        <f aca="false">Transactions!B541</f>
        <v>ACC1021</v>
      </c>
      <c r="C541" s="1" t="str">
        <f aca="false">Transactions!I541</f>
        <v>2026-02-02</v>
      </c>
      <c r="D541" s="1" t="n">
        <f aca="false">Transactions!J541</f>
        <v>17</v>
      </c>
      <c r="E541" s="1" t="n">
        <f aca="false">Transactions!D541</f>
        <v>88.25</v>
      </c>
      <c r="F541" s="1" t="str">
        <f aca="false">Transactions!H541</f>
        <v>ATM</v>
      </c>
      <c r="G541" s="1" t="str">
        <f aca="false">Transactions!G541</f>
        <v>Dining</v>
      </c>
      <c r="H541" s="1" t="n">
        <f aca="false">IF(COUNTIFS($B$2:$B$1489,B541,$C$2:$C$1489,C541,$D$2:$D$1489,D541)&gt;6,1,0)</f>
        <v>0</v>
      </c>
      <c r="I541" s="1" t="n">
        <f aca="false">IF(AND(F541="Wire",E541&gt;=1000,MOD(E541,1000)=0),1,0)</f>
        <v>0</v>
      </c>
      <c r="J541" s="1" t="n">
        <f aca="false">IF(AND(F541="ATM",E541&gt;2000,D541&lt;=4),1,0)</f>
        <v>0</v>
      </c>
      <c r="K541" s="1" t="n">
        <f aca="false">IF(COUNTIF('SQL Findings'!$A$4:$A$18,B541)&gt;0,1,0)</f>
        <v>0</v>
      </c>
      <c r="L541" s="1" t="n">
        <f aca="false">SUM(H541:K541)</f>
        <v>0</v>
      </c>
      <c r="M541" s="1" t="str">
        <f aca="false">IF(L541&gt;=2,"High",IF(L541=1,"Medium","Low"))</f>
        <v>Low</v>
      </c>
    </row>
    <row r="542" customFormat="false" ht="15" hidden="false" customHeight="true" outlineLevel="0" collapsed="false">
      <c r="A542" s="1" t="str">
        <f aca="false">Transactions!A542</f>
        <v>TXN500560</v>
      </c>
      <c r="B542" s="1" t="str">
        <f aca="false">Transactions!B542</f>
        <v>ACC1024</v>
      </c>
      <c r="C542" s="1" t="str">
        <f aca="false">Transactions!I542</f>
        <v>2026-02-02</v>
      </c>
      <c r="D542" s="1" t="n">
        <f aca="false">Transactions!J542</f>
        <v>21</v>
      </c>
      <c r="E542" s="1" t="n">
        <f aca="false">Transactions!D542</f>
        <v>45.66</v>
      </c>
      <c r="F542" s="1" t="str">
        <f aca="false">Transactions!H542</f>
        <v>ATM</v>
      </c>
      <c r="G542" s="1" t="str">
        <f aca="false">Transactions!G542</f>
        <v>Online Marketplace</v>
      </c>
      <c r="H542" s="1" t="n">
        <f aca="false">IF(COUNTIFS($B$2:$B$1489,B542,$C$2:$C$1489,C542,$D$2:$D$1489,D542)&gt;6,1,0)</f>
        <v>0</v>
      </c>
      <c r="I542" s="1" t="n">
        <f aca="false">IF(AND(F542="Wire",E542&gt;=1000,MOD(E542,1000)=0),1,0)</f>
        <v>0</v>
      </c>
      <c r="J542" s="1" t="n">
        <f aca="false">IF(AND(F542="ATM",E542&gt;2000,D542&lt;=4),1,0)</f>
        <v>0</v>
      </c>
      <c r="K542" s="1" t="n">
        <f aca="false">IF(COUNTIF('SQL Findings'!$A$4:$A$18,B542)&gt;0,1,0)</f>
        <v>1</v>
      </c>
      <c r="L542" s="1" t="n">
        <f aca="false">SUM(H542:K542)</f>
        <v>1</v>
      </c>
      <c r="M542" s="1" t="str">
        <f aca="false">IF(L542&gt;=2,"High",IF(L542=1,"Medium","Low"))</f>
        <v>Medium</v>
      </c>
    </row>
    <row r="543" customFormat="false" ht="15" hidden="false" customHeight="true" outlineLevel="0" collapsed="false">
      <c r="A543" s="1" t="str">
        <f aca="false">Transactions!A543</f>
        <v>TXN500079</v>
      </c>
      <c r="B543" s="1" t="str">
        <f aca="false">Transactions!B543</f>
        <v>ACC1003</v>
      </c>
      <c r="C543" s="1" t="str">
        <f aca="false">Transactions!I543</f>
        <v>2026-02-03</v>
      </c>
      <c r="D543" s="1" t="n">
        <f aca="false">Transactions!J543</f>
        <v>1</v>
      </c>
      <c r="E543" s="1" t="n">
        <f aca="false">Transactions!D543</f>
        <v>72.43</v>
      </c>
      <c r="F543" s="1" t="str">
        <f aca="false">Transactions!H543</f>
        <v>Online</v>
      </c>
      <c r="G543" s="1" t="str">
        <f aca="false">Transactions!G543</f>
        <v>Wire Transfer</v>
      </c>
      <c r="H543" s="1" t="n">
        <f aca="false">IF(COUNTIFS($B$2:$B$1489,B543,$C$2:$C$1489,C543,$D$2:$D$1489,D543)&gt;6,1,0)</f>
        <v>0</v>
      </c>
      <c r="I543" s="1" t="n">
        <f aca="false">IF(AND(F543="Wire",E543&gt;=1000,MOD(E543,1000)=0),1,0)</f>
        <v>0</v>
      </c>
      <c r="J543" s="1" t="n">
        <f aca="false">IF(AND(F543="ATM",E543&gt;2000,D543&lt;=4),1,0)</f>
        <v>0</v>
      </c>
      <c r="K543" s="1" t="n">
        <f aca="false">IF(COUNTIF('SQL Findings'!$A$4:$A$18,B543)&gt;0,1,0)</f>
        <v>0</v>
      </c>
      <c r="L543" s="1" t="n">
        <f aca="false">SUM(H543:K543)</f>
        <v>0</v>
      </c>
      <c r="M543" s="1" t="str">
        <f aca="false">IF(L543&gt;=2,"High",IF(L543=1,"Medium","Low"))</f>
        <v>Low</v>
      </c>
    </row>
    <row r="544" customFormat="false" ht="15" hidden="false" customHeight="true" outlineLevel="0" collapsed="false">
      <c r="A544" s="1" t="str">
        <f aca="false">Transactions!A544</f>
        <v>TXN501375</v>
      </c>
      <c r="B544" s="1" t="str">
        <f aca="false">Transactions!B544</f>
        <v>ACC1059</v>
      </c>
      <c r="C544" s="1" t="str">
        <f aca="false">Transactions!I544</f>
        <v>2026-02-03</v>
      </c>
      <c r="D544" s="1" t="n">
        <f aca="false">Transactions!J544</f>
        <v>4</v>
      </c>
      <c r="E544" s="1" t="n">
        <f aca="false">Transactions!D544</f>
        <v>250.65</v>
      </c>
      <c r="F544" s="1" t="str">
        <f aca="false">Transactions!H544</f>
        <v>ATM</v>
      </c>
      <c r="G544" s="1" t="str">
        <f aca="false">Transactions!G544</f>
        <v>Electronics</v>
      </c>
      <c r="H544" s="1" t="n">
        <f aca="false">IF(COUNTIFS($B$2:$B$1489,B544,$C$2:$C$1489,C544,$D$2:$D$1489,D544)&gt;6,1,0)</f>
        <v>0</v>
      </c>
      <c r="I544" s="1" t="n">
        <f aca="false">IF(AND(F544="Wire",E544&gt;=1000,MOD(E544,1000)=0),1,0)</f>
        <v>0</v>
      </c>
      <c r="J544" s="1" t="n">
        <f aca="false">IF(AND(F544="ATM",E544&gt;2000,D544&lt;=4),1,0)</f>
        <v>0</v>
      </c>
      <c r="K544" s="1" t="n">
        <f aca="false">IF(COUNTIF('SQL Findings'!$A$4:$A$18,B544)&gt;0,1,0)</f>
        <v>0</v>
      </c>
      <c r="L544" s="1" t="n">
        <f aca="false">SUM(H544:K544)</f>
        <v>0</v>
      </c>
      <c r="M544" s="1" t="str">
        <f aca="false">IF(L544&gt;=2,"High",IF(L544=1,"Medium","Low"))</f>
        <v>Low</v>
      </c>
    </row>
    <row r="545" customFormat="false" ht="15" hidden="false" customHeight="true" outlineLevel="0" collapsed="false">
      <c r="A545" s="1" t="str">
        <f aca="false">Transactions!A545</f>
        <v>TXN500009</v>
      </c>
      <c r="B545" s="1" t="str">
        <f aca="false">Transactions!B545</f>
        <v>ACC1000</v>
      </c>
      <c r="C545" s="1" t="str">
        <f aca="false">Transactions!I545</f>
        <v>2026-02-03</v>
      </c>
      <c r="D545" s="1" t="n">
        <f aca="false">Transactions!J545</f>
        <v>6</v>
      </c>
      <c r="E545" s="1" t="n">
        <f aca="false">Transactions!D545</f>
        <v>43.71</v>
      </c>
      <c r="F545" s="1" t="str">
        <f aca="false">Transactions!H545</f>
        <v>ATM</v>
      </c>
      <c r="G545" s="1" t="str">
        <f aca="false">Transactions!G545</f>
        <v>Utilities</v>
      </c>
      <c r="H545" s="1" t="n">
        <f aca="false">IF(COUNTIFS($B$2:$B$1489,B545,$C$2:$C$1489,C545,$D$2:$D$1489,D545)&gt;6,1,0)</f>
        <v>0</v>
      </c>
      <c r="I545" s="1" t="n">
        <f aca="false">IF(AND(F545="Wire",E545&gt;=1000,MOD(E545,1000)=0),1,0)</f>
        <v>0</v>
      </c>
      <c r="J545" s="1" t="n">
        <f aca="false">IF(AND(F545="ATM",E545&gt;2000,D545&lt;=4),1,0)</f>
        <v>0</v>
      </c>
      <c r="K545" s="1" t="n">
        <f aca="false">IF(COUNTIF('SQL Findings'!$A$4:$A$18,B545)&gt;0,1,0)</f>
        <v>1</v>
      </c>
      <c r="L545" s="1" t="n">
        <f aca="false">SUM(H545:K545)</f>
        <v>1</v>
      </c>
      <c r="M545" s="1" t="str">
        <f aca="false">IF(L545&gt;=2,"High",IF(L545=1,"Medium","Low"))</f>
        <v>Medium</v>
      </c>
    </row>
    <row r="546" customFormat="false" ht="15" hidden="false" customHeight="true" outlineLevel="0" collapsed="false">
      <c r="A546" s="1" t="str">
        <f aca="false">Transactions!A546</f>
        <v>TXN501040</v>
      </c>
      <c r="B546" s="1" t="str">
        <f aca="false">Transactions!B546</f>
        <v>ACC1045</v>
      </c>
      <c r="C546" s="1" t="str">
        <f aca="false">Transactions!I546</f>
        <v>2026-02-03</v>
      </c>
      <c r="D546" s="1" t="n">
        <f aca="false">Transactions!J546</f>
        <v>7</v>
      </c>
      <c r="E546" s="1" t="n">
        <f aca="false">Transactions!D546</f>
        <v>171.12</v>
      </c>
      <c r="F546" s="1" t="str">
        <f aca="false">Transactions!H546</f>
        <v>ATM</v>
      </c>
      <c r="G546" s="1" t="str">
        <f aca="false">Transactions!G546</f>
        <v>Wire Transfer</v>
      </c>
      <c r="H546" s="1" t="n">
        <f aca="false">IF(COUNTIFS($B$2:$B$1489,B546,$C$2:$C$1489,C546,$D$2:$D$1489,D546)&gt;6,1,0)</f>
        <v>0</v>
      </c>
      <c r="I546" s="1" t="n">
        <f aca="false">IF(AND(F546="Wire",E546&gt;=1000,MOD(E546,1000)=0),1,0)</f>
        <v>0</v>
      </c>
      <c r="J546" s="1" t="n">
        <f aca="false">IF(AND(F546="ATM",E546&gt;2000,D546&lt;=4),1,0)</f>
        <v>0</v>
      </c>
      <c r="K546" s="1" t="n">
        <f aca="false">IF(COUNTIF('SQL Findings'!$A$4:$A$18,B546)&gt;0,1,0)</f>
        <v>0</v>
      </c>
      <c r="L546" s="1" t="n">
        <f aca="false">SUM(H546:K546)</f>
        <v>0</v>
      </c>
      <c r="M546" s="1" t="str">
        <f aca="false">IF(L546&gt;=2,"High",IF(L546=1,"Medium","Low"))</f>
        <v>Low</v>
      </c>
    </row>
    <row r="547" customFormat="false" ht="15" hidden="false" customHeight="true" outlineLevel="0" collapsed="false">
      <c r="A547" s="1" t="str">
        <f aca="false">Transactions!A547</f>
        <v>TXN501021</v>
      </c>
      <c r="B547" s="1" t="str">
        <f aca="false">Transactions!B547</f>
        <v>ACC1044</v>
      </c>
      <c r="C547" s="1" t="str">
        <f aca="false">Transactions!I547</f>
        <v>2026-02-03</v>
      </c>
      <c r="D547" s="1" t="n">
        <f aca="false">Transactions!J547</f>
        <v>7</v>
      </c>
      <c r="E547" s="1" t="n">
        <f aca="false">Transactions!D547</f>
        <v>106.76</v>
      </c>
      <c r="F547" s="1" t="str">
        <f aca="false">Transactions!H547</f>
        <v>ATM</v>
      </c>
      <c r="G547" s="1" t="str">
        <f aca="false">Transactions!G547</f>
        <v>Retail</v>
      </c>
      <c r="H547" s="1" t="n">
        <f aca="false">IF(COUNTIFS($B$2:$B$1489,B547,$C$2:$C$1489,C547,$D$2:$D$1489,D547)&gt;6,1,0)</f>
        <v>0</v>
      </c>
      <c r="I547" s="1" t="n">
        <f aca="false">IF(AND(F547="Wire",E547&gt;=1000,MOD(E547,1000)=0),1,0)</f>
        <v>0</v>
      </c>
      <c r="J547" s="1" t="n">
        <f aca="false">IF(AND(F547="ATM",E547&gt;2000,D547&lt;=4),1,0)</f>
        <v>0</v>
      </c>
      <c r="K547" s="1" t="n">
        <f aca="false">IF(COUNTIF('SQL Findings'!$A$4:$A$18,B547)&gt;0,1,0)</f>
        <v>0</v>
      </c>
      <c r="L547" s="1" t="n">
        <f aca="false">SUM(H547:K547)</f>
        <v>0</v>
      </c>
      <c r="M547" s="1" t="str">
        <f aca="false">IF(L547&gt;=2,"High",IF(L547=1,"Medium","Low"))</f>
        <v>Low</v>
      </c>
    </row>
    <row r="548" customFormat="false" ht="15" hidden="false" customHeight="true" outlineLevel="0" collapsed="false">
      <c r="A548" s="1" t="str">
        <f aca="false">Transactions!A548</f>
        <v>TXN501056</v>
      </c>
      <c r="B548" s="1" t="str">
        <f aca="false">Transactions!B548</f>
        <v>ACC1046</v>
      </c>
      <c r="C548" s="1" t="str">
        <f aca="false">Transactions!I548</f>
        <v>2026-02-03</v>
      </c>
      <c r="D548" s="1" t="n">
        <f aca="false">Transactions!J548</f>
        <v>7</v>
      </c>
      <c r="E548" s="1" t="n">
        <f aca="false">Transactions!D548</f>
        <v>36.44</v>
      </c>
      <c r="F548" s="1" t="str">
        <f aca="false">Transactions!H548</f>
        <v>Online</v>
      </c>
      <c r="G548" s="1" t="str">
        <f aca="false">Transactions!G548</f>
        <v>Cash Withdrawal</v>
      </c>
      <c r="H548" s="1" t="n">
        <f aca="false">IF(COUNTIFS($B$2:$B$1489,B548,$C$2:$C$1489,C548,$D$2:$D$1489,D548)&gt;6,1,0)</f>
        <v>0</v>
      </c>
      <c r="I548" s="1" t="n">
        <f aca="false">IF(AND(F548="Wire",E548&gt;=1000,MOD(E548,1000)=0),1,0)</f>
        <v>0</v>
      </c>
      <c r="J548" s="1" t="n">
        <f aca="false">IF(AND(F548="ATM",E548&gt;2000,D548&lt;=4),1,0)</f>
        <v>0</v>
      </c>
      <c r="K548" s="1" t="n">
        <f aca="false">IF(COUNTIF('SQL Findings'!$A$4:$A$18,B548)&gt;0,1,0)</f>
        <v>0</v>
      </c>
      <c r="L548" s="1" t="n">
        <f aca="false">SUM(H548:K548)</f>
        <v>0</v>
      </c>
      <c r="M548" s="1" t="str">
        <f aca="false">IF(L548&gt;=2,"High",IF(L548=1,"Medium","Low"))</f>
        <v>Low</v>
      </c>
    </row>
    <row r="549" customFormat="false" ht="15" hidden="false" customHeight="true" outlineLevel="0" collapsed="false">
      <c r="A549" s="1" t="str">
        <f aca="false">Transactions!A549</f>
        <v>TXN500743</v>
      </c>
      <c r="B549" s="1" t="str">
        <f aca="false">Transactions!B549</f>
        <v>ACC1032</v>
      </c>
      <c r="C549" s="1" t="str">
        <f aca="false">Transactions!I549</f>
        <v>2026-02-03</v>
      </c>
      <c r="D549" s="1" t="n">
        <f aca="false">Transactions!J549</f>
        <v>7</v>
      </c>
      <c r="E549" s="1" t="n">
        <f aca="false">Transactions!D549</f>
        <v>38</v>
      </c>
      <c r="F549" s="1" t="str">
        <f aca="false">Transactions!H549</f>
        <v>Online</v>
      </c>
      <c r="G549" s="1" t="str">
        <f aca="false">Transactions!G549</f>
        <v>Electronics</v>
      </c>
      <c r="H549" s="1" t="n">
        <f aca="false">IF(COUNTIFS($B$2:$B$1489,B549,$C$2:$C$1489,C549,$D$2:$D$1489,D549)&gt;6,1,0)</f>
        <v>0</v>
      </c>
      <c r="I549" s="1" t="n">
        <f aca="false">IF(AND(F549="Wire",E549&gt;=1000,MOD(E549,1000)=0),1,0)</f>
        <v>0</v>
      </c>
      <c r="J549" s="1" t="n">
        <f aca="false">IF(AND(F549="ATM",E549&gt;2000,D549&lt;=4),1,0)</f>
        <v>0</v>
      </c>
      <c r="K549" s="1" t="n">
        <f aca="false">IF(COUNTIF('SQL Findings'!$A$4:$A$18,B549)&gt;0,1,0)</f>
        <v>0</v>
      </c>
      <c r="L549" s="1" t="n">
        <f aca="false">SUM(H549:K549)</f>
        <v>0</v>
      </c>
      <c r="M549" s="1" t="str">
        <f aca="false">IF(L549&gt;=2,"High",IF(L549=1,"Medium","Low"))</f>
        <v>Low</v>
      </c>
    </row>
    <row r="550" customFormat="false" ht="15" hidden="false" customHeight="true" outlineLevel="0" collapsed="false">
      <c r="A550" s="1" t="str">
        <f aca="false">Transactions!A550</f>
        <v>TXN500462</v>
      </c>
      <c r="B550" s="1" t="str">
        <f aca="false">Transactions!B550</f>
        <v>ACC1020</v>
      </c>
      <c r="C550" s="1" t="str">
        <f aca="false">Transactions!I550</f>
        <v>2026-02-03</v>
      </c>
      <c r="D550" s="1" t="n">
        <f aca="false">Transactions!J550</f>
        <v>10</v>
      </c>
      <c r="E550" s="1" t="n">
        <f aca="false">Transactions!D550</f>
        <v>68.84</v>
      </c>
      <c r="F550" s="1" t="str">
        <f aca="false">Transactions!H550</f>
        <v>Online</v>
      </c>
      <c r="G550" s="1" t="str">
        <f aca="false">Transactions!G550</f>
        <v>Utilities</v>
      </c>
      <c r="H550" s="1" t="n">
        <f aca="false">IF(COUNTIFS($B$2:$B$1489,B550,$C$2:$C$1489,C550,$D$2:$D$1489,D550)&gt;6,1,0)</f>
        <v>0</v>
      </c>
      <c r="I550" s="1" t="n">
        <f aca="false">IF(AND(F550="Wire",E550&gt;=1000,MOD(E550,1000)=0),1,0)</f>
        <v>0</v>
      </c>
      <c r="J550" s="1" t="n">
        <f aca="false">IF(AND(F550="ATM",E550&gt;2000,D550&lt;=4),1,0)</f>
        <v>0</v>
      </c>
      <c r="K550" s="1" t="n">
        <f aca="false">IF(COUNTIF('SQL Findings'!$A$4:$A$18,B550)&gt;0,1,0)</f>
        <v>0</v>
      </c>
      <c r="L550" s="1" t="n">
        <f aca="false">SUM(H550:K550)</f>
        <v>0</v>
      </c>
      <c r="M550" s="1" t="str">
        <f aca="false">IF(L550&gt;=2,"High",IF(L550=1,"Medium","Low"))</f>
        <v>Low</v>
      </c>
    </row>
    <row r="551" customFormat="false" ht="15" hidden="false" customHeight="true" outlineLevel="0" collapsed="false">
      <c r="A551" s="1" t="str">
        <f aca="false">Transactions!A551</f>
        <v>TXN500979</v>
      </c>
      <c r="B551" s="1" t="str">
        <f aca="false">Transactions!B551</f>
        <v>ACC1042</v>
      </c>
      <c r="C551" s="1" t="str">
        <f aca="false">Transactions!I551</f>
        <v>2026-02-03</v>
      </c>
      <c r="D551" s="1" t="n">
        <f aca="false">Transactions!J551</f>
        <v>13</v>
      </c>
      <c r="E551" s="1" t="n">
        <f aca="false">Transactions!D551</f>
        <v>16.03</v>
      </c>
      <c r="F551" s="1" t="str">
        <f aca="false">Transactions!H551</f>
        <v>Online</v>
      </c>
      <c r="G551" s="1" t="str">
        <f aca="false">Transactions!G551</f>
        <v>Travel</v>
      </c>
      <c r="H551" s="1" t="n">
        <f aca="false">IF(COUNTIFS($B$2:$B$1489,B551,$C$2:$C$1489,C551,$D$2:$D$1489,D551)&gt;6,1,0)</f>
        <v>0</v>
      </c>
      <c r="I551" s="1" t="n">
        <f aca="false">IF(AND(F551="Wire",E551&gt;=1000,MOD(E551,1000)=0),1,0)</f>
        <v>0</v>
      </c>
      <c r="J551" s="1" t="n">
        <f aca="false">IF(AND(F551="ATM",E551&gt;2000,D551&lt;=4),1,0)</f>
        <v>0</v>
      </c>
      <c r="K551" s="1" t="n">
        <f aca="false">IF(COUNTIF('SQL Findings'!$A$4:$A$18,B551)&gt;0,1,0)</f>
        <v>1</v>
      </c>
      <c r="L551" s="1" t="n">
        <f aca="false">SUM(H551:K551)</f>
        <v>1</v>
      </c>
      <c r="M551" s="1" t="str">
        <f aca="false">IF(L551&gt;=2,"High",IF(L551=1,"Medium","Low"))</f>
        <v>Medium</v>
      </c>
    </row>
    <row r="552" customFormat="false" ht="15" hidden="false" customHeight="true" outlineLevel="0" collapsed="false">
      <c r="A552" s="1" t="str">
        <f aca="false">Transactions!A552</f>
        <v>TXN500375</v>
      </c>
      <c r="B552" s="1" t="str">
        <f aca="false">Transactions!B552</f>
        <v>ACC1016</v>
      </c>
      <c r="C552" s="1" t="str">
        <f aca="false">Transactions!I552</f>
        <v>2026-02-03</v>
      </c>
      <c r="D552" s="1" t="n">
        <f aca="false">Transactions!J552</f>
        <v>15</v>
      </c>
      <c r="E552" s="1" t="n">
        <f aca="false">Transactions!D552</f>
        <v>463.06</v>
      </c>
      <c r="F552" s="1" t="str">
        <f aca="false">Transactions!H552</f>
        <v>ATM</v>
      </c>
      <c r="G552" s="1" t="str">
        <f aca="false">Transactions!G552</f>
        <v>Utilities</v>
      </c>
      <c r="H552" s="1" t="n">
        <f aca="false">IF(COUNTIFS($B$2:$B$1489,B552,$C$2:$C$1489,C552,$D$2:$D$1489,D552)&gt;6,1,0)</f>
        <v>0</v>
      </c>
      <c r="I552" s="1" t="n">
        <f aca="false">IF(AND(F552="Wire",E552&gt;=1000,MOD(E552,1000)=0),1,0)</f>
        <v>0</v>
      </c>
      <c r="J552" s="1" t="n">
        <f aca="false">IF(AND(F552="ATM",E552&gt;2000,D552&lt;=4),1,0)</f>
        <v>0</v>
      </c>
      <c r="K552" s="1" t="n">
        <f aca="false">IF(COUNTIF('SQL Findings'!$A$4:$A$18,B552)&gt;0,1,0)</f>
        <v>0</v>
      </c>
      <c r="L552" s="1" t="n">
        <f aca="false">SUM(H552:K552)</f>
        <v>0</v>
      </c>
      <c r="M552" s="1" t="str">
        <f aca="false">IF(L552&gt;=2,"High",IF(L552=1,"Medium","Low"))</f>
        <v>Low</v>
      </c>
    </row>
    <row r="553" customFormat="false" ht="15" hidden="false" customHeight="true" outlineLevel="0" collapsed="false">
      <c r="A553" s="1" t="str">
        <f aca="false">Transactions!A553</f>
        <v>TXN500816</v>
      </c>
      <c r="B553" s="1" t="str">
        <f aca="false">Transactions!B553</f>
        <v>ACC1034</v>
      </c>
      <c r="C553" s="1" t="str">
        <f aca="false">Transactions!I553</f>
        <v>2026-02-03</v>
      </c>
      <c r="D553" s="1" t="n">
        <f aca="false">Transactions!J553</f>
        <v>15</v>
      </c>
      <c r="E553" s="1" t="n">
        <f aca="false">Transactions!D553</f>
        <v>17.51</v>
      </c>
      <c r="F553" s="1" t="str">
        <f aca="false">Transactions!H553</f>
        <v>ATM</v>
      </c>
      <c r="G553" s="1" t="str">
        <f aca="false">Transactions!G553</f>
        <v>Travel</v>
      </c>
      <c r="H553" s="1" t="n">
        <f aca="false">IF(COUNTIFS($B$2:$B$1489,B553,$C$2:$C$1489,C553,$D$2:$D$1489,D553)&gt;6,1,0)</f>
        <v>0</v>
      </c>
      <c r="I553" s="1" t="n">
        <f aca="false">IF(AND(F553="Wire",E553&gt;=1000,MOD(E553,1000)=0),1,0)</f>
        <v>0</v>
      </c>
      <c r="J553" s="1" t="n">
        <f aca="false">IF(AND(F553="ATM",E553&gt;2000,D553&lt;=4),1,0)</f>
        <v>0</v>
      </c>
      <c r="K553" s="1" t="n">
        <f aca="false">IF(COUNTIF('SQL Findings'!$A$4:$A$18,B553)&gt;0,1,0)</f>
        <v>0</v>
      </c>
      <c r="L553" s="1" t="n">
        <f aca="false">SUM(H553:K553)</f>
        <v>0</v>
      </c>
      <c r="M553" s="1" t="str">
        <f aca="false">IF(L553&gt;=2,"High",IF(L553=1,"Medium","Low"))</f>
        <v>Low</v>
      </c>
    </row>
    <row r="554" customFormat="false" ht="15" hidden="false" customHeight="true" outlineLevel="0" collapsed="false">
      <c r="A554" s="1" t="str">
        <f aca="false">Transactions!A554</f>
        <v>TXN500102</v>
      </c>
      <c r="B554" s="1" t="str">
        <f aca="false">Transactions!B554</f>
        <v>ACC1004</v>
      </c>
      <c r="C554" s="1" t="str">
        <f aca="false">Transactions!I554</f>
        <v>2026-02-03</v>
      </c>
      <c r="D554" s="1" t="n">
        <f aca="false">Transactions!J554</f>
        <v>16</v>
      </c>
      <c r="E554" s="1" t="n">
        <f aca="false">Transactions!D554</f>
        <v>45.67</v>
      </c>
      <c r="F554" s="1" t="str">
        <f aca="false">Transactions!H554</f>
        <v>ATM</v>
      </c>
      <c r="G554" s="1" t="str">
        <f aca="false">Transactions!G554</f>
        <v>Utilities</v>
      </c>
      <c r="H554" s="1" t="n">
        <f aca="false">IF(COUNTIFS($B$2:$B$1489,B554,$C$2:$C$1489,C554,$D$2:$D$1489,D554)&gt;6,1,0)</f>
        <v>0</v>
      </c>
      <c r="I554" s="1" t="n">
        <f aca="false">IF(AND(F554="Wire",E554&gt;=1000,MOD(E554,1000)=0),1,0)</f>
        <v>0</v>
      </c>
      <c r="J554" s="1" t="n">
        <f aca="false">IF(AND(F554="ATM",E554&gt;2000,D554&lt;=4),1,0)</f>
        <v>0</v>
      </c>
      <c r="K554" s="1" t="n">
        <f aca="false">IF(COUNTIF('SQL Findings'!$A$4:$A$18,B554)&gt;0,1,0)</f>
        <v>1</v>
      </c>
      <c r="L554" s="1" t="n">
        <f aca="false">SUM(H554:K554)</f>
        <v>1</v>
      </c>
      <c r="M554" s="1" t="str">
        <f aca="false">IF(L554&gt;=2,"High",IF(L554=1,"Medium","Low"))</f>
        <v>Medium</v>
      </c>
    </row>
    <row r="555" customFormat="false" ht="15" hidden="false" customHeight="true" outlineLevel="0" collapsed="false">
      <c r="A555" s="1" t="str">
        <f aca="false">Transactions!A555</f>
        <v>TXN500693</v>
      </c>
      <c r="B555" s="1" t="str">
        <f aca="false">Transactions!B555</f>
        <v>ACC1030</v>
      </c>
      <c r="C555" s="1" t="str">
        <f aca="false">Transactions!I555</f>
        <v>2026-02-03</v>
      </c>
      <c r="D555" s="1" t="n">
        <f aca="false">Transactions!J555</f>
        <v>17</v>
      </c>
      <c r="E555" s="1" t="n">
        <f aca="false">Transactions!D555</f>
        <v>25.21</v>
      </c>
      <c r="F555" s="1" t="str">
        <f aca="false">Transactions!H555</f>
        <v>ATM</v>
      </c>
      <c r="G555" s="1" t="str">
        <f aca="false">Transactions!G555</f>
        <v>Wire Transfer</v>
      </c>
      <c r="H555" s="1" t="n">
        <f aca="false">IF(COUNTIFS($B$2:$B$1489,B555,$C$2:$C$1489,C555,$D$2:$D$1489,D555)&gt;6,1,0)</f>
        <v>0</v>
      </c>
      <c r="I555" s="1" t="n">
        <f aca="false">IF(AND(F555="Wire",E555&gt;=1000,MOD(E555,1000)=0),1,0)</f>
        <v>0</v>
      </c>
      <c r="J555" s="1" t="n">
        <f aca="false">IF(AND(F555="ATM",E555&gt;2000,D555&lt;=4),1,0)</f>
        <v>0</v>
      </c>
      <c r="K555" s="1" t="n">
        <f aca="false">IF(COUNTIF('SQL Findings'!$A$4:$A$18,B555)&gt;0,1,0)</f>
        <v>1</v>
      </c>
      <c r="L555" s="1" t="n">
        <f aca="false">SUM(H555:K555)</f>
        <v>1</v>
      </c>
      <c r="M555" s="1" t="str">
        <f aca="false">IF(L555&gt;=2,"High",IF(L555=1,"Medium","Low"))</f>
        <v>Medium</v>
      </c>
    </row>
    <row r="556" customFormat="false" ht="15" hidden="false" customHeight="true" outlineLevel="0" collapsed="false">
      <c r="A556" s="1" t="str">
        <f aca="false">Transactions!A556</f>
        <v>TXN500007</v>
      </c>
      <c r="B556" s="1" t="str">
        <f aca="false">Transactions!B556</f>
        <v>ACC1000</v>
      </c>
      <c r="C556" s="1" t="str">
        <f aca="false">Transactions!I556</f>
        <v>2026-02-04</v>
      </c>
      <c r="D556" s="1" t="n">
        <f aca="false">Transactions!J556</f>
        <v>3</v>
      </c>
      <c r="E556" s="1" t="n">
        <f aca="false">Transactions!D556</f>
        <v>276.25</v>
      </c>
      <c r="F556" s="1" t="str">
        <f aca="false">Transactions!H556</f>
        <v>POS</v>
      </c>
      <c r="G556" s="1" t="str">
        <f aca="false">Transactions!G556</f>
        <v>Cash Withdrawal</v>
      </c>
      <c r="H556" s="1" t="n">
        <f aca="false">IF(COUNTIFS($B$2:$B$1489,B556,$C$2:$C$1489,C556,$D$2:$D$1489,D556)&gt;6,1,0)</f>
        <v>0</v>
      </c>
      <c r="I556" s="1" t="n">
        <f aca="false">IF(AND(F556="Wire",E556&gt;=1000,MOD(E556,1000)=0),1,0)</f>
        <v>0</v>
      </c>
      <c r="J556" s="1" t="n">
        <f aca="false">IF(AND(F556="ATM",E556&gt;2000,D556&lt;=4),1,0)</f>
        <v>0</v>
      </c>
      <c r="K556" s="1" t="n">
        <f aca="false">IF(COUNTIF('SQL Findings'!$A$4:$A$18,B556)&gt;0,1,0)</f>
        <v>1</v>
      </c>
      <c r="L556" s="1" t="n">
        <f aca="false">SUM(H556:K556)</f>
        <v>1</v>
      </c>
      <c r="M556" s="1" t="str">
        <f aca="false">IF(L556&gt;=2,"High",IF(L556=1,"Medium","Low"))</f>
        <v>Medium</v>
      </c>
    </row>
    <row r="557" customFormat="false" ht="15" hidden="false" customHeight="true" outlineLevel="0" collapsed="false">
      <c r="A557" s="1" t="str">
        <f aca="false">Transactions!A557</f>
        <v>TXN500549</v>
      </c>
      <c r="B557" s="1" t="str">
        <f aca="false">Transactions!B557</f>
        <v>ACC1024</v>
      </c>
      <c r="C557" s="1" t="str">
        <f aca="false">Transactions!I557</f>
        <v>2026-02-04</v>
      </c>
      <c r="D557" s="1" t="n">
        <f aca="false">Transactions!J557</f>
        <v>6</v>
      </c>
      <c r="E557" s="1" t="n">
        <f aca="false">Transactions!D557</f>
        <v>93.13</v>
      </c>
      <c r="F557" s="1" t="str">
        <f aca="false">Transactions!H557</f>
        <v>ATM</v>
      </c>
      <c r="G557" s="1" t="str">
        <f aca="false">Transactions!G557</f>
        <v>Travel</v>
      </c>
      <c r="H557" s="1" t="n">
        <f aca="false">IF(COUNTIFS($B$2:$B$1489,B557,$C$2:$C$1489,C557,$D$2:$D$1489,D557)&gt;6,1,0)</f>
        <v>0</v>
      </c>
      <c r="I557" s="1" t="n">
        <f aca="false">IF(AND(F557="Wire",E557&gt;=1000,MOD(E557,1000)=0),1,0)</f>
        <v>0</v>
      </c>
      <c r="J557" s="1" t="n">
        <f aca="false">IF(AND(F557="ATM",E557&gt;2000,D557&lt;=4),1,0)</f>
        <v>0</v>
      </c>
      <c r="K557" s="1" t="n">
        <f aca="false">IF(COUNTIF('SQL Findings'!$A$4:$A$18,B557)&gt;0,1,0)</f>
        <v>1</v>
      </c>
      <c r="L557" s="1" t="n">
        <f aca="false">SUM(H557:K557)</f>
        <v>1</v>
      </c>
      <c r="M557" s="1" t="str">
        <f aca="false">IF(L557&gt;=2,"High",IF(L557=1,"Medium","Low"))</f>
        <v>Medium</v>
      </c>
    </row>
    <row r="558" customFormat="false" ht="15" hidden="false" customHeight="true" outlineLevel="0" collapsed="false">
      <c r="A558" s="1" t="str">
        <f aca="false">Transactions!A558</f>
        <v>TXN500281</v>
      </c>
      <c r="B558" s="1" t="str">
        <f aca="false">Transactions!B558</f>
        <v>ACC1012</v>
      </c>
      <c r="C558" s="1" t="str">
        <f aca="false">Transactions!I558</f>
        <v>2026-02-04</v>
      </c>
      <c r="D558" s="1" t="n">
        <f aca="false">Transactions!J558</f>
        <v>7</v>
      </c>
      <c r="E558" s="1" t="n">
        <f aca="false">Transactions!D558</f>
        <v>73.86</v>
      </c>
      <c r="F558" s="1" t="str">
        <f aca="false">Transactions!H558</f>
        <v>Online</v>
      </c>
      <c r="G558" s="1" t="str">
        <f aca="false">Transactions!G558</f>
        <v>Electronics</v>
      </c>
      <c r="H558" s="1" t="n">
        <f aca="false">IF(COUNTIFS($B$2:$B$1489,B558,$C$2:$C$1489,C558,$D$2:$D$1489,D558)&gt;6,1,0)</f>
        <v>0</v>
      </c>
      <c r="I558" s="1" t="n">
        <f aca="false">IF(AND(F558="Wire",E558&gt;=1000,MOD(E558,1000)=0),1,0)</f>
        <v>0</v>
      </c>
      <c r="J558" s="1" t="n">
        <f aca="false">IF(AND(F558="ATM",E558&gt;2000,D558&lt;=4),1,0)</f>
        <v>0</v>
      </c>
      <c r="K558" s="1" t="n">
        <f aca="false">IF(COUNTIF('SQL Findings'!$A$4:$A$18,B558)&gt;0,1,0)</f>
        <v>0</v>
      </c>
      <c r="L558" s="1" t="n">
        <f aca="false">SUM(H558:K558)</f>
        <v>0</v>
      </c>
      <c r="M558" s="1" t="str">
        <f aca="false">IF(L558&gt;=2,"High",IF(L558=1,"Medium","Low"))</f>
        <v>Low</v>
      </c>
    </row>
    <row r="559" customFormat="false" ht="15" hidden="false" customHeight="true" outlineLevel="0" collapsed="false">
      <c r="A559" s="1" t="str">
        <f aca="false">Transactions!A559</f>
        <v>TXN500627</v>
      </c>
      <c r="B559" s="1" t="str">
        <f aca="false">Transactions!B559</f>
        <v>ACC1027</v>
      </c>
      <c r="C559" s="1" t="str">
        <f aca="false">Transactions!I559</f>
        <v>2026-02-04</v>
      </c>
      <c r="D559" s="1" t="n">
        <f aca="false">Transactions!J559</f>
        <v>9</v>
      </c>
      <c r="E559" s="1" t="n">
        <f aca="false">Transactions!D559</f>
        <v>27.37</v>
      </c>
      <c r="F559" s="1" t="str">
        <f aca="false">Transactions!H559</f>
        <v>ATM</v>
      </c>
      <c r="G559" s="1" t="str">
        <f aca="false">Transactions!G559</f>
        <v>Cash Withdrawal</v>
      </c>
      <c r="H559" s="1" t="n">
        <f aca="false">IF(COUNTIFS($B$2:$B$1489,B559,$C$2:$C$1489,C559,$D$2:$D$1489,D559)&gt;6,1,0)</f>
        <v>0</v>
      </c>
      <c r="I559" s="1" t="n">
        <f aca="false">IF(AND(F559="Wire",E559&gt;=1000,MOD(E559,1000)=0),1,0)</f>
        <v>0</v>
      </c>
      <c r="J559" s="1" t="n">
        <f aca="false">IF(AND(F559="ATM",E559&gt;2000,D559&lt;=4),1,0)</f>
        <v>0</v>
      </c>
      <c r="K559" s="1" t="n">
        <f aca="false">IF(COUNTIF('SQL Findings'!$A$4:$A$18,B559)&gt;0,1,0)</f>
        <v>0</v>
      </c>
      <c r="L559" s="1" t="n">
        <f aca="false">SUM(H559:K559)</f>
        <v>0</v>
      </c>
      <c r="M559" s="1" t="str">
        <f aca="false">IF(L559&gt;=2,"High",IF(L559=1,"Medium","Low"))</f>
        <v>Low</v>
      </c>
    </row>
    <row r="560" customFormat="false" ht="15" hidden="false" customHeight="true" outlineLevel="0" collapsed="false">
      <c r="A560" s="1" t="str">
        <f aca="false">Transactions!A560</f>
        <v>TXN500505</v>
      </c>
      <c r="B560" s="1" t="str">
        <f aca="false">Transactions!B560</f>
        <v>ACC1022</v>
      </c>
      <c r="C560" s="1" t="str">
        <f aca="false">Transactions!I560</f>
        <v>2026-02-04</v>
      </c>
      <c r="D560" s="1" t="n">
        <f aca="false">Transactions!J560</f>
        <v>10</v>
      </c>
      <c r="E560" s="1" t="n">
        <f aca="false">Transactions!D560</f>
        <v>37.13</v>
      </c>
      <c r="F560" s="1" t="str">
        <f aca="false">Transactions!H560</f>
        <v>POS</v>
      </c>
      <c r="G560" s="1" t="str">
        <f aca="false">Transactions!G560</f>
        <v>Retail</v>
      </c>
      <c r="H560" s="1" t="n">
        <f aca="false">IF(COUNTIFS($B$2:$B$1489,B560,$C$2:$C$1489,C560,$D$2:$D$1489,D560)&gt;6,1,0)</f>
        <v>0</v>
      </c>
      <c r="I560" s="1" t="n">
        <f aca="false">IF(AND(F560="Wire",E560&gt;=1000,MOD(E560,1000)=0),1,0)</f>
        <v>0</v>
      </c>
      <c r="J560" s="1" t="n">
        <f aca="false">IF(AND(F560="ATM",E560&gt;2000,D560&lt;=4),1,0)</f>
        <v>0</v>
      </c>
      <c r="K560" s="1" t="n">
        <f aca="false">IF(COUNTIF('SQL Findings'!$A$4:$A$18,B560)&gt;0,1,0)</f>
        <v>0</v>
      </c>
      <c r="L560" s="1" t="n">
        <f aca="false">SUM(H560:K560)</f>
        <v>0</v>
      </c>
      <c r="M560" s="1" t="str">
        <f aca="false">IF(L560&gt;=2,"High",IF(L560=1,"Medium","Low"))</f>
        <v>Low</v>
      </c>
    </row>
    <row r="561" customFormat="false" ht="15" hidden="false" customHeight="true" outlineLevel="0" collapsed="false">
      <c r="A561" s="1" t="str">
        <f aca="false">Transactions!A561</f>
        <v>TXN500333</v>
      </c>
      <c r="B561" s="1" t="str">
        <f aca="false">Transactions!B561</f>
        <v>ACC1014</v>
      </c>
      <c r="C561" s="1" t="str">
        <f aca="false">Transactions!I561</f>
        <v>2026-02-04</v>
      </c>
      <c r="D561" s="1" t="n">
        <f aca="false">Transactions!J561</f>
        <v>11</v>
      </c>
      <c r="E561" s="1" t="n">
        <f aca="false">Transactions!D561</f>
        <v>71.39</v>
      </c>
      <c r="F561" s="1" t="str">
        <f aca="false">Transactions!H561</f>
        <v>Online</v>
      </c>
      <c r="G561" s="1" t="str">
        <f aca="false">Transactions!G561</f>
        <v>Travel</v>
      </c>
      <c r="H561" s="1" t="n">
        <f aca="false">IF(COUNTIFS($B$2:$B$1489,B561,$C$2:$C$1489,C561,$D$2:$D$1489,D561)&gt;6,1,0)</f>
        <v>0</v>
      </c>
      <c r="I561" s="1" t="n">
        <f aca="false">IF(AND(F561="Wire",E561&gt;=1000,MOD(E561,1000)=0),1,0)</f>
        <v>0</v>
      </c>
      <c r="J561" s="1" t="n">
        <f aca="false">IF(AND(F561="ATM",E561&gt;2000,D561&lt;=4),1,0)</f>
        <v>0</v>
      </c>
      <c r="K561" s="1" t="n">
        <f aca="false">IF(COUNTIF('SQL Findings'!$A$4:$A$18,B561)&gt;0,1,0)</f>
        <v>1</v>
      </c>
      <c r="L561" s="1" t="n">
        <f aca="false">SUM(H561:K561)</f>
        <v>1</v>
      </c>
      <c r="M561" s="1" t="str">
        <f aca="false">IF(L561&gt;=2,"High",IF(L561=1,"Medium","Low"))</f>
        <v>Medium</v>
      </c>
    </row>
    <row r="562" customFormat="false" ht="15" hidden="false" customHeight="true" outlineLevel="0" collapsed="false">
      <c r="A562" s="1" t="str">
        <f aca="false">Transactions!A562</f>
        <v>TXN500669</v>
      </c>
      <c r="B562" s="1" t="str">
        <f aca="false">Transactions!B562</f>
        <v>ACC1029</v>
      </c>
      <c r="C562" s="1" t="str">
        <f aca="false">Transactions!I562</f>
        <v>2026-02-04</v>
      </c>
      <c r="D562" s="1" t="n">
        <f aca="false">Transactions!J562</f>
        <v>12</v>
      </c>
      <c r="E562" s="1" t="n">
        <f aca="false">Transactions!D562</f>
        <v>6.14</v>
      </c>
      <c r="F562" s="1" t="str">
        <f aca="false">Transactions!H562</f>
        <v>Online</v>
      </c>
      <c r="G562" s="1" t="str">
        <f aca="false">Transactions!G562</f>
        <v>Electronics</v>
      </c>
      <c r="H562" s="1" t="n">
        <f aca="false">IF(COUNTIFS($B$2:$B$1489,B562,$C$2:$C$1489,C562,$D$2:$D$1489,D562)&gt;6,1,0)</f>
        <v>0</v>
      </c>
      <c r="I562" s="1" t="n">
        <f aca="false">IF(AND(F562="Wire",E562&gt;=1000,MOD(E562,1000)=0),1,0)</f>
        <v>0</v>
      </c>
      <c r="J562" s="1" t="n">
        <f aca="false">IF(AND(F562="ATM",E562&gt;2000,D562&lt;=4),1,0)</f>
        <v>0</v>
      </c>
      <c r="K562" s="1" t="n">
        <f aca="false">IF(COUNTIF('SQL Findings'!$A$4:$A$18,B562)&gt;0,1,0)</f>
        <v>0</v>
      </c>
      <c r="L562" s="1" t="n">
        <f aca="false">SUM(H562:K562)</f>
        <v>0</v>
      </c>
      <c r="M562" s="1" t="str">
        <f aca="false">IF(L562&gt;=2,"High",IF(L562=1,"Medium","Low"))</f>
        <v>Low</v>
      </c>
    </row>
    <row r="563" customFormat="false" ht="15" hidden="false" customHeight="true" outlineLevel="0" collapsed="false">
      <c r="A563" s="1" t="str">
        <f aca="false">Transactions!A563</f>
        <v>TXN500171</v>
      </c>
      <c r="B563" s="1" t="str">
        <f aca="false">Transactions!B563</f>
        <v>ACC1007</v>
      </c>
      <c r="C563" s="1" t="str">
        <f aca="false">Transactions!I563</f>
        <v>2026-02-04</v>
      </c>
      <c r="D563" s="1" t="n">
        <f aca="false">Transactions!J563</f>
        <v>13</v>
      </c>
      <c r="E563" s="1" t="n">
        <f aca="false">Transactions!D563</f>
        <v>29.95</v>
      </c>
      <c r="F563" s="1" t="str">
        <f aca="false">Transactions!H563</f>
        <v>Online</v>
      </c>
      <c r="G563" s="1" t="str">
        <f aca="false">Transactions!G563</f>
        <v>Travel</v>
      </c>
      <c r="H563" s="1" t="n">
        <f aca="false">IF(COUNTIFS($B$2:$B$1489,B563,$C$2:$C$1489,C563,$D$2:$D$1489,D563)&gt;6,1,0)</f>
        <v>0</v>
      </c>
      <c r="I563" s="1" t="n">
        <f aca="false">IF(AND(F563="Wire",E563&gt;=1000,MOD(E563,1000)=0),1,0)</f>
        <v>0</v>
      </c>
      <c r="J563" s="1" t="n">
        <f aca="false">IF(AND(F563="ATM",E563&gt;2000,D563&lt;=4),1,0)</f>
        <v>0</v>
      </c>
      <c r="K563" s="1" t="n">
        <f aca="false">IF(COUNTIF('SQL Findings'!$A$4:$A$18,B563)&gt;0,1,0)</f>
        <v>0</v>
      </c>
      <c r="L563" s="1" t="n">
        <f aca="false">SUM(H563:K563)</f>
        <v>0</v>
      </c>
      <c r="M563" s="1" t="str">
        <f aca="false">IF(L563&gt;=2,"High",IF(L563=1,"Medium","Low"))</f>
        <v>Low</v>
      </c>
    </row>
    <row r="564" customFormat="false" ht="15" hidden="false" customHeight="true" outlineLevel="0" collapsed="false">
      <c r="A564" s="1" t="str">
        <f aca="false">Transactions!A564</f>
        <v>TXN500786</v>
      </c>
      <c r="B564" s="1" t="str">
        <f aca="false">Transactions!B564</f>
        <v>ACC1033</v>
      </c>
      <c r="C564" s="1" t="str">
        <f aca="false">Transactions!I564</f>
        <v>2026-02-04</v>
      </c>
      <c r="D564" s="1" t="n">
        <f aca="false">Transactions!J564</f>
        <v>15</v>
      </c>
      <c r="E564" s="1" t="n">
        <f aca="false">Transactions!D564</f>
        <v>176.39</v>
      </c>
      <c r="F564" s="1" t="str">
        <f aca="false">Transactions!H564</f>
        <v>POS</v>
      </c>
      <c r="G564" s="1" t="str">
        <f aca="false">Transactions!G564</f>
        <v>Electronics</v>
      </c>
      <c r="H564" s="1" t="n">
        <f aca="false">IF(COUNTIFS($B$2:$B$1489,B564,$C$2:$C$1489,C564,$D$2:$D$1489,D564)&gt;6,1,0)</f>
        <v>0</v>
      </c>
      <c r="I564" s="1" t="n">
        <f aca="false">IF(AND(F564="Wire",E564&gt;=1000,MOD(E564,1000)=0),1,0)</f>
        <v>0</v>
      </c>
      <c r="J564" s="1" t="n">
        <f aca="false">IF(AND(F564="ATM",E564&gt;2000,D564&lt;=4),1,0)</f>
        <v>0</v>
      </c>
      <c r="K564" s="1" t="n">
        <f aca="false">IF(COUNTIF('SQL Findings'!$A$4:$A$18,B564)&gt;0,1,0)</f>
        <v>0</v>
      </c>
      <c r="L564" s="1" t="n">
        <f aca="false">SUM(H564:K564)</f>
        <v>0</v>
      </c>
      <c r="M564" s="1" t="str">
        <f aca="false">IF(L564&gt;=2,"High",IF(L564=1,"Medium","Low"))</f>
        <v>Low</v>
      </c>
    </row>
    <row r="565" customFormat="false" ht="15" hidden="false" customHeight="true" outlineLevel="0" collapsed="false">
      <c r="A565" s="1" t="str">
        <f aca="false">Transactions!A565</f>
        <v>TXN501060</v>
      </c>
      <c r="B565" s="1" t="str">
        <f aca="false">Transactions!B565</f>
        <v>ACC1046</v>
      </c>
      <c r="C565" s="1" t="str">
        <f aca="false">Transactions!I565</f>
        <v>2026-02-04</v>
      </c>
      <c r="D565" s="1" t="n">
        <f aca="false">Transactions!J565</f>
        <v>16</v>
      </c>
      <c r="E565" s="1" t="n">
        <f aca="false">Transactions!D565</f>
        <v>47.77</v>
      </c>
      <c r="F565" s="1" t="str">
        <f aca="false">Transactions!H565</f>
        <v>Online</v>
      </c>
      <c r="G565" s="1" t="str">
        <f aca="false">Transactions!G565</f>
        <v>Wire Transfer</v>
      </c>
      <c r="H565" s="1" t="n">
        <f aca="false">IF(COUNTIFS($B$2:$B$1489,B565,$C$2:$C$1489,C565,$D$2:$D$1489,D565)&gt;6,1,0)</f>
        <v>0</v>
      </c>
      <c r="I565" s="1" t="n">
        <f aca="false">IF(AND(F565="Wire",E565&gt;=1000,MOD(E565,1000)=0),1,0)</f>
        <v>0</v>
      </c>
      <c r="J565" s="1" t="n">
        <f aca="false">IF(AND(F565="ATM",E565&gt;2000,D565&lt;=4),1,0)</f>
        <v>0</v>
      </c>
      <c r="K565" s="1" t="n">
        <f aca="false">IF(COUNTIF('SQL Findings'!$A$4:$A$18,B565)&gt;0,1,0)</f>
        <v>0</v>
      </c>
      <c r="L565" s="1" t="n">
        <f aca="false">SUM(H565:K565)</f>
        <v>0</v>
      </c>
      <c r="M565" s="1" t="str">
        <f aca="false">IF(L565&gt;=2,"High",IF(L565=1,"Medium","Low"))</f>
        <v>Low</v>
      </c>
    </row>
    <row r="566" customFormat="false" ht="15" hidden="false" customHeight="true" outlineLevel="0" collapsed="false">
      <c r="A566" s="1" t="str">
        <f aca="false">Transactions!A566</f>
        <v>TXN500861</v>
      </c>
      <c r="B566" s="1" t="str">
        <f aca="false">Transactions!B566</f>
        <v>ACC1037</v>
      </c>
      <c r="C566" s="1" t="str">
        <f aca="false">Transactions!I566</f>
        <v>2026-02-04</v>
      </c>
      <c r="D566" s="1" t="n">
        <f aca="false">Transactions!J566</f>
        <v>17</v>
      </c>
      <c r="E566" s="1" t="n">
        <f aca="false">Transactions!D566</f>
        <v>80.05</v>
      </c>
      <c r="F566" s="1" t="str">
        <f aca="false">Transactions!H566</f>
        <v>Online</v>
      </c>
      <c r="G566" s="1" t="str">
        <f aca="false">Transactions!G566</f>
        <v>Online Marketplace</v>
      </c>
      <c r="H566" s="1" t="n">
        <f aca="false">IF(COUNTIFS($B$2:$B$1489,B566,$C$2:$C$1489,C566,$D$2:$D$1489,D566)&gt;6,1,0)</f>
        <v>0</v>
      </c>
      <c r="I566" s="1" t="n">
        <f aca="false">IF(AND(F566="Wire",E566&gt;=1000,MOD(E566,1000)=0),1,0)</f>
        <v>0</v>
      </c>
      <c r="J566" s="1" t="n">
        <f aca="false">IF(AND(F566="ATM",E566&gt;2000,D566&lt;=4),1,0)</f>
        <v>0</v>
      </c>
      <c r="K566" s="1" t="n">
        <f aca="false">IF(COUNTIF('SQL Findings'!$A$4:$A$18,B566)&gt;0,1,0)</f>
        <v>1</v>
      </c>
      <c r="L566" s="1" t="n">
        <f aca="false">SUM(H566:K566)</f>
        <v>1</v>
      </c>
      <c r="M566" s="1" t="str">
        <f aca="false">IF(L566&gt;=2,"High",IF(L566=1,"Medium","Low"))</f>
        <v>Medium</v>
      </c>
    </row>
    <row r="567" customFormat="false" ht="15" hidden="false" customHeight="true" outlineLevel="0" collapsed="false">
      <c r="A567" s="1" t="str">
        <f aca="false">Transactions!A567</f>
        <v>TXN500715</v>
      </c>
      <c r="B567" s="1" t="str">
        <f aca="false">Transactions!B567</f>
        <v>ACC1030</v>
      </c>
      <c r="C567" s="1" t="str">
        <f aca="false">Transactions!I567</f>
        <v>2026-02-05</v>
      </c>
      <c r="D567" s="1" t="n">
        <f aca="false">Transactions!J567</f>
        <v>10</v>
      </c>
      <c r="E567" s="1" t="n">
        <f aca="false">Transactions!D567</f>
        <v>64.47</v>
      </c>
      <c r="F567" s="1" t="str">
        <f aca="false">Transactions!H567</f>
        <v>ATM</v>
      </c>
      <c r="G567" s="1" t="str">
        <f aca="false">Transactions!G567</f>
        <v>Dining</v>
      </c>
      <c r="H567" s="1" t="n">
        <f aca="false">IF(COUNTIFS($B$2:$B$1489,B567,$C$2:$C$1489,C567,$D$2:$D$1489,D567)&gt;6,1,0)</f>
        <v>0</v>
      </c>
      <c r="I567" s="1" t="n">
        <f aca="false">IF(AND(F567="Wire",E567&gt;=1000,MOD(E567,1000)=0),1,0)</f>
        <v>0</v>
      </c>
      <c r="J567" s="1" t="n">
        <f aca="false">IF(AND(F567="ATM",E567&gt;2000,D567&lt;=4),1,0)</f>
        <v>0</v>
      </c>
      <c r="K567" s="1" t="n">
        <f aca="false">IF(COUNTIF('SQL Findings'!$A$4:$A$18,B567)&gt;0,1,0)</f>
        <v>1</v>
      </c>
      <c r="L567" s="1" t="n">
        <f aca="false">SUM(H567:K567)</f>
        <v>1</v>
      </c>
      <c r="M567" s="1" t="str">
        <f aca="false">IF(L567&gt;=2,"High",IF(L567=1,"Medium","Low"))</f>
        <v>Medium</v>
      </c>
    </row>
    <row r="568" customFormat="false" ht="15" hidden="false" customHeight="true" outlineLevel="0" collapsed="false">
      <c r="A568" s="1" t="str">
        <f aca="false">Transactions!A568</f>
        <v>TXN500780</v>
      </c>
      <c r="B568" s="1" t="str">
        <f aca="false">Transactions!B568</f>
        <v>ACC1033</v>
      </c>
      <c r="C568" s="1" t="str">
        <f aca="false">Transactions!I568</f>
        <v>2026-02-05</v>
      </c>
      <c r="D568" s="1" t="n">
        <f aca="false">Transactions!J568</f>
        <v>10</v>
      </c>
      <c r="E568" s="1" t="n">
        <f aca="false">Transactions!D568</f>
        <v>116.58</v>
      </c>
      <c r="F568" s="1" t="str">
        <f aca="false">Transactions!H568</f>
        <v>POS</v>
      </c>
      <c r="G568" s="1" t="str">
        <f aca="false">Transactions!G568</f>
        <v>Wire Transfer</v>
      </c>
      <c r="H568" s="1" t="n">
        <f aca="false">IF(COUNTIFS($B$2:$B$1489,B568,$C$2:$C$1489,C568,$D$2:$D$1489,D568)&gt;6,1,0)</f>
        <v>0</v>
      </c>
      <c r="I568" s="1" t="n">
        <f aca="false">IF(AND(F568="Wire",E568&gt;=1000,MOD(E568,1000)=0),1,0)</f>
        <v>0</v>
      </c>
      <c r="J568" s="1" t="n">
        <f aca="false">IF(AND(F568="ATM",E568&gt;2000,D568&lt;=4),1,0)</f>
        <v>0</v>
      </c>
      <c r="K568" s="1" t="n">
        <f aca="false">IF(COUNTIF('SQL Findings'!$A$4:$A$18,B568)&gt;0,1,0)</f>
        <v>0</v>
      </c>
      <c r="L568" s="1" t="n">
        <f aca="false">SUM(H568:K568)</f>
        <v>0</v>
      </c>
      <c r="M568" s="1" t="str">
        <f aca="false">IF(L568&gt;=2,"High",IF(L568=1,"Medium","Low"))</f>
        <v>Low</v>
      </c>
    </row>
    <row r="569" customFormat="false" ht="15" hidden="false" customHeight="true" outlineLevel="0" collapsed="false">
      <c r="A569" s="1" t="str">
        <f aca="false">Transactions!A569</f>
        <v>TXN501482</v>
      </c>
      <c r="B569" s="1" t="str">
        <f aca="false">Transactions!B569</f>
        <v>ACC1030</v>
      </c>
      <c r="C569" s="1" t="str">
        <f aca="false">Transactions!I569</f>
        <v>2026-02-05</v>
      </c>
      <c r="D569" s="1" t="n">
        <f aca="false">Transactions!J569</f>
        <v>11</v>
      </c>
      <c r="E569" s="1" t="n">
        <f aca="false">Transactions!D569</f>
        <v>144.44</v>
      </c>
      <c r="F569" s="1" t="str">
        <f aca="false">Transactions!H569</f>
        <v>POS</v>
      </c>
      <c r="G569" s="1" t="str">
        <f aca="false">Transactions!G569</f>
        <v>Dining</v>
      </c>
      <c r="H569" s="1" t="n">
        <f aca="false">IF(COUNTIFS($B$2:$B$1489,B569,$C$2:$C$1489,C569,$D$2:$D$1489,D569)&gt;6,1,0)</f>
        <v>0</v>
      </c>
      <c r="I569" s="1" t="n">
        <f aca="false">IF(AND(F569="Wire",E569&gt;=1000,MOD(E569,1000)=0),1,0)</f>
        <v>0</v>
      </c>
      <c r="J569" s="1" t="n">
        <f aca="false">IF(AND(F569="ATM",E569&gt;2000,D569&lt;=4),1,0)</f>
        <v>0</v>
      </c>
      <c r="K569" s="1" t="n">
        <f aca="false">IF(COUNTIF('SQL Findings'!$A$4:$A$18,B569)&gt;0,1,0)</f>
        <v>1</v>
      </c>
      <c r="L569" s="1" t="n">
        <f aca="false">SUM(H569:K569)</f>
        <v>1</v>
      </c>
      <c r="M569" s="1" t="str">
        <f aca="false">IF(L569&gt;=2,"High",IF(L569=1,"Medium","Low"))</f>
        <v>Medium</v>
      </c>
    </row>
    <row r="570" customFormat="false" ht="15" hidden="false" customHeight="true" outlineLevel="0" collapsed="false">
      <c r="A570" s="1" t="str">
        <f aca="false">Transactions!A570</f>
        <v>TXN501483</v>
      </c>
      <c r="B570" s="1" t="str">
        <f aca="false">Transactions!B570</f>
        <v>ACC1030</v>
      </c>
      <c r="C570" s="1" t="str">
        <f aca="false">Transactions!I570</f>
        <v>2026-02-05</v>
      </c>
      <c r="D570" s="1" t="n">
        <f aca="false">Transactions!J570</f>
        <v>11</v>
      </c>
      <c r="E570" s="1" t="n">
        <f aca="false">Transactions!D570</f>
        <v>144.44</v>
      </c>
      <c r="F570" s="1" t="str">
        <f aca="false">Transactions!H570</f>
        <v>POS</v>
      </c>
      <c r="G570" s="1" t="str">
        <f aca="false">Transactions!G570</f>
        <v>Dining</v>
      </c>
      <c r="H570" s="1" t="n">
        <f aca="false">IF(COUNTIFS($B$2:$B$1489,B570,$C$2:$C$1489,C570,$D$2:$D$1489,D570)&gt;6,1,0)</f>
        <v>0</v>
      </c>
      <c r="I570" s="1" t="n">
        <f aca="false">IF(AND(F570="Wire",E570&gt;=1000,MOD(E570,1000)=0),1,0)</f>
        <v>0</v>
      </c>
      <c r="J570" s="1" t="n">
        <f aca="false">IF(AND(F570="ATM",E570&gt;2000,D570&lt;=4),1,0)</f>
        <v>0</v>
      </c>
      <c r="K570" s="1" t="n">
        <f aca="false">IF(COUNTIF('SQL Findings'!$A$4:$A$18,B570)&gt;0,1,0)</f>
        <v>1</v>
      </c>
      <c r="L570" s="1" t="n">
        <f aca="false">SUM(H570:K570)</f>
        <v>1</v>
      </c>
      <c r="M570" s="1" t="str">
        <f aca="false">IF(L570&gt;=2,"High",IF(L570=1,"Medium","Low"))</f>
        <v>Medium</v>
      </c>
    </row>
    <row r="571" customFormat="false" ht="15" hidden="false" customHeight="true" outlineLevel="0" collapsed="false">
      <c r="A571" s="1" t="str">
        <f aca="false">Transactions!A571</f>
        <v>TXN501197</v>
      </c>
      <c r="B571" s="1" t="str">
        <f aca="false">Transactions!B571</f>
        <v>ACC1052</v>
      </c>
      <c r="C571" s="1" t="str">
        <f aca="false">Transactions!I571</f>
        <v>2026-02-05</v>
      </c>
      <c r="D571" s="1" t="n">
        <f aca="false">Transactions!J571</f>
        <v>16</v>
      </c>
      <c r="E571" s="1" t="n">
        <f aca="false">Transactions!D571</f>
        <v>65.52</v>
      </c>
      <c r="F571" s="1" t="str">
        <f aca="false">Transactions!H571</f>
        <v>Online</v>
      </c>
      <c r="G571" s="1" t="str">
        <f aca="false">Transactions!G571</f>
        <v>Utilities</v>
      </c>
      <c r="H571" s="1" t="n">
        <f aca="false">IF(COUNTIFS($B$2:$B$1489,B571,$C$2:$C$1489,C571,$D$2:$D$1489,D571)&gt;6,1,0)</f>
        <v>0</v>
      </c>
      <c r="I571" s="1" t="n">
        <f aca="false">IF(AND(F571="Wire",E571&gt;=1000,MOD(E571,1000)=0),1,0)</f>
        <v>0</v>
      </c>
      <c r="J571" s="1" t="n">
        <f aca="false">IF(AND(F571="ATM",E571&gt;2000,D571&lt;=4),1,0)</f>
        <v>0</v>
      </c>
      <c r="K571" s="1" t="n">
        <f aca="false">IF(COUNTIF('SQL Findings'!$A$4:$A$18,B571)&gt;0,1,0)</f>
        <v>0</v>
      </c>
      <c r="L571" s="1" t="n">
        <f aca="false">SUM(H571:K571)</f>
        <v>0</v>
      </c>
      <c r="M571" s="1" t="str">
        <f aca="false">IF(L571&gt;=2,"High",IF(L571=1,"Medium","Low"))</f>
        <v>Low</v>
      </c>
    </row>
    <row r="572" customFormat="false" ht="15" hidden="false" customHeight="true" outlineLevel="0" collapsed="false">
      <c r="A572" s="1" t="str">
        <f aca="false">Transactions!A572</f>
        <v>TXN500592</v>
      </c>
      <c r="B572" s="1" t="str">
        <f aca="false">Transactions!B572</f>
        <v>ACC1026</v>
      </c>
      <c r="C572" s="1" t="str">
        <f aca="false">Transactions!I572</f>
        <v>2026-02-05</v>
      </c>
      <c r="D572" s="1" t="n">
        <f aca="false">Transactions!J572</f>
        <v>16</v>
      </c>
      <c r="E572" s="1" t="n">
        <f aca="false">Transactions!D572</f>
        <v>43.38</v>
      </c>
      <c r="F572" s="1" t="str">
        <f aca="false">Transactions!H572</f>
        <v>ATM</v>
      </c>
      <c r="G572" s="1" t="str">
        <f aca="false">Transactions!G572</f>
        <v>Electronics</v>
      </c>
      <c r="H572" s="1" t="n">
        <f aca="false">IF(COUNTIFS($B$2:$B$1489,B572,$C$2:$C$1489,C572,$D$2:$D$1489,D572)&gt;6,1,0)</f>
        <v>0</v>
      </c>
      <c r="I572" s="1" t="n">
        <f aca="false">IF(AND(F572="Wire",E572&gt;=1000,MOD(E572,1000)=0),1,0)</f>
        <v>0</v>
      </c>
      <c r="J572" s="1" t="n">
        <f aca="false">IF(AND(F572="ATM",E572&gt;2000,D572&lt;=4),1,0)</f>
        <v>0</v>
      </c>
      <c r="K572" s="1" t="n">
        <f aca="false">IF(COUNTIF('SQL Findings'!$A$4:$A$18,B572)&gt;0,1,0)</f>
        <v>0</v>
      </c>
      <c r="L572" s="1" t="n">
        <f aca="false">SUM(H572:K572)</f>
        <v>0</v>
      </c>
      <c r="M572" s="1" t="str">
        <f aca="false">IF(L572&gt;=2,"High",IF(L572=1,"Medium","Low"))</f>
        <v>Low</v>
      </c>
    </row>
    <row r="573" customFormat="false" ht="15" hidden="false" customHeight="true" outlineLevel="0" collapsed="false">
      <c r="A573" s="1" t="str">
        <f aca="false">Transactions!A573</f>
        <v>TXN500189</v>
      </c>
      <c r="B573" s="1" t="str">
        <f aca="false">Transactions!B573</f>
        <v>ACC1008</v>
      </c>
      <c r="C573" s="1" t="str">
        <f aca="false">Transactions!I573</f>
        <v>2026-02-05</v>
      </c>
      <c r="D573" s="1" t="n">
        <f aca="false">Transactions!J573</f>
        <v>16</v>
      </c>
      <c r="E573" s="1" t="n">
        <f aca="false">Transactions!D573</f>
        <v>31.12</v>
      </c>
      <c r="F573" s="1" t="str">
        <f aca="false">Transactions!H573</f>
        <v>Online</v>
      </c>
      <c r="G573" s="1" t="str">
        <f aca="false">Transactions!G573</f>
        <v>Wire Transfer</v>
      </c>
      <c r="H573" s="1" t="n">
        <f aca="false">IF(COUNTIFS($B$2:$B$1489,B573,$C$2:$C$1489,C573,$D$2:$D$1489,D573)&gt;6,1,0)</f>
        <v>0</v>
      </c>
      <c r="I573" s="1" t="n">
        <f aca="false">IF(AND(F573="Wire",E573&gt;=1000,MOD(E573,1000)=0),1,0)</f>
        <v>0</v>
      </c>
      <c r="J573" s="1" t="n">
        <f aca="false">IF(AND(F573="ATM",E573&gt;2000,D573&lt;=4),1,0)</f>
        <v>0</v>
      </c>
      <c r="K573" s="1" t="n">
        <f aca="false">IF(COUNTIF('SQL Findings'!$A$4:$A$18,B573)&gt;0,1,0)</f>
        <v>0</v>
      </c>
      <c r="L573" s="1" t="n">
        <f aca="false">SUM(H573:K573)</f>
        <v>0</v>
      </c>
      <c r="M573" s="1" t="str">
        <f aca="false">IF(L573&gt;=2,"High",IF(L573=1,"Medium","Low"))</f>
        <v>Low</v>
      </c>
    </row>
    <row r="574" customFormat="false" ht="15" hidden="false" customHeight="true" outlineLevel="0" collapsed="false">
      <c r="A574" s="1" t="str">
        <f aca="false">Transactions!A574</f>
        <v>TXN500416</v>
      </c>
      <c r="B574" s="1" t="str">
        <f aca="false">Transactions!B574</f>
        <v>ACC1018</v>
      </c>
      <c r="C574" s="1" t="str">
        <f aca="false">Transactions!I574</f>
        <v>2026-02-05</v>
      </c>
      <c r="D574" s="1" t="n">
        <f aca="false">Transactions!J574</f>
        <v>17</v>
      </c>
      <c r="E574" s="1" t="n">
        <f aca="false">Transactions!D574</f>
        <v>34</v>
      </c>
      <c r="F574" s="1" t="str">
        <f aca="false">Transactions!H574</f>
        <v>POS</v>
      </c>
      <c r="G574" s="1" t="str">
        <f aca="false">Transactions!G574</f>
        <v>Electronics</v>
      </c>
      <c r="H574" s="1" t="n">
        <f aca="false">IF(COUNTIFS($B$2:$B$1489,B574,$C$2:$C$1489,C574,$D$2:$D$1489,D574)&gt;6,1,0)</f>
        <v>0</v>
      </c>
      <c r="I574" s="1" t="n">
        <f aca="false">IF(AND(F574="Wire",E574&gt;=1000,MOD(E574,1000)=0),1,0)</f>
        <v>0</v>
      </c>
      <c r="J574" s="1" t="n">
        <f aca="false">IF(AND(F574="ATM",E574&gt;2000,D574&lt;=4),1,0)</f>
        <v>0</v>
      </c>
      <c r="K574" s="1" t="n">
        <f aca="false">IF(COUNTIF('SQL Findings'!$A$4:$A$18,B574)&gt;0,1,0)</f>
        <v>0</v>
      </c>
      <c r="L574" s="1" t="n">
        <f aca="false">SUM(H574:K574)</f>
        <v>0</v>
      </c>
      <c r="M574" s="1" t="str">
        <f aca="false">IF(L574&gt;=2,"High",IF(L574=1,"Medium","Low"))</f>
        <v>Low</v>
      </c>
    </row>
    <row r="575" customFormat="false" ht="15" hidden="false" customHeight="true" outlineLevel="0" collapsed="false">
      <c r="A575" s="1" t="str">
        <f aca="false">Transactions!A575</f>
        <v>TXN500134</v>
      </c>
      <c r="B575" s="1" t="str">
        <f aca="false">Transactions!B575</f>
        <v>ACC1005</v>
      </c>
      <c r="C575" s="1" t="str">
        <f aca="false">Transactions!I575</f>
        <v>2026-02-05</v>
      </c>
      <c r="D575" s="1" t="n">
        <f aca="false">Transactions!J575</f>
        <v>18</v>
      </c>
      <c r="E575" s="1" t="n">
        <f aca="false">Transactions!D575</f>
        <v>102.13</v>
      </c>
      <c r="F575" s="1" t="str">
        <f aca="false">Transactions!H575</f>
        <v>ATM</v>
      </c>
      <c r="G575" s="1" t="str">
        <f aca="false">Transactions!G575</f>
        <v>Online Marketplace</v>
      </c>
      <c r="H575" s="1" t="n">
        <f aca="false">IF(COUNTIFS($B$2:$B$1489,B575,$C$2:$C$1489,C575,$D$2:$D$1489,D575)&gt;6,1,0)</f>
        <v>0</v>
      </c>
      <c r="I575" s="1" t="n">
        <f aca="false">IF(AND(F575="Wire",E575&gt;=1000,MOD(E575,1000)=0),1,0)</f>
        <v>0</v>
      </c>
      <c r="J575" s="1" t="n">
        <f aca="false">IF(AND(F575="ATM",E575&gt;2000,D575&lt;=4),1,0)</f>
        <v>0</v>
      </c>
      <c r="K575" s="1" t="n">
        <f aca="false">IF(COUNTIF('SQL Findings'!$A$4:$A$18,B575)&gt;0,1,0)</f>
        <v>0</v>
      </c>
      <c r="L575" s="1" t="n">
        <f aca="false">SUM(H575:K575)</f>
        <v>0</v>
      </c>
      <c r="M575" s="1" t="str">
        <f aca="false">IF(L575&gt;=2,"High",IF(L575=1,"Medium","Low"))</f>
        <v>Low</v>
      </c>
    </row>
    <row r="576" customFormat="false" ht="15" hidden="false" customHeight="true" outlineLevel="0" collapsed="false">
      <c r="A576" s="1" t="str">
        <f aca="false">Transactions!A576</f>
        <v>TXN500137</v>
      </c>
      <c r="B576" s="1" t="str">
        <f aca="false">Transactions!B576</f>
        <v>ACC1006</v>
      </c>
      <c r="C576" s="1" t="str">
        <f aca="false">Transactions!I576</f>
        <v>2026-02-05</v>
      </c>
      <c r="D576" s="1" t="n">
        <f aca="false">Transactions!J576</f>
        <v>18</v>
      </c>
      <c r="E576" s="1" t="n">
        <f aca="false">Transactions!D576</f>
        <v>32.95</v>
      </c>
      <c r="F576" s="1" t="str">
        <f aca="false">Transactions!H576</f>
        <v>ATM</v>
      </c>
      <c r="G576" s="1" t="str">
        <f aca="false">Transactions!G576</f>
        <v>Utilities</v>
      </c>
      <c r="H576" s="1" t="n">
        <f aca="false">IF(COUNTIFS($B$2:$B$1489,B576,$C$2:$C$1489,C576,$D$2:$D$1489,D576)&gt;6,1,0)</f>
        <v>0</v>
      </c>
      <c r="I576" s="1" t="n">
        <f aca="false">IF(AND(F576="Wire",E576&gt;=1000,MOD(E576,1000)=0),1,0)</f>
        <v>0</v>
      </c>
      <c r="J576" s="1" t="n">
        <f aca="false">IF(AND(F576="ATM",E576&gt;2000,D576&lt;=4),1,0)</f>
        <v>0</v>
      </c>
      <c r="K576" s="1" t="n">
        <f aca="false">IF(COUNTIF('SQL Findings'!$A$4:$A$18,B576)&gt;0,1,0)</f>
        <v>0</v>
      </c>
      <c r="L576" s="1" t="n">
        <f aca="false">SUM(H576:K576)</f>
        <v>0</v>
      </c>
      <c r="M576" s="1" t="str">
        <f aca="false">IF(L576&gt;=2,"High",IF(L576=1,"Medium","Low"))</f>
        <v>Low</v>
      </c>
    </row>
    <row r="577" customFormat="false" ht="15" hidden="false" customHeight="true" outlineLevel="0" collapsed="false">
      <c r="A577" s="1" t="str">
        <f aca="false">Transactions!A577</f>
        <v>TXN500415</v>
      </c>
      <c r="B577" s="1" t="str">
        <f aca="false">Transactions!B577</f>
        <v>ACC1018</v>
      </c>
      <c r="C577" s="1" t="str">
        <f aca="false">Transactions!I577</f>
        <v>2026-02-06</v>
      </c>
      <c r="D577" s="1" t="n">
        <f aca="false">Transactions!J577</f>
        <v>3</v>
      </c>
      <c r="E577" s="1" t="n">
        <f aca="false">Transactions!D577</f>
        <v>89.93</v>
      </c>
      <c r="F577" s="1" t="str">
        <f aca="false">Transactions!H577</f>
        <v>ATM</v>
      </c>
      <c r="G577" s="1" t="str">
        <f aca="false">Transactions!G577</f>
        <v>Online Marketplace</v>
      </c>
      <c r="H577" s="1" t="n">
        <f aca="false">IF(COUNTIFS($B$2:$B$1489,B577,$C$2:$C$1489,C577,$D$2:$D$1489,D577)&gt;6,1,0)</f>
        <v>0</v>
      </c>
      <c r="I577" s="1" t="n">
        <f aca="false">IF(AND(F577="Wire",E577&gt;=1000,MOD(E577,1000)=0),1,0)</f>
        <v>0</v>
      </c>
      <c r="J577" s="1" t="n">
        <f aca="false">IF(AND(F577="ATM",E577&gt;2000,D577&lt;=4),1,0)</f>
        <v>0</v>
      </c>
      <c r="K577" s="1" t="n">
        <f aca="false">IF(COUNTIF('SQL Findings'!$A$4:$A$18,B577)&gt;0,1,0)</f>
        <v>0</v>
      </c>
      <c r="L577" s="1" t="n">
        <f aca="false">SUM(H577:K577)</f>
        <v>0</v>
      </c>
      <c r="M577" s="1" t="str">
        <f aca="false">IF(L577&gt;=2,"High",IF(L577=1,"Medium","Low"))</f>
        <v>Low</v>
      </c>
    </row>
    <row r="578" customFormat="false" ht="15" hidden="false" customHeight="true" outlineLevel="0" collapsed="false">
      <c r="A578" s="1" t="str">
        <f aca="false">Transactions!A578</f>
        <v>TXN500342</v>
      </c>
      <c r="B578" s="1" t="str">
        <f aca="false">Transactions!B578</f>
        <v>ACC1015</v>
      </c>
      <c r="C578" s="1" t="str">
        <f aca="false">Transactions!I578</f>
        <v>2026-02-06</v>
      </c>
      <c r="D578" s="1" t="n">
        <f aca="false">Transactions!J578</f>
        <v>7</v>
      </c>
      <c r="E578" s="1" t="n">
        <f aca="false">Transactions!D578</f>
        <v>83.04</v>
      </c>
      <c r="F578" s="1" t="str">
        <f aca="false">Transactions!H578</f>
        <v>POS</v>
      </c>
      <c r="G578" s="1" t="str">
        <f aca="false">Transactions!G578</f>
        <v>Retail</v>
      </c>
      <c r="H578" s="1" t="n">
        <f aca="false">IF(COUNTIFS($B$2:$B$1489,B578,$C$2:$C$1489,C578,$D$2:$D$1489,D578)&gt;6,1,0)</f>
        <v>0</v>
      </c>
      <c r="I578" s="1" t="n">
        <f aca="false">IF(AND(F578="Wire",E578&gt;=1000,MOD(E578,1000)=0),1,0)</f>
        <v>0</v>
      </c>
      <c r="J578" s="1" t="n">
        <f aca="false">IF(AND(F578="ATM",E578&gt;2000,D578&lt;=4),1,0)</f>
        <v>0</v>
      </c>
      <c r="K578" s="1" t="n">
        <f aca="false">IF(COUNTIF('SQL Findings'!$A$4:$A$18,B578)&gt;0,1,0)</f>
        <v>1</v>
      </c>
      <c r="L578" s="1" t="n">
        <f aca="false">SUM(H578:K578)</f>
        <v>1</v>
      </c>
      <c r="M578" s="1" t="str">
        <f aca="false">IF(L578&gt;=2,"High",IF(L578=1,"Medium","Low"))</f>
        <v>Medium</v>
      </c>
    </row>
    <row r="579" customFormat="false" ht="15" hidden="false" customHeight="true" outlineLevel="0" collapsed="false">
      <c r="A579" s="1" t="str">
        <f aca="false">Transactions!A579</f>
        <v>TXN500104</v>
      </c>
      <c r="B579" s="1" t="str">
        <f aca="false">Transactions!B579</f>
        <v>ACC1004</v>
      </c>
      <c r="C579" s="1" t="str">
        <f aca="false">Transactions!I579</f>
        <v>2026-02-06</v>
      </c>
      <c r="D579" s="1" t="n">
        <f aca="false">Transactions!J579</f>
        <v>7</v>
      </c>
      <c r="E579" s="1" t="n">
        <f aca="false">Transactions!D579</f>
        <v>32.39</v>
      </c>
      <c r="F579" s="1" t="str">
        <f aca="false">Transactions!H579</f>
        <v>ATM</v>
      </c>
      <c r="G579" s="1" t="str">
        <f aca="false">Transactions!G579</f>
        <v>Cash Withdrawal</v>
      </c>
      <c r="H579" s="1" t="n">
        <f aca="false">IF(COUNTIFS($B$2:$B$1489,B579,$C$2:$C$1489,C579,$D$2:$D$1489,D579)&gt;6,1,0)</f>
        <v>0</v>
      </c>
      <c r="I579" s="1" t="n">
        <f aca="false">IF(AND(F579="Wire",E579&gt;=1000,MOD(E579,1000)=0),1,0)</f>
        <v>0</v>
      </c>
      <c r="J579" s="1" t="n">
        <f aca="false">IF(AND(F579="ATM",E579&gt;2000,D579&lt;=4),1,0)</f>
        <v>0</v>
      </c>
      <c r="K579" s="1" t="n">
        <f aca="false">IF(COUNTIF('SQL Findings'!$A$4:$A$18,B579)&gt;0,1,0)</f>
        <v>1</v>
      </c>
      <c r="L579" s="1" t="n">
        <f aca="false">SUM(H579:K579)</f>
        <v>1</v>
      </c>
      <c r="M579" s="1" t="str">
        <f aca="false">IF(L579&gt;=2,"High",IF(L579=1,"Medium","Low"))</f>
        <v>Medium</v>
      </c>
    </row>
    <row r="580" customFormat="false" ht="15" hidden="false" customHeight="true" outlineLevel="0" collapsed="false">
      <c r="A580" s="1" t="str">
        <f aca="false">Transactions!A580</f>
        <v>TXN500089</v>
      </c>
      <c r="B580" s="1" t="str">
        <f aca="false">Transactions!B580</f>
        <v>ACC1003</v>
      </c>
      <c r="C580" s="1" t="str">
        <f aca="false">Transactions!I580</f>
        <v>2026-02-06</v>
      </c>
      <c r="D580" s="1" t="n">
        <f aca="false">Transactions!J580</f>
        <v>7</v>
      </c>
      <c r="E580" s="1" t="n">
        <f aca="false">Transactions!D580</f>
        <v>41.4</v>
      </c>
      <c r="F580" s="1" t="str">
        <f aca="false">Transactions!H580</f>
        <v>Online</v>
      </c>
      <c r="G580" s="1" t="str">
        <f aca="false">Transactions!G580</f>
        <v>Cash Withdrawal</v>
      </c>
      <c r="H580" s="1" t="n">
        <f aca="false">IF(COUNTIFS($B$2:$B$1489,B580,$C$2:$C$1489,C580,$D$2:$D$1489,D580)&gt;6,1,0)</f>
        <v>0</v>
      </c>
      <c r="I580" s="1" t="n">
        <f aca="false">IF(AND(F580="Wire",E580&gt;=1000,MOD(E580,1000)=0),1,0)</f>
        <v>0</v>
      </c>
      <c r="J580" s="1" t="n">
        <f aca="false">IF(AND(F580="ATM",E580&gt;2000,D580&lt;=4),1,0)</f>
        <v>0</v>
      </c>
      <c r="K580" s="1" t="n">
        <f aca="false">IF(COUNTIF('SQL Findings'!$A$4:$A$18,B580)&gt;0,1,0)</f>
        <v>0</v>
      </c>
      <c r="L580" s="1" t="n">
        <f aca="false">SUM(H580:K580)</f>
        <v>0</v>
      </c>
      <c r="M580" s="1" t="str">
        <f aca="false">IF(L580&gt;=2,"High",IF(L580=1,"Medium","Low"))</f>
        <v>Low</v>
      </c>
    </row>
    <row r="581" customFormat="false" ht="15" hidden="false" customHeight="true" outlineLevel="0" collapsed="false">
      <c r="A581" s="1" t="str">
        <f aca="false">Transactions!A581</f>
        <v>TXN501450</v>
      </c>
      <c r="B581" s="1" t="str">
        <f aca="false">Transactions!B581</f>
        <v>ACC1009</v>
      </c>
      <c r="C581" s="1" t="str">
        <f aca="false">Transactions!I581</f>
        <v>2026-02-06</v>
      </c>
      <c r="D581" s="1" t="n">
        <f aca="false">Transactions!J581</f>
        <v>8</v>
      </c>
      <c r="E581" s="1" t="n">
        <f aca="false">Transactions!D581</f>
        <v>1223.72</v>
      </c>
      <c r="F581" s="1" t="str">
        <f aca="false">Transactions!H581</f>
        <v>POS</v>
      </c>
      <c r="G581" s="1" t="str">
        <f aca="false">Transactions!G581</f>
        <v>Retail</v>
      </c>
      <c r="H581" s="1" t="n">
        <f aca="false">IF(COUNTIFS($B$2:$B$1489,B581,$C$2:$C$1489,C581,$D$2:$D$1489,D581)&gt;6,1,0)</f>
        <v>0</v>
      </c>
      <c r="I581" s="1" t="n">
        <f aca="false">IF(AND(F581="Wire",E581&gt;=1000,MOD(E581,1000)=0),1,0)</f>
        <v>0</v>
      </c>
      <c r="J581" s="1" t="n">
        <f aca="false">IF(AND(F581="ATM",E581&gt;2000,D581&lt;=4),1,0)</f>
        <v>0</v>
      </c>
      <c r="K581" s="1" t="n">
        <f aca="false">IF(COUNTIF('SQL Findings'!$A$4:$A$18,B581)&gt;0,1,0)</f>
        <v>1</v>
      </c>
      <c r="L581" s="1" t="n">
        <f aca="false">SUM(H581:K581)</f>
        <v>1</v>
      </c>
      <c r="M581" s="1" t="str">
        <f aca="false">IF(L581&gt;=2,"High",IF(L581=1,"Medium","Low"))</f>
        <v>Medium</v>
      </c>
    </row>
    <row r="582" customFormat="false" ht="15" hidden="false" customHeight="true" outlineLevel="0" collapsed="false">
      <c r="A582" s="1" t="str">
        <f aca="false">Transactions!A582</f>
        <v>TXN500755</v>
      </c>
      <c r="B582" s="1" t="str">
        <f aca="false">Transactions!B582</f>
        <v>ACC1032</v>
      </c>
      <c r="C582" s="1" t="str">
        <f aca="false">Transactions!I582</f>
        <v>2026-02-06</v>
      </c>
      <c r="D582" s="1" t="n">
        <f aca="false">Transactions!J582</f>
        <v>8</v>
      </c>
      <c r="E582" s="1" t="n">
        <f aca="false">Transactions!D582</f>
        <v>28.38</v>
      </c>
      <c r="F582" s="1" t="str">
        <f aca="false">Transactions!H582</f>
        <v>Online</v>
      </c>
      <c r="G582" s="1" t="str">
        <f aca="false">Transactions!G582</f>
        <v>Retail</v>
      </c>
      <c r="H582" s="1" t="n">
        <f aca="false">IF(COUNTIFS($B$2:$B$1489,B582,$C$2:$C$1489,C582,$D$2:$D$1489,D582)&gt;6,1,0)</f>
        <v>0</v>
      </c>
      <c r="I582" s="1" t="n">
        <f aca="false">IF(AND(F582="Wire",E582&gt;=1000,MOD(E582,1000)=0),1,0)</f>
        <v>0</v>
      </c>
      <c r="J582" s="1" t="n">
        <f aca="false">IF(AND(F582="ATM",E582&gt;2000,D582&lt;=4),1,0)</f>
        <v>0</v>
      </c>
      <c r="K582" s="1" t="n">
        <f aca="false">IF(COUNTIF('SQL Findings'!$A$4:$A$18,B582)&gt;0,1,0)</f>
        <v>0</v>
      </c>
      <c r="L582" s="1" t="n">
        <f aca="false">SUM(H582:K582)</f>
        <v>0</v>
      </c>
      <c r="M582" s="1" t="str">
        <f aca="false">IF(L582&gt;=2,"High",IF(L582=1,"Medium","Low"))</f>
        <v>Low</v>
      </c>
    </row>
    <row r="583" customFormat="false" ht="15" hidden="false" customHeight="true" outlineLevel="0" collapsed="false">
      <c r="A583" s="1" t="str">
        <f aca="false">Transactions!A583</f>
        <v>TXN501133</v>
      </c>
      <c r="B583" s="1" t="str">
        <f aca="false">Transactions!B583</f>
        <v>ACC1050</v>
      </c>
      <c r="C583" s="1" t="str">
        <f aca="false">Transactions!I583</f>
        <v>2026-02-06</v>
      </c>
      <c r="D583" s="1" t="n">
        <f aca="false">Transactions!J583</f>
        <v>9</v>
      </c>
      <c r="E583" s="1" t="n">
        <f aca="false">Transactions!D583</f>
        <v>284.96</v>
      </c>
      <c r="F583" s="1" t="str">
        <f aca="false">Transactions!H583</f>
        <v>POS</v>
      </c>
      <c r="G583" s="1" t="str">
        <f aca="false">Transactions!G583</f>
        <v>Cash Withdrawal</v>
      </c>
      <c r="H583" s="1" t="n">
        <f aca="false">IF(COUNTIFS($B$2:$B$1489,B583,$C$2:$C$1489,C583,$D$2:$D$1489,D583)&gt;6,1,0)</f>
        <v>0</v>
      </c>
      <c r="I583" s="1" t="n">
        <f aca="false">IF(AND(F583="Wire",E583&gt;=1000,MOD(E583,1000)=0),1,0)</f>
        <v>0</v>
      </c>
      <c r="J583" s="1" t="n">
        <f aca="false">IF(AND(F583="ATM",E583&gt;2000,D583&lt;=4),1,0)</f>
        <v>0</v>
      </c>
      <c r="K583" s="1" t="n">
        <f aca="false">IF(COUNTIF('SQL Findings'!$A$4:$A$18,B583)&gt;0,1,0)</f>
        <v>0</v>
      </c>
      <c r="L583" s="1" t="n">
        <f aca="false">SUM(H583:K583)</f>
        <v>0</v>
      </c>
      <c r="M583" s="1" t="str">
        <f aca="false">IF(L583&gt;=2,"High",IF(L583=1,"Medium","Low"))</f>
        <v>Low</v>
      </c>
    </row>
    <row r="584" customFormat="false" ht="15" hidden="false" customHeight="true" outlineLevel="0" collapsed="false">
      <c r="A584" s="1" t="str">
        <f aca="false">Transactions!A584</f>
        <v>TXN501069</v>
      </c>
      <c r="B584" s="1" t="str">
        <f aca="false">Transactions!B584</f>
        <v>ACC1047</v>
      </c>
      <c r="C584" s="1" t="str">
        <f aca="false">Transactions!I584</f>
        <v>2026-02-06</v>
      </c>
      <c r="D584" s="1" t="n">
        <f aca="false">Transactions!J584</f>
        <v>9</v>
      </c>
      <c r="E584" s="1" t="n">
        <f aca="false">Transactions!D584</f>
        <v>43.78</v>
      </c>
      <c r="F584" s="1" t="str">
        <f aca="false">Transactions!H584</f>
        <v>ATM</v>
      </c>
      <c r="G584" s="1" t="str">
        <f aca="false">Transactions!G584</f>
        <v>Online Marketplace</v>
      </c>
      <c r="H584" s="1" t="n">
        <f aca="false">IF(COUNTIFS($B$2:$B$1489,B584,$C$2:$C$1489,C584,$D$2:$D$1489,D584)&gt;6,1,0)</f>
        <v>0</v>
      </c>
      <c r="I584" s="1" t="n">
        <f aca="false">IF(AND(F584="Wire",E584&gt;=1000,MOD(E584,1000)=0),1,0)</f>
        <v>0</v>
      </c>
      <c r="J584" s="1" t="n">
        <f aca="false">IF(AND(F584="ATM",E584&gt;2000,D584&lt;=4),1,0)</f>
        <v>0</v>
      </c>
      <c r="K584" s="1" t="n">
        <f aca="false">IF(COUNTIF('SQL Findings'!$A$4:$A$18,B584)&gt;0,1,0)</f>
        <v>0</v>
      </c>
      <c r="L584" s="1" t="n">
        <f aca="false">SUM(H584:K584)</f>
        <v>0</v>
      </c>
      <c r="M584" s="1" t="str">
        <f aca="false">IF(L584&gt;=2,"High",IF(L584=1,"Medium","Low"))</f>
        <v>Low</v>
      </c>
    </row>
    <row r="585" customFormat="false" ht="15" hidden="false" customHeight="true" outlineLevel="0" collapsed="false">
      <c r="A585" s="1" t="str">
        <f aca="false">Transactions!A585</f>
        <v>TXN500481</v>
      </c>
      <c r="B585" s="1" t="str">
        <f aca="false">Transactions!B585</f>
        <v>ACC1021</v>
      </c>
      <c r="C585" s="1" t="str">
        <f aca="false">Transactions!I585</f>
        <v>2026-02-06</v>
      </c>
      <c r="D585" s="1" t="n">
        <f aca="false">Transactions!J585</f>
        <v>10</v>
      </c>
      <c r="E585" s="1" t="n">
        <f aca="false">Transactions!D585</f>
        <v>59.43</v>
      </c>
      <c r="F585" s="1" t="str">
        <f aca="false">Transactions!H585</f>
        <v>ATM</v>
      </c>
      <c r="G585" s="1" t="str">
        <f aca="false">Transactions!G585</f>
        <v>Travel</v>
      </c>
      <c r="H585" s="1" t="n">
        <f aca="false">IF(COUNTIFS($B$2:$B$1489,B585,$C$2:$C$1489,C585,$D$2:$D$1489,D585)&gt;6,1,0)</f>
        <v>0</v>
      </c>
      <c r="I585" s="1" t="n">
        <f aca="false">IF(AND(F585="Wire",E585&gt;=1000,MOD(E585,1000)=0),1,0)</f>
        <v>0</v>
      </c>
      <c r="J585" s="1" t="n">
        <f aca="false">IF(AND(F585="ATM",E585&gt;2000,D585&lt;=4),1,0)</f>
        <v>0</v>
      </c>
      <c r="K585" s="1" t="n">
        <f aca="false">IF(COUNTIF('SQL Findings'!$A$4:$A$18,B585)&gt;0,1,0)</f>
        <v>0</v>
      </c>
      <c r="L585" s="1" t="n">
        <f aca="false">SUM(H585:K585)</f>
        <v>0</v>
      </c>
      <c r="M585" s="1" t="str">
        <f aca="false">IF(L585&gt;=2,"High",IF(L585=1,"Medium","Low"))</f>
        <v>Low</v>
      </c>
    </row>
    <row r="586" customFormat="false" ht="15" hidden="false" customHeight="true" outlineLevel="0" collapsed="false">
      <c r="A586" s="1" t="str">
        <f aca="false">Transactions!A586</f>
        <v>TXN501091</v>
      </c>
      <c r="B586" s="1" t="str">
        <f aca="false">Transactions!B586</f>
        <v>ACC1048</v>
      </c>
      <c r="C586" s="1" t="str">
        <f aca="false">Transactions!I586</f>
        <v>2026-02-06</v>
      </c>
      <c r="D586" s="1" t="n">
        <f aca="false">Transactions!J586</f>
        <v>11</v>
      </c>
      <c r="E586" s="1" t="n">
        <f aca="false">Transactions!D586</f>
        <v>62.52</v>
      </c>
      <c r="F586" s="1" t="str">
        <f aca="false">Transactions!H586</f>
        <v>Online</v>
      </c>
      <c r="G586" s="1" t="str">
        <f aca="false">Transactions!G586</f>
        <v>Online Marketplace</v>
      </c>
      <c r="H586" s="1" t="n">
        <f aca="false">IF(COUNTIFS($B$2:$B$1489,B586,$C$2:$C$1489,C586,$D$2:$D$1489,D586)&gt;6,1,0)</f>
        <v>0</v>
      </c>
      <c r="I586" s="1" t="n">
        <f aca="false">IF(AND(F586="Wire",E586&gt;=1000,MOD(E586,1000)=0),1,0)</f>
        <v>0</v>
      </c>
      <c r="J586" s="1" t="n">
        <f aca="false">IF(AND(F586="ATM",E586&gt;2000,D586&lt;=4),1,0)</f>
        <v>0</v>
      </c>
      <c r="K586" s="1" t="n">
        <f aca="false">IF(COUNTIF('SQL Findings'!$A$4:$A$18,B586)&gt;0,1,0)</f>
        <v>0</v>
      </c>
      <c r="L586" s="1" t="n">
        <f aca="false">SUM(H586:K586)</f>
        <v>0</v>
      </c>
      <c r="M586" s="1" t="str">
        <f aca="false">IF(L586&gt;=2,"High",IF(L586=1,"Medium","Low"))</f>
        <v>Low</v>
      </c>
    </row>
    <row r="587" customFormat="false" ht="15" hidden="false" customHeight="true" outlineLevel="0" collapsed="false">
      <c r="A587" s="1" t="str">
        <f aca="false">Transactions!A587</f>
        <v>TXN500455</v>
      </c>
      <c r="B587" s="1" t="str">
        <f aca="false">Transactions!B587</f>
        <v>ACC1020</v>
      </c>
      <c r="C587" s="1" t="str">
        <f aca="false">Transactions!I587</f>
        <v>2026-02-06</v>
      </c>
      <c r="D587" s="1" t="n">
        <f aca="false">Transactions!J587</f>
        <v>11</v>
      </c>
      <c r="E587" s="1" t="n">
        <f aca="false">Transactions!D587</f>
        <v>41.38</v>
      </c>
      <c r="F587" s="1" t="str">
        <f aca="false">Transactions!H587</f>
        <v>POS</v>
      </c>
      <c r="G587" s="1" t="str">
        <f aca="false">Transactions!G587</f>
        <v>Online Marketplace</v>
      </c>
      <c r="H587" s="1" t="n">
        <f aca="false">IF(COUNTIFS($B$2:$B$1489,B587,$C$2:$C$1489,C587,$D$2:$D$1489,D587)&gt;6,1,0)</f>
        <v>0</v>
      </c>
      <c r="I587" s="1" t="n">
        <f aca="false">IF(AND(F587="Wire",E587&gt;=1000,MOD(E587,1000)=0),1,0)</f>
        <v>0</v>
      </c>
      <c r="J587" s="1" t="n">
        <f aca="false">IF(AND(F587="ATM",E587&gt;2000,D587&lt;=4),1,0)</f>
        <v>0</v>
      </c>
      <c r="K587" s="1" t="n">
        <f aca="false">IF(COUNTIF('SQL Findings'!$A$4:$A$18,B587)&gt;0,1,0)</f>
        <v>0</v>
      </c>
      <c r="L587" s="1" t="n">
        <f aca="false">SUM(H587:K587)</f>
        <v>0</v>
      </c>
      <c r="M587" s="1" t="str">
        <f aca="false">IF(L587&gt;=2,"High",IF(L587=1,"Medium","Low"))</f>
        <v>Low</v>
      </c>
    </row>
    <row r="588" customFormat="false" ht="15" hidden="false" customHeight="true" outlineLevel="0" collapsed="false">
      <c r="A588" s="1" t="str">
        <f aca="false">Transactions!A588</f>
        <v>TXN501286</v>
      </c>
      <c r="B588" s="1" t="str">
        <f aca="false">Transactions!B588</f>
        <v>ACC1056</v>
      </c>
      <c r="C588" s="1" t="str">
        <f aca="false">Transactions!I588</f>
        <v>2026-02-06</v>
      </c>
      <c r="D588" s="1" t="n">
        <f aca="false">Transactions!J588</f>
        <v>13</v>
      </c>
      <c r="E588" s="1" t="n">
        <f aca="false">Transactions!D588</f>
        <v>20.12</v>
      </c>
      <c r="F588" s="1" t="str">
        <f aca="false">Transactions!H588</f>
        <v>Online</v>
      </c>
      <c r="G588" s="1" t="str">
        <f aca="false">Transactions!G588</f>
        <v>Electronics</v>
      </c>
      <c r="H588" s="1" t="n">
        <f aca="false">IF(COUNTIFS($B$2:$B$1489,B588,$C$2:$C$1489,C588,$D$2:$D$1489,D588)&gt;6,1,0)</f>
        <v>0</v>
      </c>
      <c r="I588" s="1" t="n">
        <f aca="false">IF(AND(F588="Wire",E588&gt;=1000,MOD(E588,1000)=0),1,0)</f>
        <v>0</v>
      </c>
      <c r="J588" s="1" t="n">
        <f aca="false">IF(AND(F588="ATM",E588&gt;2000,D588&lt;=4),1,0)</f>
        <v>0</v>
      </c>
      <c r="K588" s="1" t="n">
        <f aca="false">IF(COUNTIF('SQL Findings'!$A$4:$A$18,B588)&gt;0,1,0)</f>
        <v>0</v>
      </c>
      <c r="L588" s="1" t="n">
        <f aca="false">SUM(H588:K588)</f>
        <v>0</v>
      </c>
      <c r="M588" s="1" t="str">
        <f aca="false">IF(L588&gt;=2,"High",IF(L588=1,"Medium","Low"))</f>
        <v>Low</v>
      </c>
    </row>
    <row r="589" customFormat="false" ht="15" hidden="false" customHeight="true" outlineLevel="0" collapsed="false">
      <c r="A589" s="1" t="str">
        <f aca="false">Transactions!A589</f>
        <v>TXN501006</v>
      </c>
      <c r="B589" s="1" t="str">
        <f aca="false">Transactions!B589</f>
        <v>ACC1044</v>
      </c>
      <c r="C589" s="1" t="str">
        <f aca="false">Transactions!I589</f>
        <v>2026-02-06</v>
      </c>
      <c r="D589" s="1" t="n">
        <f aca="false">Transactions!J589</f>
        <v>13</v>
      </c>
      <c r="E589" s="1" t="n">
        <f aca="false">Transactions!D589</f>
        <v>95.02</v>
      </c>
      <c r="F589" s="1" t="str">
        <f aca="false">Transactions!H589</f>
        <v>Online</v>
      </c>
      <c r="G589" s="1" t="str">
        <f aca="false">Transactions!G589</f>
        <v>Wire Transfer</v>
      </c>
      <c r="H589" s="1" t="n">
        <f aca="false">IF(COUNTIFS($B$2:$B$1489,B589,$C$2:$C$1489,C589,$D$2:$D$1489,D589)&gt;6,1,0)</f>
        <v>0</v>
      </c>
      <c r="I589" s="1" t="n">
        <f aca="false">IF(AND(F589="Wire",E589&gt;=1000,MOD(E589,1000)=0),1,0)</f>
        <v>0</v>
      </c>
      <c r="J589" s="1" t="n">
        <f aca="false">IF(AND(F589="ATM",E589&gt;2000,D589&lt;=4),1,0)</f>
        <v>0</v>
      </c>
      <c r="K589" s="1" t="n">
        <f aca="false">IF(COUNTIF('SQL Findings'!$A$4:$A$18,B589)&gt;0,1,0)</f>
        <v>0</v>
      </c>
      <c r="L589" s="1" t="n">
        <f aca="false">SUM(H589:K589)</f>
        <v>0</v>
      </c>
      <c r="M589" s="1" t="str">
        <f aca="false">IF(L589&gt;=2,"High",IF(L589=1,"Medium","Low"))</f>
        <v>Low</v>
      </c>
    </row>
    <row r="590" customFormat="false" ht="15" hidden="false" customHeight="true" outlineLevel="0" collapsed="false">
      <c r="A590" s="1" t="str">
        <f aca="false">Transactions!A590</f>
        <v>TXN501451</v>
      </c>
      <c r="B590" s="1" t="str">
        <f aca="false">Transactions!B590</f>
        <v>ACC1009</v>
      </c>
      <c r="C590" s="1" t="str">
        <f aca="false">Transactions!I590</f>
        <v>2026-02-06</v>
      </c>
      <c r="D590" s="1" t="n">
        <f aca="false">Transactions!J590</f>
        <v>14</v>
      </c>
      <c r="E590" s="1" t="n">
        <f aca="false">Transactions!D590</f>
        <v>920.67</v>
      </c>
      <c r="F590" s="1" t="str">
        <f aca="false">Transactions!H590</f>
        <v>ATM</v>
      </c>
      <c r="G590" s="1" t="str">
        <f aca="false">Transactions!G590</f>
        <v>Cash Withdrawal</v>
      </c>
      <c r="H590" s="1" t="n">
        <f aca="false">IF(COUNTIFS($B$2:$B$1489,B590,$C$2:$C$1489,C590,$D$2:$D$1489,D590)&gt;6,1,0)</f>
        <v>0</v>
      </c>
      <c r="I590" s="1" t="n">
        <f aca="false">IF(AND(F590="Wire",E590&gt;=1000,MOD(E590,1000)=0),1,0)</f>
        <v>0</v>
      </c>
      <c r="J590" s="1" t="n">
        <f aca="false">IF(AND(F590="ATM",E590&gt;2000,D590&lt;=4),1,0)</f>
        <v>0</v>
      </c>
      <c r="K590" s="1" t="n">
        <f aca="false">IF(COUNTIF('SQL Findings'!$A$4:$A$18,B590)&gt;0,1,0)</f>
        <v>1</v>
      </c>
      <c r="L590" s="1" t="n">
        <f aca="false">SUM(H590:K590)</f>
        <v>1</v>
      </c>
      <c r="M590" s="1" t="str">
        <f aca="false">IF(L590&gt;=2,"High",IF(L590=1,"Medium","Low"))</f>
        <v>Medium</v>
      </c>
    </row>
    <row r="591" customFormat="false" ht="15" hidden="false" customHeight="true" outlineLevel="0" collapsed="false">
      <c r="A591" s="1" t="str">
        <f aca="false">Transactions!A591</f>
        <v>TXN500658</v>
      </c>
      <c r="B591" s="1" t="str">
        <f aca="false">Transactions!B591</f>
        <v>ACC1028</v>
      </c>
      <c r="C591" s="1" t="str">
        <f aca="false">Transactions!I591</f>
        <v>2026-02-06</v>
      </c>
      <c r="D591" s="1" t="n">
        <f aca="false">Transactions!J591</f>
        <v>14</v>
      </c>
      <c r="E591" s="1" t="n">
        <f aca="false">Transactions!D591</f>
        <v>65.25</v>
      </c>
      <c r="F591" s="1" t="str">
        <f aca="false">Transactions!H591</f>
        <v>Online</v>
      </c>
      <c r="G591" s="1" t="str">
        <f aca="false">Transactions!G591</f>
        <v>Wire Transfer</v>
      </c>
      <c r="H591" s="1" t="n">
        <f aca="false">IF(COUNTIFS($B$2:$B$1489,B591,$C$2:$C$1489,C591,$D$2:$D$1489,D591)&gt;6,1,0)</f>
        <v>0</v>
      </c>
      <c r="I591" s="1" t="n">
        <f aca="false">IF(AND(F591="Wire",E591&gt;=1000,MOD(E591,1000)=0),1,0)</f>
        <v>0</v>
      </c>
      <c r="J591" s="1" t="n">
        <f aca="false">IF(AND(F591="ATM",E591&gt;2000,D591&lt;=4),1,0)</f>
        <v>0</v>
      </c>
      <c r="K591" s="1" t="n">
        <f aca="false">IF(COUNTIF('SQL Findings'!$A$4:$A$18,B591)&gt;0,1,0)</f>
        <v>0</v>
      </c>
      <c r="L591" s="1" t="n">
        <f aca="false">SUM(H591:K591)</f>
        <v>0</v>
      </c>
      <c r="M591" s="1" t="str">
        <f aca="false">IF(L591&gt;=2,"High",IF(L591=1,"Medium","Low"))</f>
        <v>Low</v>
      </c>
    </row>
    <row r="592" customFormat="false" ht="15" hidden="false" customHeight="true" outlineLevel="0" collapsed="false">
      <c r="A592" s="1" t="str">
        <f aca="false">Transactions!A592</f>
        <v>TXN500450</v>
      </c>
      <c r="B592" s="1" t="str">
        <f aca="false">Transactions!B592</f>
        <v>ACC1020</v>
      </c>
      <c r="C592" s="1" t="str">
        <f aca="false">Transactions!I592</f>
        <v>2026-02-06</v>
      </c>
      <c r="D592" s="1" t="n">
        <f aca="false">Transactions!J592</f>
        <v>14</v>
      </c>
      <c r="E592" s="1" t="n">
        <f aca="false">Transactions!D592</f>
        <v>25.71</v>
      </c>
      <c r="F592" s="1" t="str">
        <f aca="false">Transactions!H592</f>
        <v>ATM</v>
      </c>
      <c r="G592" s="1" t="str">
        <f aca="false">Transactions!G592</f>
        <v>Electronics</v>
      </c>
      <c r="H592" s="1" t="n">
        <f aca="false">IF(COUNTIFS($B$2:$B$1489,B592,$C$2:$C$1489,C592,$D$2:$D$1489,D592)&gt;6,1,0)</f>
        <v>0</v>
      </c>
      <c r="I592" s="1" t="n">
        <f aca="false">IF(AND(F592="Wire",E592&gt;=1000,MOD(E592,1000)=0),1,0)</f>
        <v>0</v>
      </c>
      <c r="J592" s="1" t="n">
        <f aca="false">IF(AND(F592="ATM",E592&gt;2000,D592&lt;=4),1,0)</f>
        <v>0</v>
      </c>
      <c r="K592" s="1" t="n">
        <f aca="false">IF(COUNTIF('SQL Findings'!$A$4:$A$18,B592)&gt;0,1,0)</f>
        <v>0</v>
      </c>
      <c r="L592" s="1" t="n">
        <f aca="false">SUM(H592:K592)</f>
        <v>0</v>
      </c>
      <c r="M592" s="1" t="str">
        <f aca="false">IF(L592&gt;=2,"High",IF(L592=1,"Medium","Low"))</f>
        <v>Low</v>
      </c>
    </row>
    <row r="593" customFormat="false" ht="15" hidden="false" customHeight="true" outlineLevel="0" collapsed="false">
      <c r="A593" s="1" t="str">
        <f aca="false">Transactions!A593</f>
        <v>TXN500679</v>
      </c>
      <c r="B593" s="1" t="str">
        <f aca="false">Transactions!B593</f>
        <v>ACC1029</v>
      </c>
      <c r="C593" s="1" t="str">
        <f aca="false">Transactions!I593</f>
        <v>2026-02-06</v>
      </c>
      <c r="D593" s="1" t="n">
        <f aca="false">Transactions!J593</f>
        <v>16</v>
      </c>
      <c r="E593" s="1" t="n">
        <f aca="false">Transactions!D593</f>
        <v>154.8</v>
      </c>
      <c r="F593" s="1" t="str">
        <f aca="false">Transactions!H593</f>
        <v>POS</v>
      </c>
      <c r="G593" s="1" t="str">
        <f aca="false">Transactions!G593</f>
        <v>Cash Withdrawal</v>
      </c>
      <c r="H593" s="1" t="n">
        <f aca="false">IF(COUNTIFS($B$2:$B$1489,B593,$C$2:$C$1489,C593,$D$2:$D$1489,D593)&gt;6,1,0)</f>
        <v>0</v>
      </c>
      <c r="I593" s="1" t="n">
        <f aca="false">IF(AND(F593="Wire",E593&gt;=1000,MOD(E593,1000)=0),1,0)</f>
        <v>0</v>
      </c>
      <c r="J593" s="1" t="n">
        <f aca="false">IF(AND(F593="ATM",E593&gt;2000,D593&lt;=4),1,0)</f>
        <v>0</v>
      </c>
      <c r="K593" s="1" t="n">
        <f aca="false">IF(COUNTIF('SQL Findings'!$A$4:$A$18,B593)&gt;0,1,0)</f>
        <v>0</v>
      </c>
      <c r="L593" s="1" t="n">
        <f aca="false">SUM(H593:K593)</f>
        <v>0</v>
      </c>
      <c r="M593" s="1" t="str">
        <f aca="false">IF(L593&gt;=2,"High",IF(L593=1,"Medium","Low"))</f>
        <v>Low</v>
      </c>
    </row>
    <row r="594" customFormat="false" ht="15" hidden="false" customHeight="true" outlineLevel="0" collapsed="false">
      <c r="A594" s="1" t="str">
        <f aca="false">Transactions!A594</f>
        <v>TXN500329</v>
      </c>
      <c r="B594" s="1" t="str">
        <f aca="false">Transactions!B594</f>
        <v>ACC1014</v>
      </c>
      <c r="C594" s="1" t="str">
        <f aca="false">Transactions!I594</f>
        <v>2026-02-06</v>
      </c>
      <c r="D594" s="1" t="n">
        <f aca="false">Transactions!J594</f>
        <v>16</v>
      </c>
      <c r="E594" s="1" t="n">
        <f aca="false">Transactions!D594</f>
        <v>116.95</v>
      </c>
      <c r="F594" s="1" t="str">
        <f aca="false">Transactions!H594</f>
        <v>POS</v>
      </c>
      <c r="G594" s="1" t="str">
        <f aca="false">Transactions!G594</f>
        <v>Wire Transfer</v>
      </c>
      <c r="H594" s="1" t="n">
        <f aca="false">IF(COUNTIFS($B$2:$B$1489,B594,$C$2:$C$1489,C594,$D$2:$D$1489,D594)&gt;6,1,0)</f>
        <v>0</v>
      </c>
      <c r="I594" s="1" t="n">
        <f aca="false">IF(AND(F594="Wire",E594&gt;=1000,MOD(E594,1000)=0),1,0)</f>
        <v>0</v>
      </c>
      <c r="J594" s="1" t="n">
        <f aca="false">IF(AND(F594="ATM",E594&gt;2000,D594&lt;=4),1,0)</f>
        <v>0</v>
      </c>
      <c r="K594" s="1" t="n">
        <f aca="false">IF(COUNTIF('SQL Findings'!$A$4:$A$18,B594)&gt;0,1,0)</f>
        <v>1</v>
      </c>
      <c r="L594" s="1" t="n">
        <f aca="false">SUM(H594:K594)</f>
        <v>1</v>
      </c>
      <c r="M594" s="1" t="str">
        <f aca="false">IF(L594&gt;=2,"High",IF(L594=1,"Medium","Low"))</f>
        <v>Medium</v>
      </c>
    </row>
    <row r="595" customFormat="false" ht="15" hidden="false" customHeight="true" outlineLevel="0" collapsed="false">
      <c r="A595" s="1" t="str">
        <f aca="false">Transactions!A595</f>
        <v>TXN500608</v>
      </c>
      <c r="B595" s="1" t="str">
        <f aca="false">Transactions!B595</f>
        <v>ACC1026</v>
      </c>
      <c r="C595" s="1" t="str">
        <f aca="false">Transactions!I595</f>
        <v>2026-02-07</v>
      </c>
      <c r="D595" s="1" t="n">
        <f aca="false">Transactions!J595</f>
        <v>1</v>
      </c>
      <c r="E595" s="1" t="n">
        <f aca="false">Transactions!D595</f>
        <v>21.75</v>
      </c>
      <c r="F595" s="1" t="str">
        <f aca="false">Transactions!H595</f>
        <v>POS</v>
      </c>
      <c r="G595" s="1" t="str">
        <f aca="false">Transactions!G595</f>
        <v>Utilities</v>
      </c>
      <c r="H595" s="1" t="n">
        <f aca="false">IF(COUNTIFS($B$2:$B$1489,B595,$C$2:$C$1489,C595,$D$2:$D$1489,D595)&gt;6,1,0)</f>
        <v>0</v>
      </c>
      <c r="I595" s="1" t="n">
        <f aca="false">IF(AND(F595="Wire",E595&gt;=1000,MOD(E595,1000)=0),1,0)</f>
        <v>0</v>
      </c>
      <c r="J595" s="1" t="n">
        <f aca="false">IF(AND(F595="ATM",E595&gt;2000,D595&lt;=4),1,0)</f>
        <v>0</v>
      </c>
      <c r="K595" s="1" t="n">
        <f aca="false">IF(COUNTIF('SQL Findings'!$A$4:$A$18,B595)&gt;0,1,0)</f>
        <v>0</v>
      </c>
      <c r="L595" s="1" t="n">
        <f aca="false">SUM(H595:K595)</f>
        <v>0</v>
      </c>
      <c r="M595" s="1" t="str">
        <f aca="false">IF(L595&gt;=2,"High",IF(L595=1,"Medium","Low"))</f>
        <v>Low</v>
      </c>
    </row>
    <row r="596" customFormat="false" ht="15" hidden="false" customHeight="true" outlineLevel="0" collapsed="false">
      <c r="A596" s="1" t="str">
        <f aca="false">Transactions!A596</f>
        <v>TXN500216</v>
      </c>
      <c r="B596" s="1" t="str">
        <f aca="false">Transactions!B596</f>
        <v>ACC1009</v>
      </c>
      <c r="C596" s="1" t="str">
        <f aca="false">Transactions!I596</f>
        <v>2026-02-07</v>
      </c>
      <c r="D596" s="1" t="n">
        <f aca="false">Transactions!J596</f>
        <v>1</v>
      </c>
      <c r="E596" s="1" t="n">
        <f aca="false">Transactions!D596</f>
        <v>132.04</v>
      </c>
      <c r="F596" s="1" t="str">
        <f aca="false">Transactions!H596</f>
        <v>Online</v>
      </c>
      <c r="G596" s="1" t="str">
        <f aca="false">Transactions!G596</f>
        <v>Wire Transfer</v>
      </c>
      <c r="H596" s="1" t="n">
        <f aca="false">IF(COUNTIFS($B$2:$B$1489,B596,$C$2:$C$1489,C596,$D$2:$D$1489,D596)&gt;6,1,0)</f>
        <v>0</v>
      </c>
      <c r="I596" s="1" t="n">
        <f aca="false">IF(AND(F596="Wire",E596&gt;=1000,MOD(E596,1000)=0),1,0)</f>
        <v>0</v>
      </c>
      <c r="J596" s="1" t="n">
        <f aca="false">IF(AND(F596="ATM",E596&gt;2000,D596&lt;=4),1,0)</f>
        <v>0</v>
      </c>
      <c r="K596" s="1" t="n">
        <f aca="false">IF(COUNTIF('SQL Findings'!$A$4:$A$18,B596)&gt;0,1,0)</f>
        <v>1</v>
      </c>
      <c r="L596" s="1" t="n">
        <f aca="false">SUM(H596:K596)</f>
        <v>1</v>
      </c>
      <c r="M596" s="1" t="str">
        <f aca="false">IF(L596&gt;=2,"High",IF(L596=1,"Medium","Low"))</f>
        <v>Medium</v>
      </c>
    </row>
    <row r="597" customFormat="false" ht="15" hidden="false" customHeight="true" outlineLevel="0" collapsed="false">
      <c r="A597" s="1" t="str">
        <f aca="false">Transactions!A597</f>
        <v>TXN501484</v>
      </c>
      <c r="B597" s="1" t="str">
        <f aca="false">Transactions!B597</f>
        <v>ACC1026</v>
      </c>
      <c r="C597" s="1" t="str">
        <f aca="false">Transactions!I597</f>
        <v>2026-02-07</v>
      </c>
      <c r="D597" s="1" t="n">
        <f aca="false">Transactions!J597</f>
        <v>2</v>
      </c>
      <c r="E597" s="1" t="n">
        <f aca="false">Transactions!D597</f>
        <v>4210.73</v>
      </c>
      <c r="F597" s="1" t="str">
        <f aca="false">Transactions!H597</f>
        <v>ATM</v>
      </c>
      <c r="G597" s="1" t="str">
        <f aca="false">Transactions!G597</f>
        <v>Cash Withdrawal</v>
      </c>
      <c r="H597" s="1" t="n">
        <f aca="false">IF(COUNTIFS($B$2:$B$1489,B597,$C$2:$C$1489,C597,$D$2:$D$1489,D597)&gt;6,1,0)</f>
        <v>0</v>
      </c>
      <c r="I597" s="1" t="n">
        <f aca="false">IF(AND(F597="Wire",E597&gt;=1000,MOD(E597,1000)=0),1,0)</f>
        <v>0</v>
      </c>
      <c r="J597" s="1" t="n">
        <f aca="false">IF(AND(F597="ATM",E597&gt;2000,D597&lt;=4),1,0)</f>
        <v>1</v>
      </c>
      <c r="K597" s="1" t="n">
        <f aca="false">IF(COUNTIF('SQL Findings'!$A$4:$A$18,B597)&gt;0,1,0)</f>
        <v>0</v>
      </c>
      <c r="L597" s="1" t="n">
        <f aca="false">SUM(H597:K597)</f>
        <v>1</v>
      </c>
      <c r="M597" s="1" t="str">
        <f aca="false">IF(L597&gt;=2,"High",IF(L597=1,"Medium","Low"))</f>
        <v>Medium</v>
      </c>
    </row>
    <row r="598" customFormat="false" ht="15" hidden="false" customHeight="true" outlineLevel="0" collapsed="false">
      <c r="A598" s="1" t="str">
        <f aca="false">Transactions!A598</f>
        <v>TXN500908</v>
      </c>
      <c r="B598" s="1" t="str">
        <f aca="false">Transactions!B598</f>
        <v>ACC1039</v>
      </c>
      <c r="C598" s="1" t="str">
        <f aca="false">Transactions!I598</f>
        <v>2026-02-07</v>
      </c>
      <c r="D598" s="1" t="n">
        <f aca="false">Transactions!J598</f>
        <v>7</v>
      </c>
      <c r="E598" s="1" t="n">
        <f aca="false">Transactions!D598</f>
        <v>130.53</v>
      </c>
      <c r="F598" s="1" t="str">
        <f aca="false">Transactions!H598</f>
        <v>Online</v>
      </c>
      <c r="G598" s="1" t="str">
        <f aca="false">Transactions!G598</f>
        <v>Retail</v>
      </c>
      <c r="H598" s="1" t="n">
        <f aca="false">IF(COUNTIFS($B$2:$B$1489,B598,$C$2:$C$1489,C598,$D$2:$D$1489,D598)&gt;6,1,0)</f>
        <v>0</v>
      </c>
      <c r="I598" s="1" t="n">
        <f aca="false">IF(AND(F598="Wire",E598&gt;=1000,MOD(E598,1000)=0),1,0)</f>
        <v>0</v>
      </c>
      <c r="J598" s="1" t="n">
        <f aca="false">IF(AND(F598="ATM",E598&gt;2000,D598&lt;=4),1,0)</f>
        <v>0</v>
      </c>
      <c r="K598" s="1" t="n">
        <f aca="false">IF(COUNTIF('SQL Findings'!$A$4:$A$18,B598)&gt;0,1,0)</f>
        <v>0</v>
      </c>
      <c r="L598" s="1" t="n">
        <f aca="false">SUM(H598:K598)</f>
        <v>0</v>
      </c>
      <c r="M598" s="1" t="str">
        <f aca="false">IF(L598&gt;=2,"High",IF(L598=1,"Medium","Low"))</f>
        <v>Low</v>
      </c>
    </row>
    <row r="599" customFormat="false" ht="15" hidden="false" customHeight="true" outlineLevel="0" collapsed="false">
      <c r="A599" s="1" t="str">
        <f aca="false">Transactions!A599</f>
        <v>TXN500618</v>
      </c>
      <c r="B599" s="1" t="str">
        <f aca="false">Transactions!B599</f>
        <v>ACC1027</v>
      </c>
      <c r="C599" s="1" t="str">
        <f aca="false">Transactions!I599</f>
        <v>2026-02-07</v>
      </c>
      <c r="D599" s="1" t="n">
        <f aca="false">Transactions!J599</f>
        <v>8</v>
      </c>
      <c r="E599" s="1" t="n">
        <f aca="false">Transactions!D599</f>
        <v>128.15</v>
      </c>
      <c r="F599" s="1" t="str">
        <f aca="false">Transactions!H599</f>
        <v>POS</v>
      </c>
      <c r="G599" s="1" t="str">
        <f aca="false">Transactions!G599</f>
        <v>Electronics</v>
      </c>
      <c r="H599" s="1" t="n">
        <f aca="false">IF(COUNTIFS($B$2:$B$1489,B599,$C$2:$C$1489,C599,$D$2:$D$1489,D599)&gt;6,1,0)</f>
        <v>0</v>
      </c>
      <c r="I599" s="1" t="n">
        <f aca="false">IF(AND(F599="Wire",E599&gt;=1000,MOD(E599,1000)=0),1,0)</f>
        <v>0</v>
      </c>
      <c r="J599" s="1" t="n">
        <f aca="false">IF(AND(F599="ATM",E599&gt;2000,D599&lt;=4),1,0)</f>
        <v>0</v>
      </c>
      <c r="K599" s="1" t="n">
        <f aca="false">IF(COUNTIF('SQL Findings'!$A$4:$A$18,B599)&gt;0,1,0)</f>
        <v>0</v>
      </c>
      <c r="L599" s="1" t="n">
        <f aca="false">SUM(H599:K599)</f>
        <v>0</v>
      </c>
      <c r="M599" s="1" t="str">
        <f aca="false">IF(L599&gt;=2,"High",IF(L599=1,"Medium","Low"))</f>
        <v>Low</v>
      </c>
    </row>
    <row r="600" customFormat="false" ht="15" hidden="false" customHeight="true" outlineLevel="0" collapsed="false">
      <c r="A600" s="1" t="str">
        <f aca="false">Transactions!A600</f>
        <v>TXN500223</v>
      </c>
      <c r="B600" s="1" t="str">
        <f aca="false">Transactions!B600</f>
        <v>ACC1009</v>
      </c>
      <c r="C600" s="1" t="str">
        <f aca="false">Transactions!I600</f>
        <v>2026-02-07</v>
      </c>
      <c r="D600" s="1" t="n">
        <f aca="false">Transactions!J600</f>
        <v>9</v>
      </c>
      <c r="E600" s="1" t="n">
        <f aca="false">Transactions!D600</f>
        <v>123.67</v>
      </c>
      <c r="F600" s="1" t="str">
        <f aca="false">Transactions!H600</f>
        <v>POS</v>
      </c>
      <c r="G600" s="1" t="str">
        <f aca="false">Transactions!G600</f>
        <v>Travel</v>
      </c>
      <c r="H600" s="1" t="n">
        <f aca="false">IF(COUNTIFS($B$2:$B$1489,B600,$C$2:$C$1489,C600,$D$2:$D$1489,D600)&gt;6,1,0)</f>
        <v>0</v>
      </c>
      <c r="I600" s="1" t="n">
        <f aca="false">IF(AND(F600="Wire",E600&gt;=1000,MOD(E600,1000)=0),1,0)</f>
        <v>0</v>
      </c>
      <c r="J600" s="1" t="n">
        <f aca="false">IF(AND(F600="ATM",E600&gt;2000,D600&lt;=4),1,0)</f>
        <v>0</v>
      </c>
      <c r="K600" s="1" t="n">
        <f aca="false">IF(COUNTIF('SQL Findings'!$A$4:$A$18,B600)&gt;0,1,0)</f>
        <v>1</v>
      </c>
      <c r="L600" s="1" t="n">
        <f aca="false">SUM(H600:K600)</f>
        <v>1</v>
      </c>
      <c r="M600" s="1" t="str">
        <f aca="false">IF(L600&gt;=2,"High",IF(L600=1,"Medium","Low"))</f>
        <v>Medium</v>
      </c>
    </row>
    <row r="601" customFormat="false" ht="15" hidden="false" customHeight="true" outlineLevel="0" collapsed="false">
      <c r="A601" s="1" t="str">
        <f aca="false">Transactions!A601</f>
        <v>TXN501223</v>
      </c>
      <c r="B601" s="1" t="str">
        <f aca="false">Transactions!B601</f>
        <v>ACC1054</v>
      </c>
      <c r="C601" s="1" t="str">
        <f aca="false">Transactions!I601</f>
        <v>2026-02-07</v>
      </c>
      <c r="D601" s="1" t="n">
        <f aca="false">Transactions!J601</f>
        <v>11</v>
      </c>
      <c r="E601" s="1" t="n">
        <f aca="false">Transactions!D601</f>
        <v>117.97</v>
      </c>
      <c r="F601" s="1" t="str">
        <f aca="false">Transactions!H601</f>
        <v>Online</v>
      </c>
      <c r="G601" s="1" t="str">
        <f aca="false">Transactions!G601</f>
        <v>Utilities</v>
      </c>
      <c r="H601" s="1" t="n">
        <f aca="false">IF(COUNTIFS($B$2:$B$1489,B601,$C$2:$C$1489,C601,$D$2:$D$1489,D601)&gt;6,1,0)</f>
        <v>0</v>
      </c>
      <c r="I601" s="1" t="n">
        <f aca="false">IF(AND(F601="Wire",E601&gt;=1000,MOD(E601,1000)=0),1,0)</f>
        <v>0</v>
      </c>
      <c r="J601" s="1" t="n">
        <f aca="false">IF(AND(F601="ATM",E601&gt;2000,D601&lt;=4),1,0)</f>
        <v>0</v>
      </c>
      <c r="K601" s="1" t="n">
        <f aca="false">IF(COUNTIF('SQL Findings'!$A$4:$A$18,B601)&gt;0,1,0)</f>
        <v>0</v>
      </c>
      <c r="L601" s="1" t="n">
        <f aca="false">SUM(H601:K601)</f>
        <v>0</v>
      </c>
      <c r="M601" s="1" t="str">
        <f aca="false">IF(L601&gt;=2,"High",IF(L601=1,"Medium","Low"))</f>
        <v>Low</v>
      </c>
    </row>
    <row r="602" customFormat="false" ht="15" hidden="false" customHeight="true" outlineLevel="0" collapsed="false">
      <c r="A602" s="1" t="str">
        <f aca="false">Transactions!A602</f>
        <v>TXN500086</v>
      </c>
      <c r="B602" s="1" t="str">
        <f aca="false">Transactions!B602</f>
        <v>ACC1003</v>
      </c>
      <c r="C602" s="1" t="str">
        <f aca="false">Transactions!I602</f>
        <v>2026-02-07</v>
      </c>
      <c r="D602" s="1" t="n">
        <f aca="false">Transactions!J602</f>
        <v>12</v>
      </c>
      <c r="E602" s="1" t="n">
        <f aca="false">Transactions!D602</f>
        <v>42.45</v>
      </c>
      <c r="F602" s="1" t="str">
        <f aca="false">Transactions!H602</f>
        <v>ATM</v>
      </c>
      <c r="G602" s="1" t="str">
        <f aca="false">Transactions!G602</f>
        <v>Wire Transfer</v>
      </c>
      <c r="H602" s="1" t="n">
        <f aca="false">IF(COUNTIFS($B$2:$B$1489,B602,$C$2:$C$1489,C602,$D$2:$D$1489,D602)&gt;6,1,0)</f>
        <v>0</v>
      </c>
      <c r="I602" s="1" t="n">
        <f aca="false">IF(AND(F602="Wire",E602&gt;=1000,MOD(E602,1000)=0),1,0)</f>
        <v>0</v>
      </c>
      <c r="J602" s="1" t="n">
        <f aca="false">IF(AND(F602="ATM",E602&gt;2000,D602&lt;=4),1,0)</f>
        <v>0</v>
      </c>
      <c r="K602" s="1" t="n">
        <f aca="false">IF(COUNTIF('SQL Findings'!$A$4:$A$18,B602)&gt;0,1,0)</f>
        <v>0</v>
      </c>
      <c r="L602" s="1" t="n">
        <f aca="false">SUM(H602:K602)</f>
        <v>0</v>
      </c>
      <c r="M602" s="1" t="str">
        <f aca="false">IF(L602&gt;=2,"High",IF(L602=1,"Medium","Low"))</f>
        <v>Low</v>
      </c>
    </row>
    <row r="603" customFormat="false" ht="15" hidden="false" customHeight="true" outlineLevel="0" collapsed="false">
      <c r="A603" s="1" t="str">
        <f aca="false">Transactions!A603</f>
        <v>TXN500885</v>
      </c>
      <c r="B603" s="1" t="str">
        <f aca="false">Transactions!B603</f>
        <v>ACC1038</v>
      </c>
      <c r="C603" s="1" t="str">
        <f aca="false">Transactions!I603</f>
        <v>2026-02-07</v>
      </c>
      <c r="D603" s="1" t="n">
        <f aca="false">Transactions!J603</f>
        <v>12</v>
      </c>
      <c r="E603" s="1" t="n">
        <f aca="false">Transactions!D603</f>
        <v>123.19</v>
      </c>
      <c r="F603" s="1" t="str">
        <f aca="false">Transactions!H603</f>
        <v>POS</v>
      </c>
      <c r="G603" s="1" t="str">
        <f aca="false">Transactions!G603</f>
        <v>Electronics</v>
      </c>
      <c r="H603" s="1" t="n">
        <f aca="false">IF(COUNTIFS($B$2:$B$1489,B603,$C$2:$C$1489,C603,$D$2:$D$1489,D603)&gt;6,1,0)</f>
        <v>0</v>
      </c>
      <c r="I603" s="1" t="n">
        <f aca="false">IF(AND(F603="Wire",E603&gt;=1000,MOD(E603,1000)=0),1,0)</f>
        <v>0</v>
      </c>
      <c r="J603" s="1" t="n">
        <f aca="false">IF(AND(F603="ATM",E603&gt;2000,D603&lt;=4),1,0)</f>
        <v>0</v>
      </c>
      <c r="K603" s="1" t="n">
        <f aca="false">IF(COUNTIF('SQL Findings'!$A$4:$A$18,B603)&gt;0,1,0)</f>
        <v>0</v>
      </c>
      <c r="L603" s="1" t="n">
        <f aca="false">SUM(H603:K603)</f>
        <v>0</v>
      </c>
      <c r="M603" s="1" t="str">
        <f aca="false">IF(L603&gt;=2,"High",IF(L603=1,"Medium","Low"))</f>
        <v>Low</v>
      </c>
    </row>
    <row r="604" customFormat="false" ht="15" hidden="false" customHeight="true" outlineLevel="0" collapsed="false">
      <c r="A604" s="1" t="str">
        <f aca="false">Transactions!A604</f>
        <v>TXN500548</v>
      </c>
      <c r="B604" s="1" t="str">
        <f aca="false">Transactions!B604</f>
        <v>ACC1024</v>
      </c>
      <c r="C604" s="1" t="str">
        <f aca="false">Transactions!I604</f>
        <v>2026-02-07</v>
      </c>
      <c r="D604" s="1" t="n">
        <f aca="false">Transactions!J604</f>
        <v>16</v>
      </c>
      <c r="E604" s="1" t="n">
        <f aca="false">Transactions!D604</f>
        <v>55.55</v>
      </c>
      <c r="F604" s="1" t="str">
        <f aca="false">Transactions!H604</f>
        <v>POS</v>
      </c>
      <c r="G604" s="1" t="str">
        <f aca="false">Transactions!G604</f>
        <v>Electronics</v>
      </c>
      <c r="H604" s="1" t="n">
        <f aca="false">IF(COUNTIFS($B$2:$B$1489,B604,$C$2:$C$1489,C604,$D$2:$D$1489,D604)&gt;6,1,0)</f>
        <v>0</v>
      </c>
      <c r="I604" s="1" t="n">
        <f aca="false">IF(AND(F604="Wire",E604&gt;=1000,MOD(E604,1000)=0),1,0)</f>
        <v>0</v>
      </c>
      <c r="J604" s="1" t="n">
        <f aca="false">IF(AND(F604="ATM",E604&gt;2000,D604&lt;=4),1,0)</f>
        <v>0</v>
      </c>
      <c r="K604" s="1" t="n">
        <f aca="false">IF(COUNTIF('SQL Findings'!$A$4:$A$18,B604)&gt;0,1,0)</f>
        <v>1</v>
      </c>
      <c r="L604" s="1" t="n">
        <f aca="false">SUM(H604:K604)</f>
        <v>1</v>
      </c>
      <c r="M604" s="1" t="str">
        <f aca="false">IF(L604&gt;=2,"High",IF(L604=1,"Medium","Low"))</f>
        <v>Medium</v>
      </c>
    </row>
    <row r="605" customFormat="false" ht="15" hidden="false" customHeight="true" outlineLevel="0" collapsed="false">
      <c r="A605" s="1" t="str">
        <f aca="false">Transactions!A605</f>
        <v>TXN500322</v>
      </c>
      <c r="B605" s="1" t="str">
        <f aca="false">Transactions!B605</f>
        <v>ACC1014</v>
      </c>
      <c r="C605" s="1" t="str">
        <f aca="false">Transactions!I605</f>
        <v>2026-02-07</v>
      </c>
      <c r="D605" s="1" t="n">
        <f aca="false">Transactions!J605</f>
        <v>17</v>
      </c>
      <c r="E605" s="1" t="n">
        <f aca="false">Transactions!D605</f>
        <v>113.94</v>
      </c>
      <c r="F605" s="1" t="str">
        <f aca="false">Transactions!H605</f>
        <v>ATM</v>
      </c>
      <c r="G605" s="1" t="str">
        <f aca="false">Transactions!G605</f>
        <v>Retail</v>
      </c>
      <c r="H605" s="1" t="n">
        <f aca="false">IF(COUNTIFS($B$2:$B$1489,B605,$C$2:$C$1489,C605,$D$2:$D$1489,D605)&gt;6,1,0)</f>
        <v>0</v>
      </c>
      <c r="I605" s="1" t="n">
        <f aca="false">IF(AND(F605="Wire",E605&gt;=1000,MOD(E605,1000)=0),1,0)</f>
        <v>0</v>
      </c>
      <c r="J605" s="1" t="n">
        <f aca="false">IF(AND(F605="ATM",E605&gt;2000,D605&lt;=4),1,0)</f>
        <v>0</v>
      </c>
      <c r="K605" s="1" t="n">
        <f aca="false">IF(COUNTIF('SQL Findings'!$A$4:$A$18,B605)&gt;0,1,0)</f>
        <v>1</v>
      </c>
      <c r="L605" s="1" t="n">
        <f aca="false">SUM(H605:K605)</f>
        <v>1</v>
      </c>
      <c r="M605" s="1" t="str">
        <f aca="false">IF(L605&gt;=2,"High",IF(L605=1,"Medium","Low"))</f>
        <v>Medium</v>
      </c>
    </row>
    <row r="606" customFormat="false" ht="15" hidden="false" customHeight="true" outlineLevel="0" collapsed="false">
      <c r="A606" s="1" t="str">
        <f aca="false">Transactions!A606</f>
        <v>TXN500947</v>
      </c>
      <c r="B606" s="1" t="str">
        <f aca="false">Transactions!B606</f>
        <v>ACC1041</v>
      </c>
      <c r="C606" s="1" t="str">
        <f aca="false">Transactions!I606</f>
        <v>2026-02-07</v>
      </c>
      <c r="D606" s="1" t="n">
        <f aca="false">Transactions!J606</f>
        <v>22</v>
      </c>
      <c r="E606" s="1" t="n">
        <f aca="false">Transactions!D606</f>
        <v>16.9</v>
      </c>
      <c r="F606" s="1" t="str">
        <f aca="false">Transactions!H606</f>
        <v>ATM</v>
      </c>
      <c r="G606" s="1" t="str">
        <f aca="false">Transactions!G606</f>
        <v>Utilities</v>
      </c>
      <c r="H606" s="1" t="n">
        <f aca="false">IF(COUNTIFS($B$2:$B$1489,B606,$C$2:$C$1489,C606,$D$2:$D$1489,D606)&gt;6,1,0)</f>
        <v>0</v>
      </c>
      <c r="I606" s="1" t="n">
        <f aca="false">IF(AND(F606="Wire",E606&gt;=1000,MOD(E606,1000)=0),1,0)</f>
        <v>0</v>
      </c>
      <c r="J606" s="1" t="n">
        <f aca="false">IF(AND(F606="ATM",E606&gt;2000,D606&lt;=4),1,0)</f>
        <v>0</v>
      </c>
      <c r="K606" s="1" t="n">
        <f aca="false">IF(COUNTIF('SQL Findings'!$A$4:$A$18,B606)&gt;0,1,0)</f>
        <v>1</v>
      </c>
      <c r="L606" s="1" t="n">
        <f aca="false">SUM(H606:K606)</f>
        <v>1</v>
      </c>
      <c r="M606" s="1" t="str">
        <f aca="false">IF(L606&gt;=2,"High",IF(L606=1,"Medium","Low"))</f>
        <v>Medium</v>
      </c>
    </row>
    <row r="607" customFormat="false" ht="15" hidden="false" customHeight="true" outlineLevel="0" collapsed="false">
      <c r="A607" s="1" t="str">
        <f aca="false">Transactions!A607</f>
        <v>TXN500759</v>
      </c>
      <c r="B607" s="1" t="str">
        <f aca="false">Transactions!B607</f>
        <v>ACC1033</v>
      </c>
      <c r="C607" s="1" t="str">
        <f aca="false">Transactions!I607</f>
        <v>2026-02-07</v>
      </c>
      <c r="D607" s="1" t="n">
        <f aca="false">Transactions!J607</f>
        <v>22</v>
      </c>
      <c r="E607" s="1" t="n">
        <f aca="false">Transactions!D607</f>
        <v>30.8</v>
      </c>
      <c r="F607" s="1" t="str">
        <f aca="false">Transactions!H607</f>
        <v>Online</v>
      </c>
      <c r="G607" s="1" t="str">
        <f aca="false">Transactions!G607</f>
        <v>Electronics</v>
      </c>
      <c r="H607" s="1" t="n">
        <f aca="false">IF(COUNTIFS($B$2:$B$1489,B607,$C$2:$C$1489,C607,$D$2:$D$1489,D607)&gt;6,1,0)</f>
        <v>0</v>
      </c>
      <c r="I607" s="1" t="n">
        <f aca="false">IF(AND(F607="Wire",E607&gt;=1000,MOD(E607,1000)=0),1,0)</f>
        <v>0</v>
      </c>
      <c r="J607" s="1" t="n">
        <f aca="false">IF(AND(F607="ATM",E607&gt;2000,D607&lt;=4),1,0)</f>
        <v>0</v>
      </c>
      <c r="K607" s="1" t="n">
        <f aca="false">IF(COUNTIF('SQL Findings'!$A$4:$A$18,B607)&gt;0,1,0)</f>
        <v>0</v>
      </c>
      <c r="L607" s="1" t="n">
        <f aca="false">SUM(H607:K607)</f>
        <v>0</v>
      </c>
      <c r="M607" s="1" t="str">
        <f aca="false">IF(L607&gt;=2,"High",IF(L607=1,"Medium","Low"))</f>
        <v>Low</v>
      </c>
    </row>
    <row r="608" customFormat="false" ht="15" hidden="false" customHeight="true" outlineLevel="0" collapsed="false">
      <c r="A608" s="1" t="str">
        <f aca="false">Transactions!A608</f>
        <v>TXN501092</v>
      </c>
      <c r="B608" s="1" t="str">
        <f aca="false">Transactions!B608</f>
        <v>ACC1048</v>
      </c>
      <c r="C608" s="1" t="str">
        <f aca="false">Transactions!I608</f>
        <v>2026-02-08</v>
      </c>
      <c r="D608" s="1" t="n">
        <f aca="false">Transactions!J608</f>
        <v>0</v>
      </c>
      <c r="E608" s="1" t="n">
        <f aca="false">Transactions!D608</f>
        <v>64.49</v>
      </c>
      <c r="F608" s="1" t="str">
        <f aca="false">Transactions!H608</f>
        <v>ATM</v>
      </c>
      <c r="G608" s="1" t="str">
        <f aca="false">Transactions!G608</f>
        <v>Utilities</v>
      </c>
      <c r="H608" s="1" t="n">
        <f aca="false">IF(COUNTIFS($B$2:$B$1489,B608,$C$2:$C$1489,C608,$D$2:$D$1489,D608)&gt;6,1,0)</f>
        <v>0</v>
      </c>
      <c r="I608" s="1" t="n">
        <f aca="false">IF(AND(F608="Wire",E608&gt;=1000,MOD(E608,1000)=0),1,0)</f>
        <v>0</v>
      </c>
      <c r="J608" s="1" t="n">
        <f aca="false">IF(AND(F608="ATM",E608&gt;2000,D608&lt;=4),1,0)</f>
        <v>0</v>
      </c>
      <c r="K608" s="1" t="n">
        <f aca="false">IF(COUNTIF('SQL Findings'!$A$4:$A$18,B608)&gt;0,1,0)</f>
        <v>0</v>
      </c>
      <c r="L608" s="1" t="n">
        <f aca="false">SUM(H608:K608)</f>
        <v>0</v>
      </c>
      <c r="M608" s="1" t="str">
        <f aca="false">IF(L608&gt;=2,"High",IF(L608=1,"Medium","Low"))</f>
        <v>Low</v>
      </c>
    </row>
    <row r="609" customFormat="false" ht="15" hidden="false" customHeight="true" outlineLevel="0" collapsed="false">
      <c r="A609" s="1" t="str">
        <f aca="false">Transactions!A609</f>
        <v>TXN501159</v>
      </c>
      <c r="B609" s="1" t="str">
        <f aca="false">Transactions!B609</f>
        <v>ACC1051</v>
      </c>
      <c r="C609" s="1" t="str">
        <f aca="false">Transactions!I609</f>
        <v>2026-02-08</v>
      </c>
      <c r="D609" s="1" t="n">
        <f aca="false">Transactions!J609</f>
        <v>4</v>
      </c>
      <c r="E609" s="1" t="n">
        <f aca="false">Transactions!D609</f>
        <v>161.35</v>
      </c>
      <c r="F609" s="1" t="str">
        <f aca="false">Transactions!H609</f>
        <v>ATM</v>
      </c>
      <c r="G609" s="1" t="str">
        <f aca="false">Transactions!G609</f>
        <v>Dining</v>
      </c>
      <c r="H609" s="1" t="n">
        <f aca="false">IF(COUNTIFS($B$2:$B$1489,B609,$C$2:$C$1489,C609,$D$2:$D$1489,D609)&gt;6,1,0)</f>
        <v>0</v>
      </c>
      <c r="I609" s="1" t="n">
        <f aca="false">IF(AND(F609="Wire",E609&gt;=1000,MOD(E609,1000)=0),1,0)</f>
        <v>0</v>
      </c>
      <c r="J609" s="1" t="n">
        <f aca="false">IF(AND(F609="ATM",E609&gt;2000,D609&lt;=4),1,0)</f>
        <v>0</v>
      </c>
      <c r="K609" s="1" t="n">
        <f aca="false">IF(COUNTIF('SQL Findings'!$A$4:$A$18,B609)&gt;0,1,0)</f>
        <v>0</v>
      </c>
      <c r="L609" s="1" t="n">
        <f aca="false">SUM(H609:K609)</f>
        <v>0</v>
      </c>
      <c r="M609" s="1" t="str">
        <f aca="false">IF(L609&gt;=2,"High",IF(L609=1,"Medium","Low"))</f>
        <v>Low</v>
      </c>
    </row>
    <row r="610" customFormat="false" ht="15" hidden="false" customHeight="true" outlineLevel="0" collapsed="false">
      <c r="A610" s="1" t="str">
        <f aca="false">Transactions!A610</f>
        <v>TXN500436</v>
      </c>
      <c r="B610" s="1" t="str">
        <f aca="false">Transactions!B610</f>
        <v>ACC1019</v>
      </c>
      <c r="C610" s="1" t="str">
        <f aca="false">Transactions!I610</f>
        <v>2026-02-08</v>
      </c>
      <c r="D610" s="1" t="n">
        <f aca="false">Transactions!J610</f>
        <v>7</v>
      </c>
      <c r="E610" s="1" t="n">
        <f aca="false">Transactions!D610</f>
        <v>71.28</v>
      </c>
      <c r="F610" s="1" t="str">
        <f aca="false">Transactions!H610</f>
        <v>ATM</v>
      </c>
      <c r="G610" s="1" t="str">
        <f aca="false">Transactions!G610</f>
        <v>Utilities</v>
      </c>
      <c r="H610" s="1" t="n">
        <f aca="false">IF(COUNTIFS($B$2:$B$1489,B610,$C$2:$C$1489,C610,$D$2:$D$1489,D610)&gt;6,1,0)</f>
        <v>0</v>
      </c>
      <c r="I610" s="1" t="n">
        <f aca="false">IF(AND(F610="Wire",E610&gt;=1000,MOD(E610,1000)=0),1,0)</f>
        <v>0</v>
      </c>
      <c r="J610" s="1" t="n">
        <f aca="false">IF(AND(F610="ATM",E610&gt;2000,D610&lt;=4),1,0)</f>
        <v>0</v>
      </c>
      <c r="K610" s="1" t="n">
        <f aca="false">IF(COUNTIF('SQL Findings'!$A$4:$A$18,B610)&gt;0,1,0)</f>
        <v>0</v>
      </c>
      <c r="L610" s="1" t="n">
        <f aca="false">SUM(H610:K610)</f>
        <v>0</v>
      </c>
      <c r="M610" s="1" t="str">
        <f aca="false">IF(L610&gt;=2,"High",IF(L610=1,"Medium","Low"))</f>
        <v>Low</v>
      </c>
    </row>
    <row r="611" customFormat="false" ht="15" hidden="false" customHeight="true" outlineLevel="0" collapsed="false">
      <c r="A611" s="1" t="str">
        <f aca="false">Transactions!A611</f>
        <v>TXN500214</v>
      </c>
      <c r="B611" s="1" t="str">
        <f aca="false">Transactions!B611</f>
        <v>ACC1009</v>
      </c>
      <c r="C611" s="1" t="str">
        <f aca="false">Transactions!I611</f>
        <v>2026-02-08</v>
      </c>
      <c r="D611" s="1" t="n">
        <f aca="false">Transactions!J611</f>
        <v>7</v>
      </c>
      <c r="E611" s="1" t="n">
        <f aca="false">Transactions!D611</f>
        <v>119.85</v>
      </c>
      <c r="F611" s="1" t="str">
        <f aca="false">Transactions!H611</f>
        <v>POS</v>
      </c>
      <c r="G611" s="1" t="str">
        <f aca="false">Transactions!G611</f>
        <v>Online Marketplace</v>
      </c>
      <c r="H611" s="1" t="n">
        <f aca="false">IF(COUNTIFS($B$2:$B$1489,B611,$C$2:$C$1489,C611,$D$2:$D$1489,D611)&gt;6,1,0)</f>
        <v>0</v>
      </c>
      <c r="I611" s="1" t="n">
        <f aca="false">IF(AND(F611="Wire",E611&gt;=1000,MOD(E611,1000)=0),1,0)</f>
        <v>0</v>
      </c>
      <c r="J611" s="1" t="n">
        <f aca="false">IF(AND(F611="ATM",E611&gt;2000,D611&lt;=4),1,0)</f>
        <v>0</v>
      </c>
      <c r="K611" s="1" t="n">
        <f aca="false">IF(COUNTIF('SQL Findings'!$A$4:$A$18,B611)&gt;0,1,0)</f>
        <v>1</v>
      </c>
      <c r="L611" s="1" t="n">
        <f aca="false">SUM(H611:K611)</f>
        <v>1</v>
      </c>
      <c r="M611" s="1" t="str">
        <f aca="false">IF(L611&gt;=2,"High",IF(L611=1,"Medium","Low"))</f>
        <v>Medium</v>
      </c>
    </row>
    <row r="612" customFormat="false" ht="15" hidden="false" customHeight="true" outlineLevel="0" collapsed="false">
      <c r="A612" s="1" t="str">
        <f aca="false">Transactions!A612</f>
        <v>TXN501114</v>
      </c>
      <c r="B612" s="1" t="str">
        <f aca="false">Transactions!B612</f>
        <v>ACC1049</v>
      </c>
      <c r="C612" s="1" t="str">
        <f aca="false">Transactions!I612</f>
        <v>2026-02-08</v>
      </c>
      <c r="D612" s="1" t="n">
        <f aca="false">Transactions!J612</f>
        <v>7</v>
      </c>
      <c r="E612" s="1" t="n">
        <f aca="false">Transactions!D612</f>
        <v>104.18</v>
      </c>
      <c r="F612" s="1" t="str">
        <f aca="false">Transactions!H612</f>
        <v>ATM</v>
      </c>
      <c r="G612" s="1" t="str">
        <f aca="false">Transactions!G612</f>
        <v>Retail</v>
      </c>
      <c r="H612" s="1" t="n">
        <f aca="false">IF(COUNTIFS($B$2:$B$1489,B612,$C$2:$C$1489,C612,$D$2:$D$1489,D612)&gt;6,1,0)</f>
        <v>0</v>
      </c>
      <c r="I612" s="1" t="n">
        <f aca="false">IF(AND(F612="Wire",E612&gt;=1000,MOD(E612,1000)=0),1,0)</f>
        <v>0</v>
      </c>
      <c r="J612" s="1" t="n">
        <f aca="false">IF(AND(F612="ATM",E612&gt;2000,D612&lt;=4),1,0)</f>
        <v>0</v>
      </c>
      <c r="K612" s="1" t="n">
        <f aca="false">IF(COUNTIF('SQL Findings'!$A$4:$A$18,B612)&gt;0,1,0)</f>
        <v>0</v>
      </c>
      <c r="L612" s="1" t="n">
        <f aca="false">SUM(H612:K612)</f>
        <v>0</v>
      </c>
      <c r="M612" s="1" t="str">
        <f aca="false">IF(L612&gt;=2,"High",IF(L612=1,"Medium","Low"))</f>
        <v>Low</v>
      </c>
    </row>
    <row r="613" customFormat="false" ht="15" hidden="false" customHeight="true" outlineLevel="0" collapsed="false">
      <c r="A613" s="1" t="str">
        <f aca="false">Transactions!A613</f>
        <v>TXN500496</v>
      </c>
      <c r="B613" s="1" t="str">
        <f aca="false">Transactions!B613</f>
        <v>ACC1022</v>
      </c>
      <c r="C613" s="1" t="str">
        <f aca="false">Transactions!I613</f>
        <v>2026-02-08</v>
      </c>
      <c r="D613" s="1" t="n">
        <f aca="false">Transactions!J613</f>
        <v>8</v>
      </c>
      <c r="E613" s="1" t="n">
        <f aca="false">Transactions!D613</f>
        <v>108.31</v>
      </c>
      <c r="F613" s="1" t="str">
        <f aca="false">Transactions!H613</f>
        <v>ATM</v>
      </c>
      <c r="G613" s="1" t="str">
        <f aca="false">Transactions!G613</f>
        <v>Travel</v>
      </c>
      <c r="H613" s="1" t="n">
        <f aca="false">IF(COUNTIFS($B$2:$B$1489,B613,$C$2:$C$1489,C613,$D$2:$D$1489,D613)&gt;6,1,0)</f>
        <v>0</v>
      </c>
      <c r="I613" s="1" t="n">
        <f aca="false">IF(AND(F613="Wire",E613&gt;=1000,MOD(E613,1000)=0),1,0)</f>
        <v>0</v>
      </c>
      <c r="J613" s="1" t="n">
        <f aca="false">IF(AND(F613="ATM",E613&gt;2000,D613&lt;=4),1,0)</f>
        <v>0</v>
      </c>
      <c r="K613" s="1" t="n">
        <f aca="false">IF(COUNTIF('SQL Findings'!$A$4:$A$18,B613)&gt;0,1,0)</f>
        <v>0</v>
      </c>
      <c r="L613" s="1" t="n">
        <f aca="false">SUM(H613:K613)</f>
        <v>0</v>
      </c>
      <c r="M613" s="1" t="str">
        <f aca="false">IF(L613&gt;=2,"High",IF(L613=1,"Medium","Low"))</f>
        <v>Low</v>
      </c>
    </row>
    <row r="614" customFormat="false" ht="15" hidden="false" customHeight="true" outlineLevel="0" collapsed="false">
      <c r="A614" s="1" t="str">
        <f aca="false">Transactions!A614</f>
        <v>TXN500822</v>
      </c>
      <c r="B614" s="1" t="str">
        <f aca="false">Transactions!B614</f>
        <v>ACC1035</v>
      </c>
      <c r="C614" s="1" t="str">
        <f aca="false">Transactions!I614</f>
        <v>2026-02-08</v>
      </c>
      <c r="D614" s="1" t="n">
        <f aca="false">Transactions!J614</f>
        <v>10</v>
      </c>
      <c r="E614" s="1" t="n">
        <f aca="false">Transactions!D614</f>
        <v>237.08</v>
      </c>
      <c r="F614" s="1" t="str">
        <f aca="false">Transactions!H614</f>
        <v>POS</v>
      </c>
      <c r="G614" s="1" t="str">
        <f aca="false">Transactions!G614</f>
        <v>Travel</v>
      </c>
      <c r="H614" s="1" t="n">
        <f aca="false">IF(COUNTIFS($B$2:$B$1489,B614,$C$2:$C$1489,C614,$D$2:$D$1489,D614)&gt;6,1,0)</f>
        <v>0</v>
      </c>
      <c r="I614" s="1" t="n">
        <f aca="false">IF(AND(F614="Wire",E614&gt;=1000,MOD(E614,1000)=0),1,0)</f>
        <v>0</v>
      </c>
      <c r="J614" s="1" t="n">
        <f aca="false">IF(AND(F614="ATM",E614&gt;2000,D614&lt;=4),1,0)</f>
        <v>0</v>
      </c>
      <c r="K614" s="1" t="n">
        <f aca="false">IF(COUNTIF('SQL Findings'!$A$4:$A$18,B614)&gt;0,1,0)</f>
        <v>0</v>
      </c>
      <c r="L614" s="1" t="n">
        <f aca="false">SUM(H614:K614)</f>
        <v>0</v>
      </c>
      <c r="M614" s="1" t="str">
        <f aca="false">IF(L614&gt;=2,"High",IF(L614=1,"Medium","Low"))</f>
        <v>Low</v>
      </c>
    </row>
    <row r="615" customFormat="false" ht="15" hidden="false" customHeight="true" outlineLevel="0" collapsed="false">
      <c r="A615" s="1" t="str">
        <f aca="false">Transactions!A615</f>
        <v>TXN500486</v>
      </c>
      <c r="B615" s="1" t="str">
        <f aca="false">Transactions!B615</f>
        <v>ACC1021</v>
      </c>
      <c r="C615" s="1" t="str">
        <f aca="false">Transactions!I615</f>
        <v>2026-02-08</v>
      </c>
      <c r="D615" s="1" t="n">
        <f aca="false">Transactions!J615</f>
        <v>11</v>
      </c>
      <c r="E615" s="1" t="n">
        <f aca="false">Transactions!D615</f>
        <v>18.54</v>
      </c>
      <c r="F615" s="1" t="str">
        <f aca="false">Transactions!H615</f>
        <v>ATM</v>
      </c>
      <c r="G615" s="1" t="str">
        <f aca="false">Transactions!G615</f>
        <v>Wire Transfer</v>
      </c>
      <c r="H615" s="1" t="n">
        <f aca="false">IF(COUNTIFS($B$2:$B$1489,B615,$C$2:$C$1489,C615,$D$2:$D$1489,D615)&gt;6,1,0)</f>
        <v>0</v>
      </c>
      <c r="I615" s="1" t="n">
        <f aca="false">IF(AND(F615="Wire",E615&gt;=1000,MOD(E615,1000)=0),1,0)</f>
        <v>0</v>
      </c>
      <c r="J615" s="1" t="n">
        <f aca="false">IF(AND(F615="ATM",E615&gt;2000,D615&lt;=4),1,0)</f>
        <v>0</v>
      </c>
      <c r="K615" s="1" t="n">
        <f aca="false">IF(COUNTIF('SQL Findings'!$A$4:$A$18,B615)&gt;0,1,0)</f>
        <v>0</v>
      </c>
      <c r="L615" s="1" t="n">
        <f aca="false">SUM(H615:K615)</f>
        <v>0</v>
      </c>
      <c r="M615" s="1" t="str">
        <f aca="false">IF(L615&gt;=2,"High",IF(L615=1,"Medium","Low"))</f>
        <v>Low</v>
      </c>
    </row>
    <row r="616" customFormat="false" ht="15" hidden="false" customHeight="true" outlineLevel="0" collapsed="false">
      <c r="A616" s="1" t="str">
        <f aca="false">Transactions!A616</f>
        <v>TXN500463</v>
      </c>
      <c r="B616" s="1" t="str">
        <f aca="false">Transactions!B616</f>
        <v>ACC1020</v>
      </c>
      <c r="C616" s="1" t="str">
        <f aca="false">Transactions!I616</f>
        <v>2026-02-08</v>
      </c>
      <c r="D616" s="1" t="n">
        <f aca="false">Transactions!J616</f>
        <v>13</v>
      </c>
      <c r="E616" s="1" t="n">
        <f aca="false">Transactions!D616</f>
        <v>35.53</v>
      </c>
      <c r="F616" s="1" t="str">
        <f aca="false">Transactions!H616</f>
        <v>Online</v>
      </c>
      <c r="G616" s="1" t="str">
        <f aca="false">Transactions!G616</f>
        <v>Retail</v>
      </c>
      <c r="H616" s="1" t="n">
        <f aca="false">IF(COUNTIFS($B$2:$B$1489,B616,$C$2:$C$1489,C616,$D$2:$D$1489,D616)&gt;6,1,0)</f>
        <v>0</v>
      </c>
      <c r="I616" s="1" t="n">
        <f aca="false">IF(AND(F616="Wire",E616&gt;=1000,MOD(E616,1000)=0),1,0)</f>
        <v>0</v>
      </c>
      <c r="J616" s="1" t="n">
        <f aca="false">IF(AND(F616="ATM",E616&gt;2000,D616&lt;=4),1,0)</f>
        <v>0</v>
      </c>
      <c r="K616" s="1" t="n">
        <f aca="false">IF(COUNTIF('SQL Findings'!$A$4:$A$18,B616)&gt;0,1,0)</f>
        <v>0</v>
      </c>
      <c r="L616" s="1" t="n">
        <f aca="false">SUM(H616:K616)</f>
        <v>0</v>
      </c>
      <c r="M616" s="1" t="str">
        <f aca="false">IF(L616&gt;=2,"High",IF(L616=1,"Medium","Low"))</f>
        <v>Low</v>
      </c>
    </row>
    <row r="617" customFormat="false" ht="15" hidden="false" customHeight="true" outlineLevel="0" collapsed="false">
      <c r="A617" s="1" t="str">
        <f aca="false">Transactions!A617</f>
        <v>TXN500234</v>
      </c>
      <c r="B617" s="1" t="str">
        <f aca="false">Transactions!B617</f>
        <v>ACC1010</v>
      </c>
      <c r="C617" s="1" t="str">
        <f aca="false">Transactions!I617</f>
        <v>2026-02-08</v>
      </c>
      <c r="D617" s="1" t="n">
        <f aca="false">Transactions!J617</f>
        <v>14</v>
      </c>
      <c r="E617" s="1" t="n">
        <f aca="false">Transactions!D617</f>
        <v>37.1</v>
      </c>
      <c r="F617" s="1" t="str">
        <f aca="false">Transactions!H617</f>
        <v>POS</v>
      </c>
      <c r="G617" s="1" t="str">
        <f aca="false">Transactions!G617</f>
        <v>Travel</v>
      </c>
      <c r="H617" s="1" t="n">
        <f aca="false">IF(COUNTIFS($B$2:$B$1489,B617,$C$2:$C$1489,C617,$D$2:$D$1489,D617)&gt;6,1,0)</f>
        <v>0</v>
      </c>
      <c r="I617" s="1" t="n">
        <f aca="false">IF(AND(F617="Wire",E617&gt;=1000,MOD(E617,1000)=0),1,0)</f>
        <v>0</v>
      </c>
      <c r="J617" s="1" t="n">
        <f aca="false">IF(AND(F617="ATM",E617&gt;2000,D617&lt;=4),1,0)</f>
        <v>0</v>
      </c>
      <c r="K617" s="1" t="n">
        <f aca="false">IF(COUNTIF('SQL Findings'!$A$4:$A$18,B617)&gt;0,1,0)</f>
        <v>0</v>
      </c>
      <c r="L617" s="1" t="n">
        <f aca="false">SUM(H617:K617)</f>
        <v>0</v>
      </c>
      <c r="M617" s="1" t="str">
        <f aca="false">IF(L617&gt;=2,"High",IF(L617=1,"Medium","Low"))</f>
        <v>Low</v>
      </c>
    </row>
    <row r="618" customFormat="false" ht="15" hidden="false" customHeight="true" outlineLevel="0" collapsed="false">
      <c r="A618" s="1" t="str">
        <f aca="false">Transactions!A618</f>
        <v>TXN500191</v>
      </c>
      <c r="B618" s="1" t="str">
        <f aca="false">Transactions!B618</f>
        <v>ACC1008</v>
      </c>
      <c r="C618" s="1" t="str">
        <f aca="false">Transactions!I618</f>
        <v>2026-02-08</v>
      </c>
      <c r="D618" s="1" t="n">
        <f aca="false">Transactions!J618</f>
        <v>17</v>
      </c>
      <c r="E618" s="1" t="n">
        <f aca="false">Transactions!D618</f>
        <v>44.62</v>
      </c>
      <c r="F618" s="1" t="str">
        <f aca="false">Transactions!H618</f>
        <v>POS</v>
      </c>
      <c r="G618" s="1" t="str">
        <f aca="false">Transactions!G618</f>
        <v>Online Marketplace</v>
      </c>
      <c r="H618" s="1" t="n">
        <f aca="false">IF(COUNTIFS($B$2:$B$1489,B618,$C$2:$C$1489,C618,$D$2:$D$1489,D618)&gt;6,1,0)</f>
        <v>0</v>
      </c>
      <c r="I618" s="1" t="n">
        <f aca="false">IF(AND(F618="Wire",E618&gt;=1000,MOD(E618,1000)=0),1,0)</f>
        <v>0</v>
      </c>
      <c r="J618" s="1" t="n">
        <f aca="false">IF(AND(F618="ATM",E618&gt;2000,D618&lt;=4),1,0)</f>
        <v>0</v>
      </c>
      <c r="K618" s="1" t="n">
        <f aca="false">IF(COUNTIF('SQL Findings'!$A$4:$A$18,B618)&gt;0,1,0)</f>
        <v>0</v>
      </c>
      <c r="L618" s="1" t="n">
        <f aca="false">SUM(H618:K618)</f>
        <v>0</v>
      </c>
      <c r="M618" s="1" t="str">
        <f aca="false">IF(L618&gt;=2,"High",IF(L618=1,"Medium","Low"))</f>
        <v>Low</v>
      </c>
    </row>
    <row r="619" customFormat="false" ht="15" hidden="false" customHeight="true" outlineLevel="0" collapsed="false">
      <c r="A619" s="1" t="str">
        <f aca="false">Transactions!A619</f>
        <v>TXN500495</v>
      </c>
      <c r="B619" s="1" t="str">
        <f aca="false">Transactions!B619</f>
        <v>ACC1022</v>
      </c>
      <c r="C619" s="1" t="str">
        <f aca="false">Transactions!I619</f>
        <v>2026-02-08</v>
      </c>
      <c r="D619" s="1" t="n">
        <f aca="false">Transactions!J619</f>
        <v>18</v>
      </c>
      <c r="E619" s="1" t="n">
        <f aca="false">Transactions!D619</f>
        <v>262.65</v>
      </c>
      <c r="F619" s="1" t="str">
        <f aca="false">Transactions!H619</f>
        <v>Online</v>
      </c>
      <c r="G619" s="1" t="str">
        <f aca="false">Transactions!G619</f>
        <v>Dining</v>
      </c>
      <c r="H619" s="1" t="n">
        <f aca="false">IF(COUNTIFS($B$2:$B$1489,B619,$C$2:$C$1489,C619,$D$2:$D$1489,D619)&gt;6,1,0)</f>
        <v>0</v>
      </c>
      <c r="I619" s="1" t="n">
        <f aca="false">IF(AND(F619="Wire",E619&gt;=1000,MOD(E619,1000)=0),1,0)</f>
        <v>0</v>
      </c>
      <c r="J619" s="1" t="n">
        <f aca="false">IF(AND(F619="ATM",E619&gt;2000,D619&lt;=4),1,0)</f>
        <v>0</v>
      </c>
      <c r="K619" s="1" t="n">
        <f aca="false">IF(COUNTIF('SQL Findings'!$A$4:$A$18,B619)&gt;0,1,0)</f>
        <v>0</v>
      </c>
      <c r="L619" s="1" t="n">
        <f aca="false">SUM(H619:K619)</f>
        <v>0</v>
      </c>
      <c r="M619" s="1" t="str">
        <f aca="false">IF(L619&gt;=2,"High",IF(L619=1,"Medium","Low"))</f>
        <v>Low</v>
      </c>
    </row>
    <row r="620" customFormat="false" ht="15" hidden="false" customHeight="true" outlineLevel="0" collapsed="false">
      <c r="A620" s="1" t="str">
        <f aca="false">Transactions!A620</f>
        <v>TXN500598</v>
      </c>
      <c r="B620" s="1" t="str">
        <f aca="false">Transactions!B620</f>
        <v>ACC1026</v>
      </c>
      <c r="C620" s="1" t="str">
        <f aca="false">Transactions!I620</f>
        <v>2026-02-08</v>
      </c>
      <c r="D620" s="1" t="n">
        <f aca="false">Transactions!J620</f>
        <v>20</v>
      </c>
      <c r="E620" s="1" t="n">
        <f aca="false">Transactions!D620</f>
        <v>27.64</v>
      </c>
      <c r="F620" s="1" t="str">
        <f aca="false">Transactions!H620</f>
        <v>ATM</v>
      </c>
      <c r="G620" s="1" t="str">
        <f aca="false">Transactions!G620</f>
        <v>Electronics</v>
      </c>
      <c r="H620" s="1" t="n">
        <f aca="false">IF(COUNTIFS($B$2:$B$1489,B620,$C$2:$C$1489,C620,$D$2:$D$1489,D620)&gt;6,1,0)</f>
        <v>0</v>
      </c>
      <c r="I620" s="1" t="n">
        <f aca="false">IF(AND(F620="Wire",E620&gt;=1000,MOD(E620,1000)=0),1,0)</f>
        <v>0</v>
      </c>
      <c r="J620" s="1" t="n">
        <f aca="false">IF(AND(F620="ATM",E620&gt;2000,D620&lt;=4),1,0)</f>
        <v>0</v>
      </c>
      <c r="K620" s="1" t="n">
        <f aca="false">IF(COUNTIF('SQL Findings'!$A$4:$A$18,B620)&gt;0,1,0)</f>
        <v>0</v>
      </c>
      <c r="L620" s="1" t="n">
        <f aca="false">SUM(H620:K620)</f>
        <v>0</v>
      </c>
      <c r="M620" s="1" t="str">
        <f aca="false">IF(L620&gt;=2,"High",IF(L620=1,"Medium","Low"))</f>
        <v>Low</v>
      </c>
    </row>
    <row r="621" customFormat="false" ht="15" hidden="false" customHeight="true" outlineLevel="0" collapsed="false">
      <c r="A621" s="1" t="str">
        <f aca="false">Transactions!A621</f>
        <v>TXN500124</v>
      </c>
      <c r="B621" s="1" t="str">
        <f aca="false">Transactions!B621</f>
        <v>ACC1005</v>
      </c>
      <c r="C621" s="1" t="str">
        <f aca="false">Transactions!I621</f>
        <v>2026-02-09</v>
      </c>
      <c r="D621" s="1" t="n">
        <f aca="false">Transactions!J621</f>
        <v>5</v>
      </c>
      <c r="E621" s="1" t="n">
        <f aca="false">Transactions!D621</f>
        <v>18.88</v>
      </c>
      <c r="F621" s="1" t="str">
        <f aca="false">Transactions!H621</f>
        <v>ATM</v>
      </c>
      <c r="G621" s="1" t="str">
        <f aca="false">Transactions!G621</f>
        <v>Utilities</v>
      </c>
      <c r="H621" s="1" t="n">
        <f aca="false">IF(COUNTIFS($B$2:$B$1489,B621,$C$2:$C$1489,C621,$D$2:$D$1489,D621)&gt;6,1,0)</f>
        <v>0</v>
      </c>
      <c r="I621" s="1" t="n">
        <f aca="false">IF(AND(F621="Wire",E621&gt;=1000,MOD(E621,1000)=0),1,0)</f>
        <v>0</v>
      </c>
      <c r="J621" s="1" t="n">
        <f aca="false">IF(AND(F621="ATM",E621&gt;2000,D621&lt;=4),1,0)</f>
        <v>0</v>
      </c>
      <c r="K621" s="1" t="n">
        <f aca="false">IF(COUNTIF('SQL Findings'!$A$4:$A$18,B621)&gt;0,1,0)</f>
        <v>0</v>
      </c>
      <c r="L621" s="1" t="n">
        <f aca="false">SUM(H621:K621)</f>
        <v>0</v>
      </c>
      <c r="M621" s="1" t="str">
        <f aca="false">IF(L621&gt;=2,"High",IF(L621=1,"Medium","Low"))</f>
        <v>Low</v>
      </c>
    </row>
    <row r="622" customFormat="false" ht="15" hidden="false" customHeight="true" outlineLevel="0" collapsed="false">
      <c r="A622" s="1" t="str">
        <f aca="false">Transactions!A622</f>
        <v>TXN500727</v>
      </c>
      <c r="B622" s="1" t="str">
        <f aca="false">Transactions!B622</f>
        <v>ACC1031</v>
      </c>
      <c r="C622" s="1" t="str">
        <f aca="false">Transactions!I622</f>
        <v>2026-02-09</v>
      </c>
      <c r="D622" s="1" t="n">
        <f aca="false">Transactions!J622</f>
        <v>6</v>
      </c>
      <c r="E622" s="1" t="n">
        <f aca="false">Transactions!D622</f>
        <v>67.8</v>
      </c>
      <c r="F622" s="1" t="str">
        <f aca="false">Transactions!H622</f>
        <v>POS</v>
      </c>
      <c r="G622" s="1" t="str">
        <f aca="false">Transactions!G622</f>
        <v>Electronics</v>
      </c>
      <c r="H622" s="1" t="n">
        <f aca="false">IF(COUNTIFS($B$2:$B$1489,B622,$C$2:$C$1489,C622,$D$2:$D$1489,D622)&gt;6,1,0)</f>
        <v>0</v>
      </c>
      <c r="I622" s="1" t="n">
        <f aca="false">IF(AND(F622="Wire",E622&gt;=1000,MOD(E622,1000)=0),1,0)</f>
        <v>0</v>
      </c>
      <c r="J622" s="1" t="n">
        <f aca="false">IF(AND(F622="ATM",E622&gt;2000,D622&lt;=4),1,0)</f>
        <v>0</v>
      </c>
      <c r="K622" s="1" t="n">
        <f aca="false">IF(COUNTIF('SQL Findings'!$A$4:$A$18,B622)&gt;0,1,0)</f>
        <v>0</v>
      </c>
      <c r="L622" s="1" t="n">
        <f aca="false">SUM(H622:K622)</f>
        <v>0</v>
      </c>
      <c r="M622" s="1" t="str">
        <f aca="false">IF(L622&gt;=2,"High",IF(L622=1,"Medium","Low"))</f>
        <v>Low</v>
      </c>
    </row>
    <row r="623" customFormat="false" ht="15" hidden="false" customHeight="true" outlineLevel="0" collapsed="false">
      <c r="A623" s="1" t="str">
        <f aca="false">Transactions!A623</f>
        <v>TXN500320</v>
      </c>
      <c r="B623" s="1" t="str">
        <f aca="false">Transactions!B623</f>
        <v>ACC1014</v>
      </c>
      <c r="C623" s="1" t="str">
        <f aca="false">Transactions!I623</f>
        <v>2026-02-09</v>
      </c>
      <c r="D623" s="1" t="n">
        <f aca="false">Transactions!J623</f>
        <v>6</v>
      </c>
      <c r="E623" s="1" t="n">
        <f aca="false">Transactions!D623</f>
        <v>59.32</v>
      </c>
      <c r="F623" s="1" t="str">
        <f aca="false">Transactions!H623</f>
        <v>Online</v>
      </c>
      <c r="G623" s="1" t="str">
        <f aca="false">Transactions!G623</f>
        <v>Cash Withdrawal</v>
      </c>
      <c r="H623" s="1" t="n">
        <f aca="false">IF(COUNTIFS($B$2:$B$1489,B623,$C$2:$C$1489,C623,$D$2:$D$1489,D623)&gt;6,1,0)</f>
        <v>0</v>
      </c>
      <c r="I623" s="1" t="n">
        <f aca="false">IF(AND(F623="Wire",E623&gt;=1000,MOD(E623,1000)=0),1,0)</f>
        <v>0</v>
      </c>
      <c r="J623" s="1" t="n">
        <f aca="false">IF(AND(F623="ATM",E623&gt;2000,D623&lt;=4),1,0)</f>
        <v>0</v>
      </c>
      <c r="K623" s="1" t="n">
        <f aca="false">IF(COUNTIF('SQL Findings'!$A$4:$A$18,B623)&gt;0,1,0)</f>
        <v>1</v>
      </c>
      <c r="L623" s="1" t="n">
        <f aca="false">SUM(H623:K623)</f>
        <v>1</v>
      </c>
      <c r="M623" s="1" t="str">
        <f aca="false">IF(L623&gt;=2,"High",IF(L623=1,"Medium","Low"))</f>
        <v>Medium</v>
      </c>
    </row>
    <row r="624" customFormat="false" ht="15" hidden="false" customHeight="true" outlineLevel="0" collapsed="false">
      <c r="A624" s="1" t="str">
        <f aca="false">Transactions!A624</f>
        <v>TXN500465</v>
      </c>
      <c r="B624" s="1" t="str">
        <f aca="false">Transactions!B624</f>
        <v>ACC1021</v>
      </c>
      <c r="C624" s="1" t="str">
        <f aca="false">Transactions!I624</f>
        <v>2026-02-09</v>
      </c>
      <c r="D624" s="1" t="n">
        <f aca="false">Transactions!J624</f>
        <v>6</v>
      </c>
      <c r="E624" s="1" t="n">
        <f aca="false">Transactions!D624</f>
        <v>60.27</v>
      </c>
      <c r="F624" s="1" t="str">
        <f aca="false">Transactions!H624</f>
        <v>ATM</v>
      </c>
      <c r="G624" s="1" t="str">
        <f aca="false">Transactions!G624</f>
        <v>Utilities</v>
      </c>
      <c r="H624" s="1" t="n">
        <f aca="false">IF(COUNTIFS($B$2:$B$1489,B624,$C$2:$C$1489,C624,$D$2:$D$1489,D624)&gt;6,1,0)</f>
        <v>0</v>
      </c>
      <c r="I624" s="1" t="n">
        <f aca="false">IF(AND(F624="Wire",E624&gt;=1000,MOD(E624,1000)=0),1,0)</f>
        <v>0</v>
      </c>
      <c r="J624" s="1" t="n">
        <f aca="false">IF(AND(F624="ATM",E624&gt;2000,D624&lt;=4),1,0)</f>
        <v>0</v>
      </c>
      <c r="K624" s="1" t="n">
        <f aca="false">IF(COUNTIF('SQL Findings'!$A$4:$A$18,B624)&gt;0,1,0)</f>
        <v>0</v>
      </c>
      <c r="L624" s="1" t="n">
        <f aca="false">SUM(H624:K624)</f>
        <v>0</v>
      </c>
      <c r="M624" s="1" t="str">
        <f aca="false">IF(L624&gt;=2,"High",IF(L624=1,"Medium","Low"))</f>
        <v>Low</v>
      </c>
    </row>
    <row r="625" customFormat="false" ht="15" hidden="false" customHeight="true" outlineLevel="0" collapsed="false">
      <c r="A625" s="1" t="str">
        <f aca="false">Transactions!A625</f>
        <v>TXN500144</v>
      </c>
      <c r="B625" s="1" t="str">
        <f aca="false">Transactions!B625</f>
        <v>ACC1006</v>
      </c>
      <c r="C625" s="1" t="str">
        <f aca="false">Transactions!I625</f>
        <v>2026-02-09</v>
      </c>
      <c r="D625" s="1" t="n">
        <f aca="false">Transactions!J625</f>
        <v>8</v>
      </c>
      <c r="E625" s="1" t="n">
        <f aca="false">Transactions!D625</f>
        <v>78.74</v>
      </c>
      <c r="F625" s="1" t="str">
        <f aca="false">Transactions!H625</f>
        <v>Online</v>
      </c>
      <c r="G625" s="1" t="str">
        <f aca="false">Transactions!G625</f>
        <v>Dining</v>
      </c>
      <c r="H625" s="1" t="n">
        <f aca="false">IF(COUNTIFS($B$2:$B$1489,B625,$C$2:$C$1489,C625,$D$2:$D$1489,D625)&gt;6,1,0)</f>
        <v>0</v>
      </c>
      <c r="I625" s="1" t="n">
        <f aca="false">IF(AND(F625="Wire",E625&gt;=1000,MOD(E625,1000)=0),1,0)</f>
        <v>0</v>
      </c>
      <c r="J625" s="1" t="n">
        <f aca="false">IF(AND(F625="ATM",E625&gt;2000,D625&lt;=4),1,0)</f>
        <v>0</v>
      </c>
      <c r="K625" s="1" t="n">
        <f aca="false">IF(COUNTIF('SQL Findings'!$A$4:$A$18,B625)&gt;0,1,0)</f>
        <v>0</v>
      </c>
      <c r="L625" s="1" t="n">
        <f aca="false">SUM(H625:K625)</f>
        <v>0</v>
      </c>
      <c r="M625" s="1" t="str">
        <f aca="false">IF(L625&gt;=2,"High",IF(L625=1,"Medium","Low"))</f>
        <v>Low</v>
      </c>
    </row>
    <row r="626" customFormat="false" ht="15" hidden="false" customHeight="true" outlineLevel="0" collapsed="false">
      <c r="A626" s="1" t="str">
        <f aca="false">Transactions!A626</f>
        <v>TXN501259</v>
      </c>
      <c r="B626" s="1" t="str">
        <f aca="false">Transactions!B626</f>
        <v>ACC1055</v>
      </c>
      <c r="C626" s="1" t="str">
        <f aca="false">Transactions!I626</f>
        <v>2026-02-09</v>
      </c>
      <c r="D626" s="1" t="n">
        <f aca="false">Transactions!J626</f>
        <v>8</v>
      </c>
      <c r="E626" s="1" t="n">
        <f aca="false">Transactions!D626</f>
        <v>35.36</v>
      </c>
      <c r="F626" s="1" t="str">
        <f aca="false">Transactions!H626</f>
        <v>POS</v>
      </c>
      <c r="G626" s="1" t="str">
        <f aca="false">Transactions!G626</f>
        <v>Cash Withdrawal</v>
      </c>
      <c r="H626" s="1" t="n">
        <f aca="false">IF(COUNTIFS($B$2:$B$1489,B626,$C$2:$C$1489,C626,$D$2:$D$1489,D626)&gt;6,1,0)</f>
        <v>0</v>
      </c>
      <c r="I626" s="1" t="n">
        <f aca="false">IF(AND(F626="Wire",E626&gt;=1000,MOD(E626,1000)=0),1,0)</f>
        <v>0</v>
      </c>
      <c r="J626" s="1" t="n">
        <f aca="false">IF(AND(F626="ATM",E626&gt;2000,D626&lt;=4),1,0)</f>
        <v>0</v>
      </c>
      <c r="K626" s="1" t="n">
        <f aca="false">IF(COUNTIF('SQL Findings'!$A$4:$A$18,B626)&gt;0,1,0)</f>
        <v>1</v>
      </c>
      <c r="L626" s="1" t="n">
        <f aca="false">SUM(H626:K626)</f>
        <v>1</v>
      </c>
      <c r="M626" s="1" t="str">
        <f aca="false">IF(L626&gt;=2,"High",IF(L626=1,"Medium","Low"))</f>
        <v>Medium</v>
      </c>
    </row>
    <row r="627" customFormat="false" ht="15" hidden="false" customHeight="true" outlineLevel="0" collapsed="false">
      <c r="A627" s="1" t="str">
        <f aca="false">Transactions!A627</f>
        <v>TXN500583</v>
      </c>
      <c r="B627" s="1" t="str">
        <f aca="false">Transactions!B627</f>
        <v>ACC1025</v>
      </c>
      <c r="C627" s="1" t="str">
        <f aca="false">Transactions!I627</f>
        <v>2026-02-09</v>
      </c>
      <c r="D627" s="1" t="n">
        <f aca="false">Transactions!J627</f>
        <v>9</v>
      </c>
      <c r="E627" s="1" t="n">
        <f aca="false">Transactions!D627</f>
        <v>117.86</v>
      </c>
      <c r="F627" s="1" t="str">
        <f aca="false">Transactions!H627</f>
        <v>ATM</v>
      </c>
      <c r="G627" s="1" t="str">
        <f aca="false">Transactions!G627</f>
        <v>Dining</v>
      </c>
      <c r="H627" s="1" t="n">
        <f aca="false">IF(COUNTIFS($B$2:$B$1489,B627,$C$2:$C$1489,C627,$D$2:$D$1489,D627)&gt;6,1,0)</f>
        <v>0</v>
      </c>
      <c r="I627" s="1" t="n">
        <f aca="false">IF(AND(F627="Wire",E627&gt;=1000,MOD(E627,1000)=0),1,0)</f>
        <v>0</v>
      </c>
      <c r="J627" s="1" t="n">
        <f aca="false">IF(AND(F627="ATM",E627&gt;2000,D627&lt;=4),1,0)</f>
        <v>0</v>
      </c>
      <c r="K627" s="1" t="n">
        <f aca="false">IF(COUNTIF('SQL Findings'!$A$4:$A$18,B627)&gt;0,1,0)</f>
        <v>0</v>
      </c>
      <c r="L627" s="1" t="n">
        <f aca="false">SUM(H627:K627)</f>
        <v>0</v>
      </c>
      <c r="M627" s="1" t="str">
        <f aca="false">IF(L627&gt;=2,"High",IF(L627=1,"Medium","Low"))</f>
        <v>Low</v>
      </c>
    </row>
    <row r="628" customFormat="false" ht="15" hidden="false" customHeight="true" outlineLevel="0" collapsed="false">
      <c r="A628" s="1" t="str">
        <f aca="false">Transactions!A628</f>
        <v>TXN500384</v>
      </c>
      <c r="B628" s="1" t="str">
        <f aca="false">Transactions!B628</f>
        <v>ACC1016</v>
      </c>
      <c r="C628" s="1" t="str">
        <f aca="false">Transactions!I628</f>
        <v>2026-02-09</v>
      </c>
      <c r="D628" s="1" t="n">
        <f aca="false">Transactions!J628</f>
        <v>10</v>
      </c>
      <c r="E628" s="1" t="n">
        <f aca="false">Transactions!D628</f>
        <v>41.55</v>
      </c>
      <c r="F628" s="1" t="str">
        <f aca="false">Transactions!H628</f>
        <v>ATM</v>
      </c>
      <c r="G628" s="1" t="str">
        <f aca="false">Transactions!G628</f>
        <v>Online Marketplace</v>
      </c>
      <c r="H628" s="1" t="n">
        <f aca="false">IF(COUNTIFS($B$2:$B$1489,B628,$C$2:$C$1489,C628,$D$2:$D$1489,D628)&gt;6,1,0)</f>
        <v>0</v>
      </c>
      <c r="I628" s="1" t="n">
        <f aca="false">IF(AND(F628="Wire",E628&gt;=1000,MOD(E628,1000)=0),1,0)</f>
        <v>0</v>
      </c>
      <c r="J628" s="1" t="n">
        <f aca="false">IF(AND(F628="ATM",E628&gt;2000,D628&lt;=4),1,0)</f>
        <v>0</v>
      </c>
      <c r="K628" s="1" t="n">
        <f aca="false">IF(COUNTIF('SQL Findings'!$A$4:$A$18,B628)&gt;0,1,0)</f>
        <v>0</v>
      </c>
      <c r="L628" s="1" t="n">
        <f aca="false">SUM(H628:K628)</f>
        <v>0</v>
      </c>
      <c r="M628" s="1" t="str">
        <f aca="false">IF(L628&gt;=2,"High",IF(L628=1,"Medium","Low"))</f>
        <v>Low</v>
      </c>
    </row>
    <row r="629" customFormat="false" ht="15" hidden="false" customHeight="true" outlineLevel="0" collapsed="false">
      <c r="A629" s="1" t="str">
        <f aca="false">Transactions!A629</f>
        <v>TXN500551</v>
      </c>
      <c r="B629" s="1" t="str">
        <f aca="false">Transactions!B629</f>
        <v>ACC1024</v>
      </c>
      <c r="C629" s="1" t="str">
        <f aca="false">Transactions!I629</f>
        <v>2026-02-09</v>
      </c>
      <c r="D629" s="1" t="n">
        <f aca="false">Transactions!J629</f>
        <v>11</v>
      </c>
      <c r="E629" s="1" t="n">
        <f aca="false">Transactions!D629</f>
        <v>72.09</v>
      </c>
      <c r="F629" s="1" t="str">
        <f aca="false">Transactions!H629</f>
        <v>POS</v>
      </c>
      <c r="G629" s="1" t="str">
        <f aca="false">Transactions!G629</f>
        <v>Utilities</v>
      </c>
      <c r="H629" s="1" t="n">
        <f aca="false">IF(COUNTIFS($B$2:$B$1489,B629,$C$2:$C$1489,C629,$D$2:$D$1489,D629)&gt;6,1,0)</f>
        <v>0</v>
      </c>
      <c r="I629" s="1" t="n">
        <f aca="false">IF(AND(F629="Wire",E629&gt;=1000,MOD(E629,1000)=0),1,0)</f>
        <v>0</v>
      </c>
      <c r="J629" s="1" t="n">
        <f aca="false">IF(AND(F629="ATM",E629&gt;2000,D629&lt;=4),1,0)</f>
        <v>0</v>
      </c>
      <c r="K629" s="1" t="n">
        <f aca="false">IF(COUNTIF('SQL Findings'!$A$4:$A$18,B629)&gt;0,1,0)</f>
        <v>1</v>
      </c>
      <c r="L629" s="1" t="n">
        <f aca="false">SUM(H629:K629)</f>
        <v>1</v>
      </c>
      <c r="M629" s="1" t="str">
        <f aca="false">IF(L629&gt;=2,"High",IF(L629=1,"Medium","Low"))</f>
        <v>Medium</v>
      </c>
    </row>
    <row r="630" customFormat="false" ht="15" hidden="false" customHeight="true" outlineLevel="0" collapsed="false">
      <c r="A630" s="1" t="str">
        <f aca="false">Transactions!A630</f>
        <v>TXN500698</v>
      </c>
      <c r="B630" s="1" t="str">
        <f aca="false">Transactions!B630</f>
        <v>ACC1030</v>
      </c>
      <c r="C630" s="1" t="str">
        <f aca="false">Transactions!I630</f>
        <v>2026-02-09</v>
      </c>
      <c r="D630" s="1" t="n">
        <f aca="false">Transactions!J630</f>
        <v>11</v>
      </c>
      <c r="E630" s="1" t="n">
        <f aca="false">Transactions!D630</f>
        <v>21.63</v>
      </c>
      <c r="F630" s="1" t="str">
        <f aca="false">Transactions!H630</f>
        <v>POS</v>
      </c>
      <c r="G630" s="1" t="str">
        <f aca="false">Transactions!G630</f>
        <v>Electronics</v>
      </c>
      <c r="H630" s="1" t="n">
        <f aca="false">IF(COUNTIFS($B$2:$B$1489,B630,$C$2:$C$1489,C630,$D$2:$D$1489,D630)&gt;6,1,0)</f>
        <v>0</v>
      </c>
      <c r="I630" s="1" t="n">
        <f aca="false">IF(AND(F630="Wire",E630&gt;=1000,MOD(E630,1000)=0),1,0)</f>
        <v>0</v>
      </c>
      <c r="J630" s="1" t="n">
        <f aca="false">IF(AND(F630="ATM",E630&gt;2000,D630&lt;=4),1,0)</f>
        <v>0</v>
      </c>
      <c r="K630" s="1" t="n">
        <f aca="false">IF(COUNTIF('SQL Findings'!$A$4:$A$18,B630)&gt;0,1,0)</f>
        <v>1</v>
      </c>
      <c r="L630" s="1" t="n">
        <f aca="false">SUM(H630:K630)</f>
        <v>1</v>
      </c>
      <c r="M630" s="1" t="str">
        <f aca="false">IF(L630&gt;=2,"High",IF(L630=1,"Medium","Low"))</f>
        <v>Medium</v>
      </c>
    </row>
    <row r="631" customFormat="false" ht="15" hidden="false" customHeight="true" outlineLevel="0" collapsed="false">
      <c r="A631" s="1" t="str">
        <f aca="false">Transactions!A631</f>
        <v>TXN500356</v>
      </c>
      <c r="B631" s="1" t="str">
        <f aca="false">Transactions!B631</f>
        <v>ACC1015</v>
      </c>
      <c r="C631" s="1" t="str">
        <f aca="false">Transactions!I631</f>
        <v>2026-02-09</v>
      </c>
      <c r="D631" s="1" t="n">
        <f aca="false">Transactions!J631</f>
        <v>12</v>
      </c>
      <c r="E631" s="1" t="n">
        <f aca="false">Transactions!D631</f>
        <v>27.05</v>
      </c>
      <c r="F631" s="1" t="str">
        <f aca="false">Transactions!H631</f>
        <v>Online</v>
      </c>
      <c r="G631" s="1" t="str">
        <f aca="false">Transactions!G631</f>
        <v>Online Marketplace</v>
      </c>
      <c r="H631" s="1" t="n">
        <f aca="false">IF(COUNTIFS($B$2:$B$1489,B631,$C$2:$C$1489,C631,$D$2:$D$1489,D631)&gt;6,1,0)</f>
        <v>0</v>
      </c>
      <c r="I631" s="1" t="n">
        <f aca="false">IF(AND(F631="Wire",E631&gt;=1000,MOD(E631,1000)=0),1,0)</f>
        <v>0</v>
      </c>
      <c r="J631" s="1" t="n">
        <f aca="false">IF(AND(F631="ATM",E631&gt;2000,D631&lt;=4),1,0)</f>
        <v>0</v>
      </c>
      <c r="K631" s="1" t="n">
        <f aca="false">IF(COUNTIF('SQL Findings'!$A$4:$A$18,B631)&gt;0,1,0)</f>
        <v>1</v>
      </c>
      <c r="L631" s="1" t="n">
        <f aca="false">SUM(H631:K631)</f>
        <v>1</v>
      </c>
      <c r="M631" s="1" t="str">
        <f aca="false">IF(L631&gt;=2,"High",IF(L631=1,"Medium","Low"))</f>
        <v>Medium</v>
      </c>
    </row>
    <row r="632" customFormat="false" ht="15" hidden="false" customHeight="true" outlineLevel="0" collapsed="false">
      <c r="A632" s="1" t="str">
        <f aca="false">Transactions!A632</f>
        <v>TXN500085</v>
      </c>
      <c r="B632" s="1" t="str">
        <f aca="false">Transactions!B632</f>
        <v>ACC1003</v>
      </c>
      <c r="C632" s="1" t="str">
        <f aca="false">Transactions!I632</f>
        <v>2026-02-09</v>
      </c>
      <c r="D632" s="1" t="n">
        <f aca="false">Transactions!J632</f>
        <v>14</v>
      </c>
      <c r="E632" s="1" t="n">
        <f aca="false">Transactions!D632</f>
        <v>32.21</v>
      </c>
      <c r="F632" s="1" t="str">
        <f aca="false">Transactions!H632</f>
        <v>ATM</v>
      </c>
      <c r="G632" s="1" t="str">
        <f aca="false">Transactions!G632</f>
        <v>Wire Transfer</v>
      </c>
      <c r="H632" s="1" t="n">
        <f aca="false">IF(COUNTIFS($B$2:$B$1489,B632,$C$2:$C$1489,C632,$D$2:$D$1489,D632)&gt;6,1,0)</f>
        <v>0</v>
      </c>
      <c r="I632" s="1" t="n">
        <f aca="false">IF(AND(F632="Wire",E632&gt;=1000,MOD(E632,1000)=0),1,0)</f>
        <v>0</v>
      </c>
      <c r="J632" s="1" t="n">
        <f aca="false">IF(AND(F632="ATM",E632&gt;2000,D632&lt;=4),1,0)</f>
        <v>0</v>
      </c>
      <c r="K632" s="1" t="n">
        <f aca="false">IF(COUNTIF('SQL Findings'!$A$4:$A$18,B632)&gt;0,1,0)</f>
        <v>0</v>
      </c>
      <c r="L632" s="1" t="n">
        <f aca="false">SUM(H632:K632)</f>
        <v>0</v>
      </c>
      <c r="M632" s="1" t="str">
        <f aca="false">IF(L632&gt;=2,"High",IF(L632=1,"Medium","Low"))</f>
        <v>Low</v>
      </c>
    </row>
    <row r="633" customFormat="false" ht="15" hidden="false" customHeight="true" outlineLevel="0" collapsed="false">
      <c r="A633" s="1" t="str">
        <f aca="false">Transactions!A633</f>
        <v>TXN501204</v>
      </c>
      <c r="B633" s="1" t="str">
        <f aca="false">Transactions!B633</f>
        <v>ACC1053</v>
      </c>
      <c r="C633" s="1" t="str">
        <f aca="false">Transactions!I633</f>
        <v>2026-02-09</v>
      </c>
      <c r="D633" s="1" t="n">
        <f aca="false">Transactions!J633</f>
        <v>15</v>
      </c>
      <c r="E633" s="1" t="n">
        <f aca="false">Transactions!D633</f>
        <v>108.74</v>
      </c>
      <c r="F633" s="1" t="str">
        <f aca="false">Transactions!H633</f>
        <v>Online</v>
      </c>
      <c r="G633" s="1" t="str">
        <f aca="false">Transactions!G633</f>
        <v>Travel</v>
      </c>
      <c r="H633" s="1" t="n">
        <f aca="false">IF(COUNTIFS($B$2:$B$1489,B633,$C$2:$C$1489,C633,$D$2:$D$1489,D633)&gt;6,1,0)</f>
        <v>0</v>
      </c>
      <c r="I633" s="1" t="n">
        <f aca="false">IF(AND(F633="Wire",E633&gt;=1000,MOD(E633,1000)=0),1,0)</f>
        <v>0</v>
      </c>
      <c r="J633" s="1" t="n">
        <f aca="false">IF(AND(F633="ATM",E633&gt;2000,D633&lt;=4),1,0)</f>
        <v>0</v>
      </c>
      <c r="K633" s="1" t="n">
        <f aca="false">IF(COUNTIF('SQL Findings'!$A$4:$A$18,B633)&gt;0,1,0)</f>
        <v>0</v>
      </c>
      <c r="L633" s="1" t="n">
        <f aca="false">SUM(H633:K633)</f>
        <v>0</v>
      </c>
      <c r="M633" s="1" t="str">
        <f aca="false">IF(L633&gt;=2,"High",IF(L633=1,"Medium","Low"))</f>
        <v>Low</v>
      </c>
    </row>
    <row r="634" customFormat="false" ht="15" hidden="false" customHeight="true" outlineLevel="0" collapsed="false">
      <c r="A634" s="1" t="str">
        <f aca="false">Transactions!A634</f>
        <v>TXN500074</v>
      </c>
      <c r="B634" s="1" t="str">
        <f aca="false">Transactions!B634</f>
        <v>ACC1003</v>
      </c>
      <c r="C634" s="1" t="str">
        <f aca="false">Transactions!I634</f>
        <v>2026-02-09</v>
      </c>
      <c r="D634" s="1" t="n">
        <f aca="false">Transactions!J634</f>
        <v>17</v>
      </c>
      <c r="E634" s="1" t="n">
        <f aca="false">Transactions!D634</f>
        <v>272.65</v>
      </c>
      <c r="F634" s="1" t="str">
        <f aca="false">Transactions!H634</f>
        <v>POS</v>
      </c>
      <c r="G634" s="1" t="str">
        <f aca="false">Transactions!G634</f>
        <v>Dining</v>
      </c>
      <c r="H634" s="1" t="n">
        <f aca="false">IF(COUNTIFS($B$2:$B$1489,B634,$C$2:$C$1489,C634,$D$2:$D$1489,D634)&gt;6,1,0)</f>
        <v>0</v>
      </c>
      <c r="I634" s="1" t="n">
        <f aca="false">IF(AND(F634="Wire",E634&gt;=1000,MOD(E634,1000)=0),1,0)</f>
        <v>0</v>
      </c>
      <c r="J634" s="1" t="n">
        <f aca="false">IF(AND(F634="ATM",E634&gt;2000,D634&lt;=4),1,0)</f>
        <v>0</v>
      </c>
      <c r="K634" s="1" t="n">
        <f aca="false">IF(COUNTIF('SQL Findings'!$A$4:$A$18,B634)&gt;0,1,0)</f>
        <v>0</v>
      </c>
      <c r="L634" s="1" t="n">
        <f aca="false">SUM(H634:K634)</f>
        <v>0</v>
      </c>
      <c r="M634" s="1" t="str">
        <f aca="false">IF(L634&gt;=2,"High",IF(L634=1,"Medium","Low"))</f>
        <v>Low</v>
      </c>
    </row>
    <row r="635" customFormat="false" ht="15" hidden="false" customHeight="true" outlineLevel="0" collapsed="false">
      <c r="A635" s="1" t="str">
        <f aca="false">Transactions!A635</f>
        <v>TXN501279</v>
      </c>
      <c r="B635" s="1" t="str">
        <f aca="false">Transactions!B635</f>
        <v>ACC1056</v>
      </c>
      <c r="C635" s="1" t="str">
        <f aca="false">Transactions!I635</f>
        <v>2026-02-09</v>
      </c>
      <c r="D635" s="1" t="n">
        <f aca="false">Transactions!J635</f>
        <v>20</v>
      </c>
      <c r="E635" s="1" t="n">
        <f aca="false">Transactions!D635</f>
        <v>79.27</v>
      </c>
      <c r="F635" s="1" t="str">
        <f aca="false">Transactions!H635</f>
        <v>Online</v>
      </c>
      <c r="G635" s="1" t="str">
        <f aca="false">Transactions!G635</f>
        <v>Electronics</v>
      </c>
      <c r="H635" s="1" t="n">
        <f aca="false">IF(COUNTIFS($B$2:$B$1489,B635,$C$2:$C$1489,C635,$D$2:$D$1489,D635)&gt;6,1,0)</f>
        <v>0</v>
      </c>
      <c r="I635" s="1" t="n">
        <f aca="false">IF(AND(F635="Wire",E635&gt;=1000,MOD(E635,1000)=0),1,0)</f>
        <v>0</v>
      </c>
      <c r="J635" s="1" t="n">
        <f aca="false">IF(AND(F635="ATM",E635&gt;2000,D635&lt;=4),1,0)</f>
        <v>0</v>
      </c>
      <c r="K635" s="1" t="n">
        <f aca="false">IF(COUNTIF('SQL Findings'!$A$4:$A$18,B635)&gt;0,1,0)</f>
        <v>0</v>
      </c>
      <c r="L635" s="1" t="n">
        <f aca="false">SUM(H635:K635)</f>
        <v>0</v>
      </c>
      <c r="M635" s="1" t="str">
        <f aca="false">IF(L635&gt;=2,"High",IF(L635=1,"Medium","Low"))</f>
        <v>Low</v>
      </c>
    </row>
    <row r="636" customFormat="false" ht="15" hidden="false" customHeight="true" outlineLevel="0" collapsed="false">
      <c r="A636" s="1" t="str">
        <f aca="false">Transactions!A636</f>
        <v>TXN500941</v>
      </c>
      <c r="B636" s="1" t="str">
        <f aca="false">Transactions!B636</f>
        <v>ACC1040</v>
      </c>
      <c r="C636" s="1" t="str">
        <f aca="false">Transactions!I636</f>
        <v>2026-02-10</v>
      </c>
      <c r="D636" s="1" t="n">
        <f aca="false">Transactions!J636</f>
        <v>0</v>
      </c>
      <c r="E636" s="1" t="n">
        <f aca="false">Transactions!D636</f>
        <v>21.07</v>
      </c>
      <c r="F636" s="1" t="str">
        <f aca="false">Transactions!H636</f>
        <v>ATM</v>
      </c>
      <c r="G636" s="1" t="str">
        <f aca="false">Transactions!G636</f>
        <v>Electronics</v>
      </c>
      <c r="H636" s="1" t="n">
        <f aca="false">IF(COUNTIFS($B$2:$B$1489,B636,$C$2:$C$1489,C636,$D$2:$D$1489,D636)&gt;6,1,0)</f>
        <v>0</v>
      </c>
      <c r="I636" s="1" t="n">
        <f aca="false">IF(AND(F636="Wire",E636&gt;=1000,MOD(E636,1000)=0),1,0)</f>
        <v>0</v>
      </c>
      <c r="J636" s="1" t="n">
        <f aca="false">IF(AND(F636="ATM",E636&gt;2000,D636&lt;=4),1,0)</f>
        <v>0</v>
      </c>
      <c r="K636" s="1" t="n">
        <f aca="false">IF(COUNTIF('SQL Findings'!$A$4:$A$18,B636)&gt;0,1,0)</f>
        <v>1</v>
      </c>
      <c r="L636" s="1" t="n">
        <f aca="false">SUM(H636:K636)</f>
        <v>1</v>
      </c>
      <c r="M636" s="1" t="str">
        <f aca="false">IF(L636&gt;=2,"High",IF(L636=1,"Medium","Low"))</f>
        <v>Medium</v>
      </c>
    </row>
    <row r="637" customFormat="false" ht="15" hidden="false" customHeight="true" outlineLevel="0" collapsed="false">
      <c r="A637" s="1" t="str">
        <f aca="false">Transactions!A637</f>
        <v>TXN500045</v>
      </c>
      <c r="B637" s="1" t="str">
        <f aca="false">Transactions!B637</f>
        <v>ACC1001</v>
      </c>
      <c r="C637" s="1" t="str">
        <f aca="false">Transactions!I637</f>
        <v>2026-02-10</v>
      </c>
      <c r="D637" s="1" t="n">
        <f aca="false">Transactions!J637</f>
        <v>2</v>
      </c>
      <c r="E637" s="1" t="n">
        <f aca="false">Transactions!D637</f>
        <v>17.63</v>
      </c>
      <c r="F637" s="1" t="str">
        <f aca="false">Transactions!H637</f>
        <v>ATM</v>
      </c>
      <c r="G637" s="1" t="str">
        <f aca="false">Transactions!G637</f>
        <v>Online Marketplace</v>
      </c>
      <c r="H637" s="1" t="n">
        <f aca="false">IF(COUNTIFS($B$2:$B$1489,B637,$C$2:$C$1489,C637,$D$2:$D$1489,D637)&gt;6,1,0)</f>
        <v>0</v>
      </c>
      <c r="I637" s="1" t="n">
        <f aca="false">IF(AND(F637="Wire",E637&gt;=1000,MOD(E637,1000)=0),1,0)</f>
        <v>0</v>
      </c>
      <c r="J637" s="1" t="n">
        <f aca="false">IF(AND(F637="ATM",E637&gt;2000,D637&lt;=4),1,0)</f>
        <v>0</v>
      </c>
      <c r="K637" s="1" t="n">
        <f aca="false">IF(COUNTIF('SQL Findings'!$A$4:$A$18,B637)&gt;0,1,0)</f>
        <v>1</v>
      </c>
      <c r="L637" s="1" t="n">
        <f aca="false">SUM(H637:K637)</f>
        <v>1</v>
      </c>
      <c r="M637" s="1" t="str">
        <f aca="false">IF(L637&gt;=2,"High",IF(L637=1,"Medium","Low"))</f>
        <v>Medium</v>
      </c>
    </row>
    <row r="638" customFormat="false" ht="15" hidden="false" customHeight="true" outlineLevel="0" collapsed="false">
      <c r="A638" s="1" t="str">
        <f aca="false">Transactions!A638</f>
        <v>TXN500877</v>
      </c>
      <c r="B638" s="1" t="str">
        <f aca="false">Transactions!B638</f>
        <v>ACC1038</v>
      </c>
      <c r="C638" s="1" t="str">
        <f aca="false">Transactions!I638</f>
        <v>2026-02-10</v>
      </c>
      <c r="D638" s="1" t="n">
        <f aca="false">Transactions!J638</f>
        <v>5</v>
      </c>
      <c r="E638" s="1" t="n">
        <f aca="false">Transactions!D638</f>
        <v>41.85</v>
      </c>
      <c r="F638" s="1" t="str">
        <f aca="false">Transactions!H638</f>
        <v>POS</v>
      </c>
      <c r="G638" s="1" t="str">
        <f aca="false">Transactions!G638</f>
        <v>Retail</v>
      </c>
      <c r="H638" s="1" t="n">
        <f aca="false">IF(COUNTIFS($B$2:$B$1489,B638,$C$2:$C$1489,C638,$D$2:$D$1489,D638)&gt;6,1,0)</f>
        <v>0</v>
      </c>
      <c r="I638" s="1" t="n">
        <f aca="false">IF(AND(F638="Wire",E638&gt;=1000,MOD(E638,1000)=0),1,0)</f>
        <v>0</v>
      </c>
      <c r="J638" s="1" t="n">
        <f aca="false">IF(AND(F638="ATM",E638&gt;2000,D638&lt;=4),1,0)</f>
        <v>0</v>
      </c>
      <c r="K638" s="1" t="n">
        <f aca="false">IF(COUNTIF('SQL Findings'!$A$4:$A$18,B638)&gt;0,1,0)</f>
        <v>0</v>
      </c>
      <c r="L638" s="1" t="n">
        <f aca="false">SUM(H638:K638)</f>
        <v>0</v>
      </c>
      <c r="M638" s="1" t="str">
        <f aca="false">IF(L638&gt;=2,"High",IF(L638=1,"Medium","Low"))</f>
        <v>Low</v>
      </c>
    </row>
    <row r="639" customFormat="false" ht="15" hidden="false" customHeight="true" outlineLevel="0" collapsed="false">
      <c r="A639" s="1" t="str">
        <f aca="false">Transactions!A639</f>
        <v>TXN500301</v>
      </c>
      <c r="B639" s="1" t="str">
        <f aca="false">Transactions!B639</f>
        <v>ACC1013</v>
      </c>
      <c r="C639" s="1" t="str">
        <f aca="false">Transactions!I639</f>
        <v>2026-02-10</v>
      </c>
      <c r="D639" s="1" t="n">
        <f aca="false">Transactions!J639</f>
        <v>6</v>
      </c>
      <c r="E639" s="1" t="n">
        <f aca="false">Transactions!D639</f>
        <v>31.62</v>
      </c>
      <c r="F639" s="1" t="str">
        <f aca="false">Transactions!H639</f>
        <v>Online</v>
      </c>
      <c r="G639" s="1" t="str">
        <f aca="false">Transactions!G639</f>
        <v>Online Marketplace</v>
      </c>
      <c r="H639" s="1" t="n">
        <f aca="false">IF(COUNTIFS($B$2:$B$1489,B639,$C$2:$C$1489,C639,$D$2:$D$1489,D639)&gt;6,1,0)</f>
        <v>0</v>
      </c>
      <c r="I639" s="1" t="n">
        <f aca="false">IF(AND(F639="Wire",E639&gt;=1000,MOD(E639,1000)=0),1,0)</f>
        <v>0</v>
      </c>
      <c r="J639" s="1" t="n">
        <f aca="false">IF(AND(F639="ATM",E639&gt;2000,D639&lt;=4),1,0)</f>
        <v>0</v>
      </c>
      <c r="K639" s="1" t="n">
        <f aca="false">IF(COUNTIF('SQL Findings'!$A$4:$A$18,B639)&gt;0,1,0)</f>
        <v>0</v>
      </c>
      <c r="L639" s="1" t="n">
        <f aca="false">SUM(H639:K639)</f>
        <v>0</v>
      </c>
      <c r="M639" s="1" t="str">
        <f aca="false">IF(L639&gt;=2,"High",IF(L639=1,"Medium","Low"))</f>
        <v>Low</v>
      </c>
    </row>
    <row r="640" customFormat="false" ht="15" hidden="false" customHeight="true" outlineLevel="0" collapsed="false">
      <c r="A640" s="1" t="str">
        <f aca="false">Transactions!A640</f>
        <v>TXN501452</v>
      </c>
      <c r="B640" s="1" t="str">
        <f aca="false">Transactions!B640</f>
        <v>ACC1001</v>
      </c>
      <c r="C640" s="1" t="str">
        <f aca="false">Transactions!I640</f>
        <v>2026-02-10</v>
      </c>
      <c r="D640" s="1" t="n">
        <f aca="false">Transactions!J640</f>
        <v>8</v>
      </c>
      <c r="E640" s="1" t="n">
        <f aca="false">Transactions!D640</f>
        <v>1176.86</v>
      </c>
      <c r="F640" s="1" t="str">
        <f aca="false">Transactions!H640</f>
        <v>POS</v>
      </c>
      <c r="G640" s="1" t="str">
        <f aca="false">Transactions!G640</f>
        <v>Retail</v>
      </c>
      <c r="H640" s="1" t="n">
        <f aca="false">IF(COUNTIFS($B$2:$B$1489,B640,$C$2:$C$1489,C640,$D$2:$D$1489,D640)&gt;6,1,0)</f>
        <v>0</v>
      </c>
      <c r="I640" s="1" t="n">
        <f aca="false">IF(AND(F640="Wire",E640&gt;=1000,MOD(E640,1000)=0),1,0)</f>
        <v>0</v>
      </c>
      <c r="J640" s="1" t="n">
        <f aca="false">IF(AND(F640="ATM",E640&gt;2000,D640&lt;=4),1,0)</f>
        <v>0</v>
      </c>
      <c r="K640" s="1" t="n">
        <f aca="false">IF(COUNTIF('SQL Findings'!$A$4:$A$18,B640)&gt;0,1,0)</f>
        <v>1</v>
      </c>
      <c r="L640" s="1" t="n">
        <f aca="false">SUM(H640:K640)</f>
        <v>1</v>
      </c>
      <c r="M640" s="1" t="str">
        <f aca="false">IF(L640&gt;=2,"High",IF(L640=1,"Medium","Low"))</f>
        <v>Medium</v>
      </c>
    </row>
    <row r="641" customFormat="false" ht="15" hidden="false" customHeight="true" outlineLevel="0" collapsed="false">
      <c r="A641" s="1" t="str">
        <f aca="false">Transactions!A641</f>
        <v>TXN500676</v>
      </c>
      <c r="B641" s="1" t="str">
        <f aca="false">Transactions!B641</f>
        <v>ACC1029</v>
      </c>
      <c r="C641" s="1" t="str">
        <f aca="false">Transactions!I641</f>
        <v>2026-02-10</v>
      </c>
      <c r="D641" s="1" t="n">
        <f aca="false">Transactions!J641</f>
        <v>8</v>
      </c>
      <c r="E641" s="1" t="n">
        <f aca="false">Transactions!D641</f>
        <v>33.11</v>
      </c>
      <c r="F641" s="1" t="str">
        <f aca="false">Transactions!H641</f>
        <v>POS</v>
      </c>
      <c r="G641" s="1" t="str">
        <f aca="false">Transactions!G641</f>
        <v>Cash Withdrawal</v>
      </c>
      <c r="H641" s="1" t="n">
        <f aca="false">IF(COUNTIFS($B$2:$B$1489,B641,$C$2:$C$1489,C641,$D$2:$D$1489,D641)&gt;6,1,0)</f>
        <v>0</v>
      </c>
      <c r="I641" s="1" t="n">
        <f aca="false">IF(AND(F641="Wire",E641&gt;=1000,MOD(E641,1000)=0),1,0)</f>
        <v>0</v>
      </c>
      <c r="J641" s="1" t="n">
        <f aca="false">IF(AND(F641="ATM",E641&gt;2000,D641&lt;=4),1,0)</f>
        <v>0</v>
      </c>
      <c r="K641" s="1" t="n">
        <f aca="false">IF(COUNTIF('SQL Findings'!$A$4:$A$18,B641)&gt;0,1,0)</f>
        <v>0</v>
      </c>
      <c r="L641" s="1" t="n">
        <f aca="false">SUM(H641:K641)</f>
        <v>0</v>
      </c>
      <c r="M641" s="1" t="str">
        <f aca="false">IF(L641&gt;=2,"High",IF(L641=1,"Medium","Low"))</f>
        <v>Low</v>
      </c>
    </row>
    <row r="642" customFormat="false" ht="15" hidden="false" customHeight="true" outlineLevel="0" collapsed="false">
      <c r="A642" s="1" t="str">
        <f aca="false">Transactions!A642</f>
        <v>TXN501313</v>
      </c>
      <c r="B642" s="1" t="str">
        <f aca="false">Transactions!B642</f>
        <v>ACC1057</v>
      </c>
      <c r="C642" s="1" t="str">
        <f aca="false">Transactions!I642</f>
        <v>2026-02-10</v>
      </c>
      <c r="D642" s="1" t="n">
        <f aca="false">Transactions!J642</f>
        <v>8</v>
      </c>
      <c r="E642" s="1" t="n">
        <f aca="false">Transactions!D642</f>
        <v>233.03</v>
      </c>
      <c r="F642" s="1" t="str">
        <f aca="false">Transactions!H642</f>
        <v>Online</v>
      </c>
      <c r="G642" s="1" t="str">
        <f aca="false">Transactions!G642</f>
        <v>Utilities</v>
      </c>
      <c r="H642" s="1" t="n">
        <f aca="false">IF(COUNTIFS($B$2:$B$1489,B642,$C$2:$C$1489,C642,$D$2:$D$1489,D642)&gt;6,1,0)</f>
        <v>0</v>
      </c>
      <c r="I642" s="1" t="n">
        <f aca="false">IF(AND(F642="Wire",E642&gt;=1000,MOD(E642,1000)=0),1,0)</f>
        <v>0</v>
      </c>
      <c r="J642" s="1" t="n">
        <f aca="false">IF(AND(F642="ATM",E642&gt;2000,D642&lt;=4),1,0)</f>
        <v>0</v>
      </c>
      <c r="K642" s="1" t="n">
        <f aca="false">IF(COUNTIF('SQL Findings'!$A$4:$A$18,B642)&gt;0,1,0)</f>
        <v>1</v>
      </c>
      <c r="L642" s="1" t="n">
        <f aca="false">SUM(H642:K642)</f>
        <v>1</v>
      </c>
      <c r="M642" s="1" t="str">
        <f aca="false">IF(L642&gt;=2,"High",IF(L642=1,"Medium","Low"))</f>
        <v>Medium</v>
      </c>
    </row>
    <row r="643" customFormat="false" ht="15" hidden="false" customHeight="true" outlineLevel="0" collapsed="false">
      <c r="A643" s="1" t="str">
        <f aca="false">Transactions!A643</f>
        <v>TXN501396</v>
      </c>
      <c r="B643" s="1" t="str">
        <f aca="false">Transactions!B643</f>
        <v>ACC1024</v>
      </c>
      <c r="C643" s="1" t="str">
        <f aca="false">Transactions!I643</f>
        <v>2026-02-10</v>
      </c>
      <c r="D643" s="1" t="n">
        <f aca="false">Transactions!J643</f>
        <v>9</v>
      </c>
      <c r="E643" s="1" t="n">
        <f aca="false">Transactions!D643</f>
        <v>2613.82</v>
      </c>
      <c r="F643" s="1" t="str">
        <f aca="false">Transactions!H643</f>
        <v>Wire</v>
      </c>
      <c r="G643" s="1" t="str">
        <f aca="false">Transactions!G643</f>
        <v>Wire Transfer</v>
      </c>
      <c r="H643" s="1" t="n">
        <f aca="false">IF(COUNTIFS($B$2:$B$1489,B643,$C$2:$C$1489,C643,$D$2:$D$1489,D643)&gt;6,1,0)</f>
        <v>0</v>
      </c>
      <c r="I643" s="1" t="n">
        <f aca="false">IF(AND(F643="Wire",E643&gt;=1000,MOD(E643,1000)=0),1,0)</f>
        <v>0</v>
      </c>
      <c r="J643" s="1" t="n">
        <f aca="false">IF(AND(F643="ATM",E643&gt;2000,D643&lt;=4),1,0)</f>
        <v>0</v>
      </c>
      <c r="K643" s="1" t="n">
        <f aca="false">IF(COUNTIF('SQL Findings'!$A$4:$A$18,B643)&gt;0,1,0)</f>
        <v>1</v>
      </c>
      <c r="L643" s="1" t="n">
        <f aca="false">SUM(H643:K643)</f>
        <v>1</v>
      </c>
      <c r="M643" s="1" t="str">
        <f aca="false">IF(L643&gt;=2,"High",IF(L643=1,"Medium","Low"))</f>
        <v>Medium</v>
      </c>
    </row>
    <row r="644" customFormat="false" ht="15" hidden="false" customHeight="true" outlineLevel="0" collapsed="false">
      <c r="A644" s="1" t="str">
        <f aca="false">Transactions!A644</f>
        <v>TXN501042</v>
      </c>
      <c r="B644" s="1" t="str">
        <f aca="false">Transactions!B644</f>
        <v>ACC1045</v>
      </c>
      <c r="C644" s="1" t="str">
        <f aca="false">Transactions!I644</f>
        <v>2026-02-10</v>
      </c>
      <c r="D644" s="1" t="n">
        <f aca="false">Transactions!J644</f>
        <v>9</v>
      </c>
      <c r="E644" s="1" t="n">
        <f aca="false">Transactions!D644</f>
        <v>44.12</v>
      </c>
      <c r="F644" s="1" t="str">
        <f aca="false">Transactions!H644</f>
        <v>POS</v>
      </c>
      <c r="G644" s="1" t="str">
        <f aca="false">Transactions!G644</f>
        <v>Utilities</v>
      </c>
      <c r="H644" s="1" t="n">
        <f aca="false">IF(COUNTIFS($B$2:$B$1489,B644,$C$2:$C$1489,C644,$D$2:$D$1489,D644)&gt;6,1,0)</f>
        <v>0</v>
      </c>
      <c r="I644" s="1" t="n">
        <f aca="false">IF(AND(F644="Wire",E644&gt;=1000,MOD(E644,1000)=0),1,0)</f>
        <v>0</v>
      </c>
      <c r="J644" s="1" t="n">
        <f aca="false">IF(AND(F644="ATM",E644&gt;2000,D644&lt;=4),1,0)</f>
        <v>0</v>
      </c>
      <c r="K644" s="1" t="n">
        <f aca="false">IF(COUNTIF('SQL Findings'!$A$4:$A$18,B644)&gt;0,1,0)</f>
        <v>0</v>
      </c>
      <c r="L644" s="1" t="n">
        <f aca="false">SUM(H644:K644)</f>
        <v>0</v>
      </c>
      <c r="M644" s="1" t="str">
        <f aca="false">IF(L644&gt;=2,"High",IF(L644=1,"Medium","Low"))</f>
        <v>Low</v>
      </c>
    </row>
    <row r="645" customFormat="false" ht="15" hidden="false" customHeight="true" outlineLevel="0" collapsed="false">
      <c r="A645" s="1" t="str">
        <f aca="false">Transactions!A645</f>
        <v>TXN501453</v>
      </c>
      <c r="B645" s="1" t="str">
        <f aca="false">Transactions!B645</f>
        <v>ACC1001</v>
      </c>
      <c r="C645" s="1" t="str">
        <f aca="false">Transactions!I645</f>
        <v>2026-02-10</v>
      </c>
      <c r="D645" s="1" t="n">
        <f aca="false">Transactions!J645</f>
        <v>10</v>
      </c>
      <c r="E645" s="1" t="n">
        <f aca="false">Transactions!D645</f>
        <v>1154.04</v>
      </c>
      <c r="F645" s="1" t="str">
        <f aca="false">Transactions!H645</f>
        <v>ATM</v>
      </c>
      <c r="G645" s="1" t="str">
        <f aca="false">Transactions!G645</f>
        <v>Cash Withdrawal</v>
      </c>
      <c r="H645" s="1" t="n">
        <f aca="false">IF(COUNTIFS($B$2:$B$1489,B645,$C$2:$C$1489,C645,$D$2:$D$1489,D645)&gt;6,1,0)</f>
        <v>0</v>
      </c>
      <c r="I645" s="1" t="n">
        <f aca="false">IF(AND(F645="Wire",E645&gt;=1000,MOD(E645,1000)=0),1,0)</f>
        <v>0</v>
      </c>
      <c r="J645" s="1" t="n">
        <f aca="false">IF(AND(F645="ATM",E645&gt;2000,D645&lt;=4),1,0)</f>
        <v>0</v>
      </c>
      <c r="K645" s="1" t="n">
        <f aca="false">IF(COUNTIF('SQL Findings'!$A$4:$A$18,B645)&gt;0,1,0)</f>
        <v>1</v>
      </c>
      <c r="L645" s="1" t="n">
        <f aca="false">SUM(H645:K645)</f>
        <v>1</v>
      </c>
      <c r="M645" s="1" t="str">
        <f aca="false">IF(L645&gt;=2,"High",IF(L645=1,"Medium","Low"))</f>
        <v>Medium</v>
      </c>
    </row>
    <row r="646" customFormat="false" ht="15" hidden="false" customHeight="true" outlineLevel="0" collapsed="false">
      <c r="A646" s="1" t="str">
        <f aca="false">Transactions!A646</f>
        <v>TXN500080</v>
      </c>
      <c r="B646" s="1" t="str">
        <f aca="false">Transactions!B646</f>
        <v>ACC1003</v>
      </c>
      <c r="C646" s="1" t="str">
        <f aca="false">Transactions!I646</f>
        <v>2026-02-10</v>
      </c>
      <c r="D646" s="1" t="n">
        <f aca="false">Transactions!J646</f>
        <v>10</v>
      </c>
      <c r="E646" s="1" t="n">
        <f aca="false">Transactions!D646</f>
        <v>11.15</v>
      </c>
      <c r="F646" s="1" t="str">
        <f aca="false">Transactions!H646</f>
        <v>Online</v>
      </c>
      <c r="G646" s="1" t="str">
        <f aca="false">Transactions!G646</f>
        <v>Electronics</v>
      </c>
      <c r="H646" s="1" t="n">
        <f aca="false">IF(COUNTIFS($B$2:$B$1489,B646,$C$2:$C$1489,C646,$D$2:$D$1489,D646)&gt;6,1,0)</f>
        <v>0</v>
      </c>
      <c r="I646" s="1" t="n">
        <f aca="false">IF(AND(F646="Wire",E646&gt;=1000,MOD(E646,1000)=0),1,0)</f>
        <v>0</v>
      </c>
      <c r="J646" s="1" t="n">
        <f aca="false">IF(AND(F646="ATM",E646&gt;2000,D646&lt;=4),1,0)</f>
        <v>0</v>
      </c>
      <c r="K646" s="1" t="n">
        <f aca="false">IF(COUNTIF('SQL Findings'!$A$4:$A$18,B646)&gt;0,1,0)</f>
        <v>0</v>
      </c>
      <c r="L646" s="1" t="n">
        <f aca="false">SUM(H646:K646)</f>
        <v>0</v>
      </c>
      <c r="M646" s="1" t="str">
        <f aca="false">IF(L646&gt;=2,"High",IF(L646=1,"Medium","Low"))</f>
        <v>Low</v>
      </c>
    </row>
    <row r="647" customFormat="false" ht="15" hidden="false" customHeight="true" outlineLevel="0" collapsed="false">
      <c r="A647" s="1" t="str">
        <f aca="false">Transactions!A647</f>
        <v>TXN500514</v>
      </c>
      <c r="B647" s="1" t="str">
        <f aca="false">Transactions!B647</f>
        <v>ACC1023</v>
      </c>
      <c r="C647" s="1" t="str">
        <f aca="false">Transactions!I647</f>
        <v>2026-02-10</v>
      </c>
      <c r="D647" s="1" t="n">
        <f aca="false">Transactions!J647</f>
        <v>10</v>
      </c>
      <c r="E647" s="1" t="n">
        <f aca="false">Transactions!D647</f>
        <v>29.46</v>
      </c>
      <c r="F647" s="1" t="str">
        <f aca="false">Transactions!H647</f>
        <v>ATM</v>
      </c>
      <c r="G647" s="1" t="str">
        <f aca="false">Transactions!G647</f>
        <v>Dining</v>
      </c>
      <c r="H647" s="1" t="n">
        <f aca="false">IF(COUNTIFS($B$2:$B$1489,B647,$C$2:$C$1489,C647,$D$2:$D$1489,D647)&gt;6,1,0)</f>
        <v>0</v>
      </c>
      <c r="I647" s="1" t="n">
        <f aca="false">IF(AND(F647="Wire",E647&gt;=1000,MOD(E647,1000)=0),1,0)</f>
        <v>0</v>
      </c>
      <c r="J647" s="1" t="n">
        <f aca="false">IF(AND(F647="ATM",E647&gt;2000,D647&lt;=4),1,0)</f>
        <v>0</v>
      </c>
      <c r="K647" s="1" t="n">
        <f aca="false">IF(COUNTIF('SQL Findings'!$A$4:$A$18,B647)&gt;0,1,0)</f>
        <v>0</v>
      </c>
      <c r="L647" s="1" t="n">
        <f aca="false">SUM(H647:K647)</f>
        <v>0</v>
      </c>
      <c r="M647" s="1" t="str">
        <f aca="false">IF(L647&gt;=2,"High",IF(L647=1,"Medium","Low"))</f>
        <v>Low</v>
      </c>
    </row>
    <row r="648" customFormat="false" ht="15" hidden="false" customHeight="true" outlineLevel="0" collapsed="false">
      <c r="A648" s="1" t="str">
        <f aca="false">Transactions!A648</f>
        <v>TXN501220</v>
      </c>
      <c r="B648" s="1" t="str">
        <f aca="false">Transactions!B648</f>
        <v>ACC1053</v>
      </c>
      <c r="C648" s="1" t="str">
        <f aca="false">Transactions!I648</f>
        <v>2026-02-10</v>
      </c>
      <c r="D648" s="1" t="n">
        <f aca="false">Transactions!J648</f>
        <v>10</v>
      </c>
      <c r="E648" s="1" t="n">
        <f aca="false">Transactions!D648</f>
        <v>459.73</v>
      </c>
      <c r="F648" s="1" t="str">
        <f aca="false">Transactions!H648</f>
        <v>ATM</v>
      </c>
      <c r="G648" s="1" t="str">
        <f aca="false">Transactions!G648</f>
        <v>Retail</v>
      </c>
      <c r="H648" s="1" t="n">
        <f aca="false">IF(COUNTIFS($B$2:$B$1489,B648,$C$2:$C$1489,C648,$D$2:$D$1489,D648)&gt;6,1,0)</f>
        <v>0</v>
      </c>
      <c r="I648" s="1" t="n">
        <f aca="false">IF(AND(F648="Wire",E648&gt;=1000,MOD(E648,1000)=0),1,0)</f>
        <v>0</v>
      </c>
      <c r="J648" s="1" t="n">
        <f aca="false">IF(AND(F648="ATM",E648&gt;2000,D648&lt;=4),1,0)</f>
        <v>0</v>
      </c>
      <c r="K648" s="1" t="n">
        <f aca="false">IF(COUNTIF('SQL Findings'!$A$4:$A$18,B648)&gt;0,1,0)</f>
        <v>0</v>
      </c>
      <c r="L648" s="1" t="n">
        <f aca="false">SUM(H648:K648)</f>
        <v>0</v>
      </c>
      <c r="M648" s="1" t="str">
        <f aca="false">IF(L648&gt;=2,"High",IF(L648=1,"Medium","Low"))</f>
        <v>Low</v>
      </c>
    </row>
    <row r="649" customFormat="false" ht="15" hidden="false" customHeight="true" outlineLevel="0" collapsed="false">
      <c r="A649" s="1" t="str">
        <f aca="false">Transactions!A649</f>
        <v>TXN501397</v>
      </c>
      <c r="B649" s="1" t="str">
        <f aca="false">Transactions!B649</f>
        <v>ACC1024</v>
      </c>
      <c r="C649" s="1" t="str">
        <f aca="false">Transactions!I649</f>
        <v>2026-02-10</v>
      </c>
      <c r="D649" s="1" t="n">
        <f aca="false">Transactions!J649</f>
        <v>11</v>
      </c>
      <c r="E649" s="1" t="n">
        <f aca="false">Transactions!D649</f>
        <v>2753.87</v>
      </c>
      <c r="F649" s="1" t="str">
        <f aca="false">Transactions!H649</f>
        <v>Wire</v>
      </c>
      <c r="G649" s="1" t="str">
        <f aca="false">Transactions!G649</f>
        <v>Wire Transfer</v>
      </c>
      <c r="H649" s="1" t="n">
        <f aca="false">IF(COUNTIFS($B$2:$B$1489,B649,$C$2:$C$1489,C649,$D$2:$D$1489,D649)&gt;6,1,0)</f>
        <v>0</v>
      </c>
      <c r="I649" s="1" t="n">
        <f aca="false">IF(AND(F649="Wire",E649&gt;=1000,MOD(E649,1000)=0),1,0)</f>
        <v>0</v>
      </c>
      <c r="J649" s="1" t="n">
        <f aca="false">IF(AND(F649="ATM",E649&gt;2000,D649&lt;=4),1,0)</f>
        <v>0</v>
      </c>
      <c r="K649" s="1" t="n">
        <f aca="false">IF(COUNTIF('SQL Findings'!$A$4:$A$18,B649)&gt;0,1,0)</f>
        <v>1</v>
      </c>
      <c r="L649" s="1" t="n">
        <f aca="false">SUM(H649:K649)</f>
        <v>1</v>
      </c>
      <c r="M649" s="1" t="str">
        <f aca="false">IF(L649&gt;=2,"High",IF(L649=1,"Medium","Low"))</f>
        <v>Medium</v>
      </c>
    </row>
    <row r="650" customFormat="false" ht="15" hidden="false" customHeight="true" outlineLevel="0" collapsed="false">
      <c r="A650" s="1" t="str">
        <f aca="false">Transactions!A650</f>
        <v>TXN501149</v>
      </c>
      <c r="B650" s="1" t="str">
        <f aca="false">Transactions!B650</f>
        <v>ACC1050</v>
      </c>
      <c r="C650" s="1" t="str">
        <f aca="false">Transactions!I650</f>
        <v>2026-02-10</v>
      </c>
      <c r="D650" s="1" t="n">
        <f aca="false">Transactions!J650</f>
        <v>12</v>
      </c>
      <c r="E650" s="1" t="n">
        <f aca="false">Transactions!D650</f>
        <v>280.07</v>
      </c>
      <c r="F650" s="1" t="str">
        <f aca="false">Transactions!H650</f>
        <v>Online</v>
      </c>
      <c r="G650" s="1" t="str">
        <f aca="false">Transactions!G650</f>
        <v>Cash Withdrawal</v>
      </c>
      <c r="H650" s="1" t="n">
        <f aca="false">IF(COUNTIFS($B$2:$B$1489,B650,$C$2:$C$1489,C650,$D$2:$D$1489,D650)&gt;6,1,0)</f>
        <v>0</v>
      </c>
      <c r="I650" s="1" t="n">
        <f aca="false">IF(AND(F650="Wire",E650&gt;=1000,MOD(E650,1000)=0),1,0)</f>
        <v>0</v>
      </c>
      <c r="J650" s="1" t="n">
        <f aca="false">IF(AND(F650="ATM",E650&gt;2000,D650&lt;=4),1,0)</f>
        <v>0</v>
      </c>
      <c r="K650" s="1" t="n">
        <f aca="false">IF(COUNTIF('SQL Findings'!$A$4:$A$18,B650)&gt;0,1,0)</f>
        <v>0</v>
      </c>
      <c r="L650" s="1" t="n">
        <f aca="false">SUM(H650:K650)</f>
        <v>0</v>
      </c>
      <c r="M650" s="1" t="str">
        <f aca="false">IF(L650&gt;=2,"High",IF(L650=1,"Medium","Low"))</f>
        <v>Low</v>
      </c>
    </row>
    <row r="651" customFormat="false" ht="15" hidden="false" customHeight="true" outlineLevel="0" collapsed="false">
      <c r="A651" s="1" t="str">
        <f aca="false">Transactions!A651</f>
        <v>TXN501398</v>
      </c>
      <c r="B651" s="1" t="str">
        <f aca="false">Transactions!B651</f>
        <v>ACC1024</v>
      </c>
      <c r="C651" s="1" t="str">
        <f aca="false">Transactions!I651</f>
        <v>2026-02-10</v>
      </c>
      <c r="D651" s="1" t="n">
        <f aca="false">Transactions!J651</f>
        <v>12</v>
      </c>
      <c r="E651" s="1" t="n">
        <f aca="false">Transactions!D651</f>
        <v>2693.67</v>
      </c>
      <c r="F651" s="1" t="str">
        <f aca="false">Transactions!H651</f>
        <v>Wire</v>
      </c>
      <c r="G651" s="1" t="str">
        <f aca="false">Transactions!G651</f>
        <v>Wire Transfer</v>
      </c>
      <c r="H651" s="1" t="n">
        <f aca="false">IF(COUNTIFS($B$2:$B$1489,B651,$C$2:$C$1489,C651,$D$2:$D$1489,D651)&gt;6,1,0)</f>
        <v>0</v>
      </c>
      <c r="I651" s="1" t="n">
        <f aca="false">IF(AND(F651="Wire",E651&gt;=1000,MOD(E651,1000)=0),1,0)</f>
        <v>0</v>
      </c>
      <c r="J651" s="1" t="n">
        <f aca="false">IF(AND(F651="ATM",E651&gt;2000,D651&lt;=4),1,0)</f>
        <v>0</v>
      </c>
      <c r="K651" s="1" t="n">
        <f aca="false">IF(COUNTIF('SQL Findings'!$A$4:$A$18,B651)&gt;0,1,0)</f>
        <v>1</v>
      </c>
      <c r="L651" s="1" t="n">
        <f aca="false">SUM(H651:K651)</f>
        <v>1</v>
      </c>
      <c r="M651" s="1" t="str">
        <f aca="false">IF(L651&gt;=2,"High",IF(L651=1,"Medium","Low"))</f>
        <v>Medium</v>
      </c>
    </row>
    <row r="652" customFormat="false" ht="15" hidden="false" customHeight="true" outlineLevel="0" collapsed="false">
      <c r="A652" s="1" t="str">
        <f aca="false">Transactions!A652</f>
        <v>TXN500719</v>
      </c>
      <c r="B652" s="1" t="str">
        <f aca="false">Transactions!B652</f>
        <v>ACC1031</v>
      </c>
      <c r="C652" s="1" t="str">
        <f aca="false">Transactions!I652</f>
        <v>2026-02-10</v>
      </c>
      <c r="D652" s="1" t="n">
        <f aca="false">Transactions!J652</f>
        <v>13</v>
      </c>
      <c r="E652" s="1" t="n">
        <f aca="false">Transactions!D652</f>
        <v>48.07</v>
      </c>
      <c r="F652" s="1" t="str">
        <f aca="false">Transactions!H652</f>
        <v>POS</v>
      </c>
      <c r="G652" s="1" t="str">
        <f aca="false">Transactions!G652</f>
        <v>Utilities</v>
      </c>
      <c r="H652" s="1" t="n">
        <f aca="false">IF(COUNTIFS($B$2:$B$1489,B652,$C$2:$C$1489,C652,$D$2:$D$1489,D652)&gt;6,1,0)</f>
        <v>0</v>
      </c>
      <c r="I652" s="1" t="n">
        <f aca="false">IF(AND(F652="Wire",E652&gt;=1000,MOD(E652,1000)=0),1,0)</f>
        <v>0</v>
      </c>
      <c r="J652" s="1" t="n">
        <f aca="false">IF(AND(F652="ATM",E652&gt;2000,D652&lt;=4),1,0)</f>
        <v>0</v>
      </c>
      <c r="K652" s="1" t="n">
        <f aca="false">IF(COUNTIF('SQL Findings'!$A$4:$A$18,B652)&gt;0,1,0)</f>
        <v>0</v>
      </c>
      <c r="L652" s="1" t="n">
        <f aca="false">SUM(H652:K652)</f>
        <v>0</v>
      </c>
      <c r="M652" s="1" t="str">
        <f aca="false">IF(L652&gt;=2,"High",IF(L652=1,"Medium","Low"))</f>
        <v>Low</v>
      </c>
    </row>
    <row r="653" customFormat="false" ht="15" hidden="false" customHeight="true" outlineLevel="0" collapsed="false">
      <c r="A653" s="1" t="str">
        <f aca="false">Transactions!A653</f>
        <v>TXN501399</v>
      </c>
      <c r="B653" s="1" t="str">
        <f aca="false">Transactions!B653</f>
        <v>ACC1024</v>
      </c>
      <c r="C653" s="1" t="str">
        <f aca="false">Transactions!I653</f>
        <v>2026-02-10</v>
      </c>
      <c r="D653" s="1" t="n">
        <f aca="false">Transactions!J653</f>
        <v>13</v>
      </c>
      <c r="E653" s="1" t="n">
        <f aca="false">Transactions!D653</f>
        <v>2931.62</v>
      </c>
      <c r="F653" s="1" t="str">
        <f aca="false">Transactions!H653</f>
        <v>Wire</v>
      </c>
      <c r="G653" s="1" t="str">
        <f aca="false">Transactions!G653</f>
        <v>Wire Transfer</v>
      </c>
      <c r="H653" s="1" t="n">
        <f aca="false">IF(COUNTIFS($B$2:$B$1489,B653,$C$2:$C$1489,C653,$D$2:$D$1489,D653)&gt;6,1,0)</f>
        <v>0</v>
      </c>
      <c r="I653" s="1" t="n">
        <f aca="false">IF(AND(F653="Wire",E653&gt;=1000,MOD(E653,1000)=0),1,0)</f>
        <v>0</v>
      </c>
      <c r="J653" s="1" t="n">
        <f aca="false">IF(AND(F653="ATM",E653&gt;2000,D653&lt;=4),1,0)</f>
        <v>0</v>
      </c>
      <c r="K653" s="1" t="n">
        <f aca="false">IF(COUNTIF('SQL Findings'!$A$4:$A$18,B653)&gt;0,1,0)</f>
        <v>1</v>
      </c>
      <c r="L653" s="1" t="n">
        <f aca="false">SUM(H653:K653)</f>
        <v>1</v>
      </c>
      <c r="M653" s="1" t="str">
        <f aca="false">IF(L653&gt;=2,"High",IF(L653=1,"Medium","Low"))</f>
        <v>Medium</v>
      </c>
    </row>
    <row r="654" customFormat="false" ht="15" hidden="false" customHeight="true" outlineLevel="0" collapsed="false">
      <c r="A654" s="1" t="str">
        <f aca="false">Transactions!A654</f>
        <v>TXN500084</v>
      </c>
      <c r="B654" s="1" t="str">
        <f aca="false">Transactions!B654</f>
        <v>ACC1003</v>
      </c>
      <c r="C654" s="1" t="str">
        <f aca="false">Transactions!I654</f>
        <v>2026-02-10</v>
      </c>
      <c r="D654" s="1" t="n">
        <f aca="false">Transactions!J654</f>
        <v>14</v>
      </c>
      <c r="E654" s="1" t="n">
        <f aca="false">Transactions!D654</f>
        <v>41.83</v>
      </c>
      <c r="F654" s="1" t="str">
        <f aca="false">Transactions!H654</f>
        <v>ATM</v>
      </c>
      <c r="G654" s="1" t="str">
        <f aca="false">Transactions!G654</f>
        <v>Utilities</v>
      </c>
      <c r="H654" s="1" t="n">
        <f aca="false">IF(COUNTIFS($B$2:$B$1489,B654,$C$2:$C$1489,C654,$D$2:$D$1489,D654)&gt;6,1,0)</f>
        <v>0</v>
      </c>
      <c r="I654" s="1" t="n">
        <f aca="false">IF(AND(F654="Wire",E654&gt;=1000,MOD(E654,1000)=0),1,0)</f>
        <v>0</v>
      </c>
      <c r="J654" s="1" t="n">
        <f aca="false">IF(AND(F654="ATM",E654&gt;2000,D654&lt;=4),1,0)</f>
        <v>0</v>
      </c>
      <c r="K654" s="1" t="n">
        <f aca="false">IF(COUNTIF('SQL Findings'!$A$4:$A$18,B654)&gt;0,1,0)</f>
        <v>0</v>
      </c>
      <c r="L654" s="1" t="n">
        <f aca="false">SUM(H654:K654)</f>
        <v>0</v>
      </c>
      <c r="M654" s="1" t="str">
        <f aca="false">IF(L654&gt;=2,"High",IF(L654=1,"Medium","Low"))</f>
        <v>Low</v>
      </c>
    </row>
    <row r="655" customFormat="false" ht="15" hidden="false" customHeight="true" outlineLevel="0" collapsed="false">
      <c r="A655" s="1" t="str">
        <f aca="false">Transactions!A655</f>
        <v>TXN500262</v>
      </c>
      <c r="B655" s="1" t="str">
        <f aca="false">Transactions!B655</f>
        <v>ACC1011</v>
      </c>
      <c r="C655" s="1" t="str">
        <f aca="false">Transactions!I655</f>
        <v>2026-02-10</v>
      </c>
      <c r="D655" s="1" t="n">
        <f aca="false">Transactions!J655</f>
        <v>14</v>
      </c>
      <c r="E655" s="1" t="n">
        <f aca="false">Transactions!D655</f>
        <v>63.21</v>
      </c>
      <c r="F655" s="1" t="str">
        <f aca="false">Transactions!H655</f>
        <v>ATM</v>
      </c>
      <c r="G655" s="1" t="str">
        <f aca="false">Transactions!G655</f>
        <v>Travel</v>
      </c>
      <c r="H655" s="1" t="n">
        <f aca="false">IF(COUNTIFS($B$2:$B$1489,B655,$C$2:$C$1489,C655,$D$2:$D$1489,D655)&gt;6,1,0)</f>
        <v>0</v>
      </c>
      <c r="I655" s="1" t="n">
        <f aca="false">IF(AND(F655="Wire",E655&gt;=1000,MOD(E655,1000)=0),1,0)</f>
        <v>0</v>
      </c>
      <c r="J655" s="1" t="n">
        <f aca="false">IF(AND(F655="ATM",E655&gt;2000,D655&lt;=4),1,0)</f>
        <v>0</v>
      </c>
      <c r="K655" s="1" t="n">
        <f aca="false">IF(COUNTIF('SQL Findings'!$A$4:$A$18,B655)&gt;0,1,0)</f>
        <v>0</v>
      </c>
      <c r="L655" s="1" t="n">
        <f aca="false">SUM(H655:K655)</f>
        <v>0</v>
      </c>
      <c r="M655" s="1" t="str">
        <f aca="false">IF(L655&gt;=2,"High",IF(L655=1,"Medium","Low"))</f>
        <v>Low</v>
      </c>
    </row>
    <row r="656" customFormat="false" ht="15" hidden="false" customHeight="true" outlineLevel="0" collapsed="false">
      <c r="A656" s="1" t="str">
        <f aca="false">Transactions!A656</f>
        <v>TXN500386</v>
      </c>
      <c r="B656" s="1" t="str">
        <f aca="false">Transactions!B656</f>
        <v>ACC1016</v>
      </c>
      <c r="C656" s="1" t="str">
        <f aca="false">Transactions!I656</f>
        <v>2026-02-10</v>
      </c>
      <c r="D656" s="1" t="n">
        <f aca="false">Transactions!J656</f>
        <v>14</v>
      </c>
      <c r="E656" s="1" t="n">
        <f aca="false">Transactions!D656</f>
        <v>76.35</v>
      </c>
      <c r="F656" s="1" t="str">
        <f aca="false">Transactions!H656</f>
        <v>ATM</v>
      </c>
      <c r="G656" s="1" t="str">
        <f aca="false">Transactions!G656</f>
        <v>Online Marketplace</v>
      </c>
      <c r="H656" s="1" t="n">
        <f aca="false">IF(COUNTIFS($B$2:$B$1489,B656,$C$2:$C$1489,C656,$D$2:$D$1489,D656)&gt;6,1,0)</f>
        <v>0</v>
      </c>
      <c r="I656" s="1" t="n">
        <f aca="false">IF(AND(F656="Wire",E656&gt;=1000,MOD(E656,1000)=0),1,0)</f>
        <v>0</v>
      </c>
      <c r="J656" s="1" t="n">
        <f aca="false">IF(AND(F656="ATM",E656&gt;2000,D656&lt;=4),1,0)</f>
        <v>0</v>
      </c>
      <c r="K656" s="1" t="n">
        <f aca="false">IF(COUNTIF('SQL Findings'!$A$4:$A$18,B656)&gt;0,1,0)</f>
        <v>0</v>
      </c>
      <c r="L656" s="1" t="n">
        <f aca="false">SUM(H656:K656)</f>
        <v>0</v>
      </c>
      <c r="M656" s="1" t="str">
        <f aca="false">IF(L656&gt;=2,"High",IF(L656=1,"Medium","Low"))</f>
        <v>Low</v>
      </c>
    </row>
    <row r="657" customFormat="false" ht="15" hidden="false" customHeight="true" outlineLevel="0" collapsed="false">
      <c r="A657" s="1" t="str">
        <f aca="false">Transactions!A657</f>
        <v>TXN500378</v>
      </c>
      <c r="B657" s="1" t="str">
        <f aca="false">Transactions!B657</f>
        <v>ACC1016</v>
      </c>
      <c r="C657" s="1" t="str">
        <f aca="false">Transactions!I657</f>
        <v>2026-02-10</v>
      </c>
      <c r="D657" s="1" t="n">
        <f aca="false">Transactions!J657</f>
        <v>14</v>
      </c>
      <c r="E657" s="1" t="n">
        <f aca="false">Transactions!D657</f>
        <v>78.65</v>
      </c>
      <c r="F657" s="1" t="str">
        <f aca="false">Transactions!H657</f>
        <v>ATM</v>
      </c>
      <c r="G657" s="1" t="str">
        <f aca="false">Transactions!G657</f>
        <v>Electronics</v>
      </c>
      <c r="H657" s="1" t="n">
        <f aca="false">IF(COUNTIFS($B$2:$B$1489,B657,$C$2:$C$1489,C657,$D$2:$D$1489,D657)&gt;6,1,0)</f>
        <v>0</v>
      </c>
      <c r="I657" s="1" t="n">
        <f aca="false">IF(AND(F657="Wire",E657&gt;=1000,MOD(E657,1000)=0),1,0)</f>
        <v>0</v>
      </c>
      <c r="J657" s="1" t="n">
        <f aca="false">IF(AND(F657="ATM",E657&gt;2000,D657&lt;=4),1,0)</f>
        <v>0</v>
      </c>
      <c r="K657" s="1" t="n">
        <f aca="false">IF(COUNTIF('SQL Findings'!$A$4:$A$18,B657)&gt;0,1,0)</f>
        <v>0</v>
      </c>
      <c r="L657" s="1" t="n">
        <f aca="false">SUM(H657:K657)</f>
        <v>0</v>
      </c>
      <c r="M657" s="1" t="str">
        <f aca="false">IF(L657&gt;=2,"High",IF(L657=1,"Medium","Low"))</f>
        <v>Low</v>
      </c>
    </row>
    <row r="658" customFormat="false" ht="15" hidden="false" customHeight="true" outlineLevel="0" collapsed="false">
      <c r="A658" s="1" t="str">
        <f aca="false">Transactions!A658</f>
        <v>TXN501271</v>
      </c>
      <c r="B658" s="1" t="str">
        <f aca="false">Transactions!B658</f>
        <v>ACC1055</v>
      </c>
      <c r="C658" s="1" t="str">
        <f aca="false">Transactions!I658</f>
        <v>2026-02-10</v>
      </c>
      <c r="D658" s="1" t="n">
        <f aca="false">Transactions!J658</f>
        <v>15</v>
      </c>
      <c r="E658" s="1" t="n">
        <f aca="false">Transactions!D658</f>
        <v>178.07</v>
      </c>
      <c r="F658" s="1" t="str">
        <f aca="false">Transactions!H658</f>
        <v>POS</v>
      </c>
      <c r="G658" s="1" t="str">
        <f aca="false">Transactions!G658</f>
        <v>Wire Transfer</v>
      </c>
      <c r="H658" s="1" t="n">
        <f aca="false">IF(COUNTIFS($B$2:$B$1489,B658,$C$2:$C$1489,C658,$D$2:$D$1489,D658)&gt;6,1,0)</f>
        <v>0</v>
      </c>
      <c r="I658" s="1" t="n">
        <f aca="false">IF(AND(F658="Wire",E658&gt;=1000,MOD(E658,1000)=0),1,0)</f>
        <v>0</v>
      </c>
      <c r="J658" s="1" t="n">
        <f aca="false">IF(AND(F658="ATM",E658&gt;2000,D658&lt;=4),1,0)</f>
        <v>0</v>
      </c>
      <c r="K658" s="1" t="n">
        <f aca="false">IF(COUNTIF('SQL Findings'!$A$4:$A$18,B658)&gt;0,1,0)</f>
        <v>1</v>
      </c>
      <c r="L658" s="1" t="n">
        <f aca="false">SUM(H658:K658)</f>
        <v>1</v>
      </c>
      <c r="M658" s="1" t="str">
        <f aca="false">IF(L658&gt;=2,"High",IF(L658=1,"Medium","Low"))</f>
        <v>Medium</v>
      </c>
    </row>
    <row r="659" customFormat="false" ht="15" hidden="false" customHeight="true" outlineLevel="0" collapsed="false">
      <c r="A659" s="1" t="str">
        <f aca="false">Transactions!A659</f>
        <v>TXN501319</v>
      </c>
      <c r="B659" s="1" t="str">
        <f aca="false">Transactions!B659</f>
        <v>ACC1057</v>
      </c>
      <c r="C659" s="1" t="str">
        <f aca="false">Transactions!I659</f>
        <v>2026-02-10</v>
      </c>
      <c r="D659" s="1" t="n">
        <f aca="false">Transactions!J659</f>
        <v>15</v>
      </c>
      <c r="E659" s="1" t="n">
        <f aca="false">Transactions!D659</f>
        <v>38.53</v>
      </c>
      <c r="F659" s="1" t="str">
        <f aca="false">Transactions!H659</f>
        <v>Online</v>
      </c>
      <c r="G659" s="1" t="str">
        <f aca="false">Transactions!G659</f>
        <v>Wire Transfer</v>
      </c>
      <c r="H659" s="1" t="n">
        <f aca="false">IF(COUNTIFS($B$2:$B$1489,B659,$C$2:$C$1489,C659,$D$2:$D$1489,D659)&gt;6,1,0)</f>
        <v>0</v>
      </c>
      <c r="I659" s="1" t="n">
        <f aca="false">IF(AND(F659="Wire",E659&gt;=1000,MOD(E659,1000)=0),1,0)</f>
        <v>0</v>
      </c>
      <c r="J659" s="1" t="n">
        <f aca="false">IF(AND(F659="ATM",E659&gt;2000,D659&lt;=4),1,0)</f>
        <v>0</v>
      </c>
      <c r="K659" s="1" t="n">
        <f aca="false">IF(COUNTIF('SQL Findings'!$A$4:$A$18,B659)&gt;0,1,0)</f>
        <v>1</v>
      </c>
      <c r="L659" s="1" t="n">
        <f aca="false">SUM(H659:K659)</f>
        <v>1</v>
      </c>
      <c r="M659" s="1" t="str">
        <f aca="false">IF(L659&gt;=2,"High",IF(L659=1,"Medium","Low"))</f>
        <v>Medium</v>
      </c>
    </row>
    <row r="660" customFormat="false" ht="15" hidden="false" customHeight="true" outlineLevel="0" collapsed="false">
      <c r="A660" s="1" t="str">
        <f aca="false">Transactions!A660</f>
        <v>TXN500402</v>
      </c>
      <c r="B660" s="1" t="str">
        <f aca="false">Transactions!B660</f>
        <v>ACC1017</v>
      </c>
      <c r="C660" s="1" t="str">
        <f aca="false">Transactions!I660</f>
        <v>2026-02-10</v>
      </c>
      <c r="D660" s="1" t="n">
        <f aca="false">Transactions!J660</f>
        <v>15</v>
      </c>
      <c r="E660" s="1" t="n">
        <f aca="false">Transactions!D660</f>
        <v>38.88</v>
      </c>
      <c r="F660" s="1" t="str">
        <f aca="false">Transactions!H660</f>
        <v>Online</v>
      </c>
      <c r="G660" s="1" t="str">
        <f aca="false">Transactions!G660</f>
        <v>Cash Withdrawal</v>
      </c>
      <c r="H660" s="1" t="n">
        <f aca="false">IF(COUNTIFS($B$2:$B$1489,B660,$C$2:$C$1489,C660,$D$2:$D$1489,D660)&gt;6,1,0)</f>
        <v>0</v>
      </c>
      <c r="I660" s="1" t="n">
        <f aca="false">IF(AND(F660="Wire",E660&gt;=1000,MOD(E660,1000)=0),1,0)</f>
        <v>0</v>
      </c>
      <c r="J660" s="1" t="n">
        <f aca="false">IF(AND(F660="ATM",E660&gt;2000,D660&lt;=4),1,0)</f>
        <v>0</v>
      </c>
      <c r="K660" s="1" t="n">
        <f aca="false">IF(COUNTIF('SQL Findings'!$A$4:$A$18,B660)&gt;0,1,0)</f>
        <v>0</v>
      </c>
      <c r="L660" s="1" t="n">
        <f aca="false">SUM(H660:K660)</f>
        <v>0</v>
      </c>
      <c r="M660" s="1" t="str">
        <f aca="false">IF(L660&gt;=2,"High",IF(L660=1,"Medium","Low"))</f>
        <v>Low</v>
      </c>
    </row>
    <row r="661" customFormat="false" ht="15" hidden="false" customHeight="true" outlineLevel="0" collapsed="false">
      <c r="A661" s="1" t="str">
        <f aca="false">Transactions!A661</f>
        <v>TXN501207</v>
      </c>
      <c r="B661" s="1" t="str">
        <f aca="false">Transactions!B661</f>
        <v>ACC1053</v>
      </c>
      <c r="C661" s="1" t="str">
        <f aca="false">Transactions!I661</f>
        <v>2026-02-10</v>
      </c>
      <c r="D661" s="1" t="n">
        <f aca="false">Transactions!J661</f>
        <v>17</v>
      </c>
      <c r="E661" s="1" t="n">
        <f aca="false">Transactions!D661</f>
        <v>35.45</v>
      </c>
      <c r="F661" s="1" t="str">
        <f aca="false">Transactions!H661</f>
        <v>Online</v>
      </c>
      <c r="G661" s="1" t="str">
        <f aca="false">Transactions!G661</f>
        <v>Retail</v>
      </c>
      <c r="H661" s="1" t="n">
        <f aca="false">IF(COUNTIFS($B$2:$B$1489,B661,$C$2:$C$1489,C661,$D$2:$D$1489,D661)&gt;6,1,0)</f>
        <v>0</v>
      </c>
      <c r="I661" s="1" t="n">
        <f aca="false">IF(AND(F661="Wire",E661&gt;=1000,MOD(E661,1000)=0),1,0)</f>
        <v>0</v>
      </c>
      <c r="J661" s="1" t="n">
        <f aca="false">IF(AND(F661="ATM",E661&gt;2000,D661&lt;=4),1,0)</f>
        <v>0</v>
      </c>
      <c r="K661" s="1" t="n">
        <f aca="false">IF(COUNTIF('SQL Findings'!$A$4:$A$18,B661)&gt;0,1,0)</f>
        <v>0</v>
      </c>
      <c r="L661" s="1" t="n">
        <f aca="false">SUM(H661:K661)</f>
        <v>0</v>
      </c>
      <c r="M661" s="1" t="str">
        <f aca="false">IF(L661&gt;=2,"High",IF(L661=1,"Medium","Low"))</f>
        <v>Low</v>
      </c>
    </row>
    <row r="662" customFormat="false" ht="15" hidden="false" customHeight="true" outlineLevel="0" collapsed="false">
      <c r="A662" s="1" t="str">
        <f aca="false">Transactions!A662</f>
        <v>TXN500824</v>
      </c>
      <c r="B662" s="1" t="str">
        <f aca="false">Transactions!B662</f>
        <v>ACC1035</v>
      </c>
      <c r="C662" s="1" t="str">
        <f aca="false">Transactions!I662</f>
        <v>2026-02-10</v>
      </c>
      <c r="D662" s="1" t="n">
        <f aca="false">Transactions!J662</f>
        <v>17</v>
      </c>
      <c r="E662" s="1" t="n">
        <f aca="false">Transactions!D662</f>
        <v>48.11</v>
      </c>
      <c r="F662" s="1" t="str">
        <f aca="false">Transactions!H662</f>
        <v>Online</v>
      </c>
      <c r="G662" s="1" t="str">
        <f aca="false">Transactions!G662</f>
        <v>Electronics</v>
      </c>
      <c r="H662" s="1" t="n">
        <f aca="false">IF(COUNTIFS($B$2:$B$1489,B662,$C$2:$C$1489,C662,$D$2:$D$1489,D662)&gt;6,1,0)</f>
        <v>0</v>
      </c>
      <c r="I662" s="1" t="n">
        <f aca="false">IF(AND(F662="Wire",E662&gt;=1000,MOD(E662,1000)=0),1,0)</f>
        <v>0</v>
      </c>
      <c r="J662" s="1" t="n">
        <f aca="false">IF(AND(F662="ATM",E662&gt;2000,D662&lt;=4),1,0)</f>
        <v>0</v>
      </c>
      <c r="K662" s="1" t="n">
        <f aca="false">IF(COUNTIF('SQL Findings'!$A$4:$A$18,B662)&gt;0,1,0)</f>
        <v>0</v>
      </c>
      <c r="L662" s="1" t="n">
        <f aca="false">SUM(H662:K662)</f>
        <v>0</v>
      </c>
      <c r="M662" s="1" t="str">
        <f aca="false">IF(L662&gt;=2,"High",IF(L662=1,"Medium","Low"))</f>
        <v>Low</v>
      </c>
    </row>
    <row r="663" customFormat="false" ht="15" hidden="false" customHeight="true" outlineLevel="0" collapsed="false">
      <c r="A663" s="1" t="str">
        <f aca="false">Transactions!A663</f>
        <v>TXN501122</v>
      </c>
      <c r="B663" s="1" t="str">
        <f aca="false">Transactions!B663</f>
        <v>ACC1049</v>
      </c>
      <c r="C663" s="1" t="str">
        <f aca="false">Transactions!I663</f>
        <v>2026-02-10</v>
      </c>
      <c r="D663" s="1" t="n">
        <f aca="false">Transactions!J663</f>
        <v>23</v>
      </c>
      <c r="E663" s="1" t="n">
        <f aca="false">Transactions!D663</f>
        <v>194.09</v>
      </c>
      <c r="F663" s="1" t="str">
        <f aca="false">Transactions!H663</f>
        <v>Online</v>
      </c>
      <c r="G663" s="1" t="str">
        <f aca="false">Transactions!G663</f>
        <v>Cash Withdrawal</v>
      </c>
      <c r="H663" s="1" t="n">
        <f aca="false">IF(COUNTIFS($B$2:$B$1489,B663,$C$2:$C$1489,C663,$D$2:$D$1489,D663)&gt;6,1,0)</f>
        <v>0</v>
      </c>
      <c r="I663" s="1" t="n">
        <f aca="false">IF(AND(F663="Wire",E663&gt;=1000,MOD(E663,1000)=0),1,0)</f>
        <v>0</v>
      </c>
      <c r="J663" s="1" t="n">
        <f aca="false">IF(AND(F663="ATM",E663&gt;2000,D663&lt;=4),1,0)</f>
        <v>0</v>
      </c>
      <c r="K663" s="1" t="n">
        <f aca="false">IF(COUNTIF('SQL Findings'!$A$4:$A$18,B663)&gt;0,1,0)</f>
        <v>0</v>
      </c>
      <c r="L663" s="1" t="n">
        <f aca="false">SUM(H663:K663)</f>
        <v>0</v>
      </c>
      <c r="M663" s="1" t="str">
        <f aca="false">IF(L663&gt;=2,"High",IF(L663=1,"Medium","Low"))</f>
        <v>Low</v>
      </c>
    </row>
    <row r="664" customFormat="false" ht="15" hidden="false" customHeight="true" outlineLevel="0" collapsed="false">
      <c r="A664" s="1" t="str">
        <f aca="false">Transactions!A664</f>
        <v>TXN500734</v>
      </c>
      <c r="B664" s="1" t="str">
        <f aca="false">Transactions!B664</f>
        <v>ACC1031</v>
      </c>
      <c r="C664" s="1" t="str">
        <f aca="false">Transactions!I664</f>
        <v>2026-02-11</v>
      </c>
      <c r="D664" s="1" t="n">
        <f aca="false">Transactions!J664</f>
        <v>6</v>
      </c>
      <c r="E664" s="1" t="n">
        <f aca="false">Transactions!D664</f>
        <v>14.41</v>
      </c>
      <c r="F664" s="1" t="str">
        <f aca="false">Transactions!H664</f>
        <v>ATM</v>
      </c>
      <c r="G664" s="1" t="str">
        <f aca="false">Transactions!G664</f>
        <v>Wire Transfer</v>
      </c>
      <c r="H664" s="1" t="n">
        <f aca="false">IF(COUNTIFS($B$2:$B$1489,B664,$C$2:$C$1489,C664,$D$2:$D$1489,D664)&gt;6,1,0)</f>
        <v>0</v>
      </c>
      <c r="I664" s="1" t="n">
        <f aca="false">IF(AND(F664="Wire",E664&gt;=1000,MOD(E664,1000)=0),1,0)</f>
        <v>0</v>
      </c>
      <c r="J664" s="1" t="n">
        <f aca="false">IF(AND(F664="ATM",E664&gt;2000,D664&lt;=4),1,0)</f>
        <v>0</v>
      </c>
      <c r="K664" s="1" t="n">
        <f aca="false">IF(COUNTIF('SQL Findings'!$A$4:$A$18,B664)&gt;0,1,0)</f>
        <v>0</v>
      </c>
      <c r="L664" s="1" t="n">
        <f aca="false">SUM(H664:K664)</f>
        <v>0</v>
      </c>
      <c r="M664" s="1" t="str">
        <f aca="false">IF(L664&gt;=2,"High",IF(L664=1,"Medium","Low"))</f>
        <v>Low</v>
      </c>
    </row>
    <row r="665" customFormat="false" ht="15" hidden="false" customHeight="true" outlineLevel="0" collapsed="false">
      <c r="A665" s="1" t="str">
        <f aca="false">Transactions!A665</f>
        <v>TXN500700</v>
      </c>
      <c r="B665" s="1" t="str">
        <f aca="false">Transactions!B665</f>
        <v>ACC1030</v>
      </c>
      <c r="C665" s="1" t="str">
        <f aca="false">Transactions!I665</f>
        <v>2026-02-11</v>
      </c>
      <c r="D665" s="1" t="n">
        <f aca="false">Transactions!J665</f>
        <v>6</v>
      </c>
      <c r="E665" s="1" t="n">
        <f aca="false">Transactions!D665</f>
        <v>56.46</v>
      </c>
      <c r="F665" s="1" t="str">
        <f aca="false">Transactions!H665</f>
        <v>Online</v>
      </c>
      <c r="G665" s="1" t="str">
        <f aca="false">Transactions!G665</f>
        <v>Dining</v>
      </c>
      <c r="H665" s="1" t="n">
        <f aca="false">IF(COUNTIFS($B$2:$B$1489,B665,$C$2:$C$1489,C665,$D$2:$D$1489,D665)&gt;6,1,0)</f>
        <v>0</v>
      </c>
      <c r="I665" s="1" t="n">
        <f aca="false">IF(AND(F665="Wire",E665&gt;=1000,MOD(E665,1000)=0),1,0)</f>
        <v>0</v>
      </c>
      <c r="J665" s="1" t="n">
        <f aca="false">IF(AND(F665="ATM",E665&gt;2000,D665&lt;=4),1,0)</f>
        <v>0</v>
      </c>
      <c r="K665" s="1" t="n">
        <f aca="false">IF(COUNTIF('SQL Findings'!$A$4:$A$18,B665)&gt;0,1,0)</f>
        <v>1</v>
      </c>
      <c r="L665" s="1" t="n">
        <f aca="false">SUM(H665:K665)</f>
        <v>1</v>
      </c>
      <c r="M665" s="1" t="str">
        <f aca="false">IF(L665&gt;=2,"High",IF(L665=1,"Medium","Low"))</f>
        <v>Medium</v>
      </c>
    </row>
    <row r="666" customFormat="false" ht="15" hidden="false" customHeight="true" outlineLevel="0" collapsed="false">
      <c r="A666" s="1" t="str">
        <f aca="false">Transactions!A666</f>
        <v>TXN500594</v>
      </c>
      <c r="B666" s="1" t="str">
        <f aca="false">Transactions!B666</f>
        <v>ACC1026</v>
      </c>
      <c r="C666" s="1" t="str">
        <f aca="false">Transactions!I666</f>
        <v>2026-02-11</v>
      </c>
      <c r="D666" s="1" t="n">
        <f aca="false">Transactions!J666</f>
        <v>7</v>
      </c>
      <c r="E666" s="1" t="n">
        <f aca="false">Transactions!D666</f>
        <v>90.04</v>
      </c>
      <c r="F666" s="1" t="str">
        <f aca="false">Transactions!H666</f>
        <v>ATM</v>
      </c>
      <c r="G666" s="1" t="str">
        <f aca="false">Transactions!G666</f>
        <v>Utilities</v>
      </c>
      <c r="H666" s="1" t="n">
        <f aca="false">IF(COUNTIFS($B$2:$B$1489,B666,$C$2:$C$1489,C666,$D$2:$D$1489,D666)&gt;6,1,0)</f>
        <v>0</v>
      </c>
      <c r="I666" s="1" t="n">
        <f aca="false">IF(AND(F666="Wire",E666&gt;=1000,MOD(E666,1000)=0),1,0)</f>
        <v>0</v>
      </c>
      <c r="J666" s="1" t="n">
        <f aca="false">IF(AND(F666="ATM",E666&gt;2000,D666&lt;=4),1,0)</f>
        <v>0</v>
      </c>
      <c r="K666" s="1" t="n">
        <f aca="false">IF(COUNTIF('SQL Findings'!$A$4:$A$18,B666)&gt;0,1,0)</f>
        <v>0</v>
      </c>
      <c r="L666" s="1" t="n">
        <f aca="false">SUM(H666:K666)</f>
        <v>0</v>
      </c>
      <c r="M666" s="1" t="str">
        <f aca="false">IF(L666&gt;=2,"High",IF(L666=1,"Medium","Low"))</f>
        <v>Low</v>
      </c>
    </row>
    <row r="667" customFormat="false" ht="15" hidden="false" customHeight="true" outlineLevel="0" collapsed="false">
      <c r="A667" s="1" t="str">
        <f aca="false">Transactions!A667</f>
        <v>TXN500694</v>
      </c>
      <c r="B667" s="1" t="str">
        <f aca="false">Transactions!B667</f>
        <v>ACC1030</v>
      </c>
      <c r="C667" s="1" t="str">
        <f aca="false">Transactions!I667</f>
        <v>2026-02-11</v>
      </c>
      <c r="D667" s="1" t="n">
        <f aca="false">Transactions!J667</f>
        <v>9</v>
      </c>
      <c r="E667" s="1" t="n">
        <f aca="false">Transactions!D667</f>
        <v>116.09</v>
      </c>
      <c r="F667" s="1" t="str">
        <f aca="false">Transactions!H667</f>
        <v>POS</v>
      </c>
      <c r="G667" s="1" t="str">
        <f aca="false">Transactions!G667</f>
        <v>Dining</v>
      </c>
      <c r="H667" s="1" t="n">
        <f aca="false">IF(COUNTIFS($B$2:$B$1489,B667,$C$2:$C$1489,C667,$D$2:$D$1489,D667)&gt;6,1,0)</f>
        <v>0</v>
      </c>
      <c r="I667" s="1" t="n">
        <f aca="false">IF(AND(F667="Wire",E667&gt;=1000,MOD(E667,1000)=0),1,0)</f>
        <v>0</v>
      </c>
      <c r="J667" s="1" t="n">
        <f aca="false">IF(AND(F667="ATM",E667&gt;2000,D667&lt;=4),1,0)</f>
        <v>0</v>
      </c>
      <c r="K667" s="1" t="n">
        <f aca="false">IF(COUNTIF('SQL Findings'!$A$4:$A$18,B667)&gt;0,1,0)</f>
        <v>1</v>
      </c>
      <c r="L667" s="1" t="n">
        <f aca="false">SUM(H667:K667)</f>
        <v>1</v>
      </c>
      <c r="M667" s="1" t="str">
        <f aca="false">IF(L667&gt;=2,"High",IF(L667=1,"Medium","Low"))</f>
        <v>Medium</v>
      </c>
    </row>
    <row r="668" customFormat="false" ht="15" hidden="false" customHeight="true" outlineLevel="0" collapsed="false">
      <c r="A668" s="1" t="str">
        <f aca="false">Transactions!A668</f>
        <v>TXN501247</v>
      </c>
      <c r="B668" s="1" t="str">
        <f aca="false">Transactions!B668</f>
        <v>ACC1054</v>
      </c>
      <c r="C668" s="1" t="str">
        <f aca="false">Transactions!I668</f>
        <v>2026-02-11</v>
      </c>
      <c r="D668" s="1" t="n">
        <f aca="false">Transactions!J668</f>
        <v>9</v>
      </c>
      <c r="E668" s="1" t="n">
        <f aca="false">Transactions!D668</f>
        <v>68.76</v>
      </c>
      <c r="F668" s="1" t="str">
        <f aca="false">Transactions!H668</f>
        <v>Online</v>
      </c>
      <c r="G668" s="1" t="str">
        <f aca="false">Transactions!G668</f>
        <v>Electronics</v>
      </c>
      <c r="H668" s="1" t="n">
        <f aca="false">IF(COUNTIFS($B$2:$B$1489,B668,$C$2:$C$1489,C668,$D$2:$D$1489,D668)&gt;6,1,0)</f>
        <v>0</v>
      </c>
      <c r="I668" s="1" t="n">
        <f aca="false">IF(AND(F668="Wire",E668&gt;=1000,MOD(E668,1000)=0),1,0)</f>
        <v>0</v>
      </c>
      <c r="J668" s="1" t="n">
        <f aca="false">IF(AND(F668="ATM",E668&gt;2000,D668&lt;=4),1,0)</f>
        <v>0</v>
      </c>
      <c r="K668" s="1" t="n">
        <f aca="false">IF(COUNTIF('SQL Findings'!$A$4:$A$18,B668)&gt;0,1,0)</f>
        <v>0</v>
      </c>
      <c r="L668" s="1" t="n">
        <f aca="false">SUM(H668:K668)</f>
        <v>0</v>
      </c>
      <c r="M668" s="1" t="str">
        <f aca="false">IF(L668&gt;=2,"High",IF(L668=1,"Medium","Low"))</f>
        <v>Low</v>
      </c>
    </row>
    <row r="669" customFormat="false" ht="15" hidden="false" customHeight="true" outlineLevel="0" collapsed="false">
      <c r="A669" s="1" t="str">
        <f aca="false">Transactions!A669</f>
        <v>TXN500117</v>
      </c>
      <c r="B669" s="1" t="str">
        <f aca="false">Transactions!B669</f>
        <v>ACC1004</v>
      </c>
      <c r="C669" s="1" t="str">
        <f aca="false">Transactions!I669</f>
        <v>2026-02-11</v>
      </c>
      <c r="D669" s="1" t="n">
        <f aca="false">Transactions!J669</f>
        <v>9</v>
      </c>
      <c r="E669" s="1" t="n">
        <f aca="false">Transactions!D669</f>
        <v>64.64</v>
      </c>
      <c r="F669" s="1" t="str">
        <f aca="false">Transactions!H669</f>
        <v>Online</v>
      </c>
      <c r="G669" s="1" t="str">
        <f aca="false">Transactions!G669</f>
        <v>Wire Transfer</v>
      </c>
      <c r="H669" s="1" t="n">
        <f aca="false">IF(COUNTIFS($B$2:$B$1489,B669,$C$2:$C$1489,C669,$D$2:$D$1489,D669)&gt;6,1,0)</f>
        <v>0</v>
      </c>
      <c r="I669" s="1" t="n">
        <f aca="false">IF(AND(F669="Wire",E669&gt;=1000,MOD(E669,1000)=0),1,0)</f>
        <v>0</v>
      </c>
      <c r="J669" s="1" t="n">
        <f aca="false">IF(AND(F669="ATM",E669&gt;2000,D669&lt;=4),1,0)</f>
        <v>0</v>
      </c>
      <c r="K669" s="1" t="n">
        <f aca="false">IF(COUNTIF('SQL Findings'!$A$4:$A$18,B669)&gt;0,1,0)</f>
        <v>1</v>
      </c>
      <c r="L669" s="1" t="n">
        <f aca="false">SUM(H669:K669)</f>
        <v>1</v>
      </c>
      <c r="M669" s="1" t="str">
        <f aca="false">IF(L669&gt;=2,"High",IF(L669=1,"Medium","Low"))</f>
        <v>Medium</v>
      </c>
    </row>
    <row r="670" customFormat="false" ht="15" hidden="false" customHeight="true" outlineLevel="0" collapsed="false">
      <c r="A670" s="1" t="str">
        <f aca="false">Transactions!A670</f>
        <v>TXN500929</v>
      </c>
      <c r="B670" s="1" t="str">
        <f aca="false">Transactions!B670</f>
        <v>ACC1040</v>
      </c>
      <c r="C670" s="1" t="str">
        <f aca="false">Transactions!I670</f>
        <v>2026-02-11</v>
      </c>
      <c r="D670" s="1" t="n">
        <f aca="false">Transactions!J670</f>
        <v>10</v>
      </c>
      <c r="E670" s="1" t="n">
        <f aca="false">Transactions!D670</f>
        <v>272.86</v>
      </c>
      <c r="F670" s="1" t="str">
        <f aca="false">Transactions!H670</f>
        <v>Online</v>
      </c>
      <c r="G670" s="1" t="str">
        <f aca="false">Transactions!G670</f>
        <v>Electronics</v>
      </c>
      <c r="H670" s="1" t="n">
        <f aca="false">IF(COUNTIFS($B$2:$B$1489,B670,$C$2:$C$1489,C670,$D$2:$D$1489,D670)&gt;6,1,0)</f>
        <v>0</v>
      </c>
      <c r="I670" s="1" t="n">
        <f aca="false">IF(AND(F670="Wire",E670&gt;=1000,MOD(E670,1000)=0),1,0)</f>
        <v>0</v>
      </c>
      <c r="J670" s="1" t="n">
        <f aca="false">IF(AND(F670="ATM",E670&gt;2000,D670&lt;=4),1,0)</f>
        <v>0</v>
      </c>
      <c r="K670" s="1" t="n">
        <f aca="false">IF(COUNTIF('SQL Findings'!$A$4:$A$18,B670)&gt;0,1,0)</f>
        <v>1</v>
      </c>
      <c r="L670" s="1" t="n">
        <f aca="false">SUM(H670:K670)</f>
        <v>1</v>
      </c>
      <c r="M670" s="1" t="str">
        <f aca="false">IF(L670&gt;=2,"High",IF(L670=1,"Medium","Low"))</f>
        <v>Medium</v>
      </c>
    </row>
    <row r="671" customFormat="false" ht="15" hidden="false" customHeight="true" outlineLevel="0" collapsed="false">
      <c r="A671" s="1" t="str">
        <f aca="false">Transactions!A671</f>
        <v>TXN500021</v>
      </c>
      <c r="B671" s="1" t="str">
        <f aca="false">Transactions!B671</f>
        <v>ACC1000</v>
      </c>
      <c r="C671" s="1" t="str">
        <f aca="false">Transactions!I671</f>
        <v>2026-02-11</v>
      </c>
      <c r="D671" s="1" t="n">
        <f aca="false">Transactions!J671</f>
        <v>11</v>
      </c>
      <c r="E671" s="1" t="n">
        <f aca="false">Transactions!D671</f>
        <v>249.41</v>
      </c>
      <c r="F671" s="1" t="str">
        <f aca="false">Transactions!H671</f>
        <v>Online</v>
      </c>
      <c r="G671" s="1" t="str">
        <f aca="false">Transactions!G671</f>
        <v>Cash Withdrawal</v>
      </c>
      <c r="H671" s="1" t="n">
        <f aca="false">IF(COUNTIFS($B$2:$B$1489,B671,$C$2:$C$1489,C671,$D$2:$D$1489,D671)&gt;6,1,0)</f>
        <v>0</v>
      </c>
      <c r="I671" s="1" t="n">
        <f aca="false">IF(AND(F671="Wire",E671&gt;=1000,MOD(E671,1000)=0),1,0)</f>
        <v>0</v>
      </c>
      <c r="J671" s="1" t="n">
        <f aca="false">IF(AND(F671="ATM",E671&gt;2000,D671&lt;=4),1,0)</f>
        <v>0</v>
      </c>
      <c r="K671" s="1" t="n">
        <f aca="false">IF(COUNTIF('SQL Findings'!$A$4:$A$18,B671)&gt;0,1,0)</f>
        <v>1</v>
      </c>
      <c r="L671" s="1" t="n">
        <f aca="false">SUM(H671:K671)</f>
        <v>1</v>
      </c>
      <c r="M671" s="1" t="str">
        <f aca="false">IF(L671&gt;=2,"High",IF(L671=1,"Medium","Low"))</f>
        <v>Medium</v>
      </c>
    </row>
    <row r="672" customFormat="false" ht="15" hidden="false" customHeight="true" outlineLevel="0" collapsed="false">
      <c r="A672" s="1" t="str">
        <f aca="false">Transactions!A672</f>
        <v>TXN501472</v>
      </c>
      <c r="B672" s="1" t="str">
        <f aca="false">Transactions!B672</f>
        <v>ACC1034</v>
      </c>
      <c r="C672" s="1" t="str">
        <f aca="false">Transactions!I672</f>
        <v>2026-02-11</v>
      </c>
      <c r="D672" s="1" t="n">
        <f aca="false">Transactions!J672</f>
        <v>12</v>
      </c>
      <c r="E672" s="1" t="n">
        <f aca="false">Transactions!D672</f>
        <v>1000</v>
      </c>
      <c r="F672" s="1" t="str">
        <f aca="false">Transactions!H672</f>
        <v>Wire</v>
      </c>
      <c r="G672" s="1" t="str">
        <f aca="false">Transactions!G672</f>
        <v>Wire Transfer</v>
      </c>
      <c r="H672" s="1" t="n">
        <f aca="false">IF(COUNTIFS($B$2:$B$1489,B672,$C$2:$C$1489,C672,$D$2:$D$1489,D672)&gt;6,1,0)</f>
        <v>0</v>
      </c>
      <c r="I672" s="1" t="n">
        <f aca="false">IF(AND(F672="Wire",E672&gt;=1000,MOD(E672,1000)=0),1,0)</f>
        <v>1</v>
      </c>
      <c r="J672" s="1" t="n">
        <f aca="false">IF(AND(F672="ATM",E672&gt;2000,D672&lt;=4),1,0)</f>
        <v>0</v>
      </c>
      <c r="K672" s="1" t="n">
        <f aca="false">IF(COUNTIF('SQL Findings'!$A$4:$A$18,B672)&gt;0,1,0)</f>
        <v>0</v>
      </c>
      <c r="L672" s="1" t="n">
        <f aca="false">SUM(H672:K672)</f>
        <v>1</v>
      </c>
      <c r="M672" s="1" t="str">
        <f aca="false">IF(L672&gt;=2,"High",IF(L672=1,"Medium","Low"))</f>
        <v>Medium</v>
      </c>
    </row>
    <row r="673" customFormat="false" ht="15" hidden="false" customHeight="true" outlineLevel="0" collapsed="false">
      <c r="A673" s="1" t="str">
        <f aca="false">Transactions!A673</f>
        <v>TXN500169</v>
      </c>
      <c r="B673" s="1" t="str">
        <f aca="false">Transactions!B673</f>
        <v>ACC1007</v>
      </c>
      <c r="C673" s="1" t="str">
        <f aca="false">Transactions!I673</f>
        <v>2026-02-11</v>
      </c>
      <c r="D673" s="1" t="n">
        <f aca="false">Transactions!J673</f>
        <v>13</v>
      </c>
      <c r="E673" s="1" t="n">
        <f aca="false">Transactions!D673</f>
        <v>53.47</v>
      </c>
      <c r="F673" s="1" t="str">
        <f aca="false">Transactions!H673</f>
        <v>POS</v>
      </c>
      <c r="G673" s="1" t="str">
        <f aca="false">Transactions!G673</f>
        <v>Electronics</v>
      </c>
      <c r="H673" s="1" t="n">
        <f aca="false">IF(COUNTIFS($B$2:$B$1489,B673,$C$2:$C$1489,C673,$D$2:$D$1489,D673)&gt;6,1,0)</f>
        <v>0</v>
      </c>
      <c r="I673" s="1" t="n">
        <f aca="false">IF(AND(F673="Wire",E673&gt;=1000,MOD(E673,1000)=0),1,0)</f>
        <v>0</v>
      </c>
      <c r="J673" s="1" t="n">
        <f aca="false">IF(AND(F673="ATM",E673&gt;2000,D673&lt;=4),1,0)</f>
        <v>0</v>
      </c>
      <c r="K673" s="1" t="n">
        <f aca="false">IF(COUNTIF('SQL Findings'!$A$4:$A$18,B673)&gt;0,1,0)</f>
        <v>0</v>
      </c>
      <c r="L673" s="1" t="n">
        <f aca="false">SUM(H673:K673)</f>
        <v>0</v>
      </c>
      <c r="M673" s="1" t="str">
        <f aca="false">IF(L673&gt;=2,"High",IF(L673=1,"Medium","Low"))</f>
        <v>Low</v>
      </c>
    </row>
    <row r="674" customFormat="false" ht="15" hidden="false" customHeight="true" outlineLevel="0" collapsed="false">
      <c r="A674" s="1" t="str">
        <f aca="false">Transactions!A674</f>
        <v>TXN500256</v>
      </c>
      <c r="B674" s="1" t="str">
        <f aca="false">Transactions!B674</f>
        <v>ACC1011</v>
      </c>
      <c r="C674" s="1" t="str">
        <f aca="false">Transactions!I674</f>
        <v>2026-02-11</v>
      </c>
      <c r="D674" s="1" t="n">
        <f aca="false">Transactions!J674</f>
        <v>13</v>
      </c>
      <c r="E674" s="1" t="n">
        <f aca="false">Transactions!D674</f>
        <v>43.13</v>
      </c>
      <c r="F674" s="1" t="str">
        <f aca="false">Transactions!H674</f>
        <v>Online</v>
      </c>
      <c r="G674" s="1" t="str">
        <f aca="false">Transactions!G674</f>
        <v>Travel</v>
      </c>
      <c r="H674" s="1" t="n">
        <f aca="false">IF(COUNTIFS($B$2:$B$1489,B674,$C$2:$C$1489,C674,$D$2:$D$1489,D674)&gt;6,1,0)</f>
        <v>0</v>
      </c>
      <c r="I674" s="1" t="n">
        <f aca="false">IF(AND(F674="Wire",E674&gt;=1000,MOD(E674,1000)=0),1,0)</f>
        <v>0</v>
      </c>
      <c r="J674" s="1" t="n">
        <f aca="false">IF(AND(F674="ATM",E674&gt;2000,D674&lt;=4),1,0)</f>
        <v>0</v>
      </c>
      <c r="K674" s="1" t="n">
        <f aca="false">IF(COUNTIF('SQL Findings'!$A$4:$A$18,B674)&gt;0,1,0)</f>
        <v>0</v>
      </c>
      <c r="L674" s="1" t="n">
        <f aca="false">SUM(H674:K674)</f>
        <v>0</v>
      </c>
      <c r="M674" s="1" t="str">
        <f aca="false">IF(L674&gt;=2,"High",IF(L674=1,"Medium","Low"))</f>
        <v>Low</v>
      </c>
    </row>
    <row r="675" customFormat="false" ht="15" hidden="false" customHeight="true" outlineLevel="0" collapsed="false">
      <c r="A675" s="1" t="str">
        <f aca="false">Transactions!A675</f>
        <v>TXN501470</v>
      </c>
      <c r="B675" s="1" t="str">
        <f aca="false">Transactions!B675</f>
        <v>ACC1048</v>
      </c>
      <c r="C675" s="1" t="str">
        <f aca="false">Transactions!I675</f>
        <v>2026-02-11</v>
      </c>
      <c r="D675" s="1" t="n">
        <f aca="false">Transactions!J675</f>
        <v>15</v>
      </c>
      <c r="E675" s="1" t="n">
        <f aca="false">Transactions!D675</f>
        <v>2000</v>
      </c>
      <c r="F675" s="1" t="str">
        <f aca="false">Transactions!H675</f>
        <v>Wire</v>
      </c>
      <c r="G675" s="1" t="str">
        <f aca="false">Transactions!G675</f>
        <v>Wire Transfer</v>
      </c>
      <c r="H675" s="1" t="n">
        <f aca="false">IF(COUNTIFS($B$2:$B$1489,B675,$C$2:$C$1489,C675,$D$2:$D$1489,D675)&gt;6,1,0)</f>
        <v>0</v>
      </c>
      <c r="I675" s="1" t="n">
        <f aca="false">IF(AND(F675="Wire",E675&gt;=1000,MOD(E675,1000)=0),1,0)</f>
        <v>1</v>
      </c>
      <c r="J675" s="1" t="n">
        <f aca="false">IF(AND(F675="ATM",E675&gt;2000,D675&lt;=4),1,0)</f>
        <v>0</v>
      </c>
      <c r="K675" s="1" t="n">
        <f aca="false">IF(COUNTIF('SQL Findings'!$A$4:$A$18,B675)&gt;0,1,0)</f>
        <v>0</v>
      </c>
      <c r="L675" s="1" t="n">
        <f aca="false">SUM(H675:K675)</f>
        <v>1</v>
      </c>
      <c r="M675" s="1" t="str">
        <f aca="false">IF(L675&gt;=2,"High",IF(L675=1,"Medium","Low"))</f>
        <v>Medium</v>
      </c>
    </row>
    <row r="676" customFormat="false" ht="15" hidden="false" customHeight="true" outlineLevel="0" collapsed="false">
      <c r="A676" s="1" t="str">
        <f aca="false">Transactions!A676</f>
        <v>TXN500206</v>
      </c>
      <c r="B676" s="1" t="str">
        <f aca="false">Transactions!B676</f>
        <v>ACC1008</v>
      </c>
      <c r="C676" s="1" t="str">
        <f aca="false">Transactions!I676</f>
        <v>2026-02-11</v>
      </c>
      <c r="D676" s="1" t="n">
        <f aca="false">Transactions!J676</f>
        <v>16</v>
      </c>
      <c r="E676" s="1" t="n">
        <f aca="false">Transactions!D676</f>
        <v>28.67</v>
      </c>
      <c r="F676" s="1" t="str">
        <f aca="false">Transactions!H676</f>
        <v>Online</v>
      </c>
      <c r="G676" s="1" t="str">
        <f aca="false">Transactions!G676</f>
        <v>Cash Withdrawal</v>
      </c>
      <c r="H676" s="1" t="n">
        <f aca="false">IF(COUNTIFS($B$2:$B$1489,B676,$C$2:$C$1489,C676,$D$2:$D$1489,D676)&gt;6,1,0)</f>
        <v>0</v>
      </c>
      <c r="I676" s="1" t="n">
        <f aca="false">IF(AND(F676="Wire",E676&gt;=1000,MOD(E676,1000)=0),1,0)</f>
        <v>0</v>
      </c>
      <c r="J676" s="1" t="n">
        <f aca="false">IF(AND(F676="ATM",E676&gt;2000,D676&lt;=4),1,0)</f>
        <v>0</v>
      </c>
      <c r="K676" s="1" t="n">
        <f aca="false">IF(COUNTIF('SQL Findings'!$A$4:$A$18,B676)&gt;0,1,0)</f>
        <v>0</v>
      </c>
      <c r="L676" s="1" t="n">
        <f aca="false">SUM(H676:K676)</f>
        <v>0</v>
      </c>
      <c r="M676" s="1" t="str">
        <f aca="false">IF(L676&gt;=2,"High",IF(L676=1,"Medium","Low"))</f>
        <v>Low</v>
      </c>
    </row>
    <row r="677" customFormat="false" ht="15" hidden="false" customHeight="true" outlineLevel="0" collapsed="false">
      <c r="A677" s="1" t="str">
        <f aca="false">Transactions!A677</f>
        <v>TXN500808</v>
      </c>
      <c r="B677" s="1" t="str">
        <f aca="false">Transactions!B677</f>
        <v>ACC1034</v>
      </c>
      <c r="C677" s="1" t="str">
        <f aca="false">Transactions!I677</f>
        <v>2026-02-11</v>
      </c>
      <c r="D677" s="1" t="n">
        <f aca="false">Transactions!J677</f>
        <v>17</v>
      </c>
      <c r="E677" s="1" t="n">
        <f aca="false">Transactions!D677</f>
        <v>43.34</v>
      </c>
      <c r="F677" s="1" t="str">
        <f aca="false">Transactions!H677</f>
        <v>POS</v>
      </c>
      <c r="G677" s="1" t="str">
        <f aca="false">Transactions!G677</f>
        <v>Utilities</v>
      </c>
      <c r="H677" s="1" t="n">
        <f aca="false">IF(COUNTIFS($B$2:$B$1489,B677,$C$2:$C$1489,C677,$D$2:$D$1489,D677)&gt;6,1,0)</f>
        <v>0</v>
      </c>
      <c r="I677" s="1" t="n">
        <f aca="false">IF(AND(F677="Wire",E677&gt;=1000,MOD(E677,1000)=0),1,0)</f>
        <v>0</v>
      </c>
      <c r="J677" s="1" t="n">
        <f aca="false">IF(AND(F677="ATM",E677&gt;2000,D677&lt;=4),1,0)</f>
        <v>0</v>
      </c>
      <c r="K677" s="1" t="n">
        <f aca="false">IF(COUNTIF('SQL Findings'!$A$4:$A$18,B677)&gt;0,1,0)</f>
        <v>0</v>
      </c>
      <c r="L677" s="1" t="n">
        <f aca="false">SUM(H677:K677)</f>
        <v>0</v>
      </c>
      <c r="M677" s="1" t="str">
        <f aca="false">IF(L677&gt;=2,"High",IF(L677=1,"Medium","Low"))</f>
        <v>Low</v>
      </c>
    </row>
    <row r="678" customFormat="false" ht="15" hidden="false" customHeight="true" outlineLevel="0" collapsed="false">
      <c r="A678" s="1" t="str">
        <f aca="false">Transactions!A678</f>
        <v>TXN500774</v>
      </c>
      <c r="B678" s="1" t="str">
        <f aca="false">Transactions!B678</f>
        <v>ACC1033</v>
      </c>
      <c r="C678" s="1" t="str">
        <f aca="false">Transactions!I678</f>
        <v>2026-02-11</v>
      </c>
      <c r="D678" s="1" t="n">
        <f aca="false">Transactions!J678</f>
        <v>17</v>
      </c>
      <c r="E678" s="1" t="n">
        <f aca="false">Transactions!D678</f>
        <v>160.02</v>
      </c>
      <c r="F678" s="1" t="str">
        <f aca="false">Transactions!H678</f>
        <v>POS</v>
      </c>
      <c r="G678" s="1" t="str">
        <f aca="false">Transactions!G678</f>
        <v>Online Marketplace</v>
      </c>
      <c r="H678" s="1" t="n">
        <f aca="false">IF(COUNTIFS($B$2:$B$1489,B678,$C$2:$C$1489,C678,$D$2:$D$1489,D678)&gt;6,1,0)</f>
        <v>0</v>
      </c>
      <c r="I678" s="1" t="n">
        <f aca="false">IF(AND(F678="Wire",E678&gt;=1000,MOD(E678,1000)=0),1,0)</f>
        <v>0</v>
      </c>
      <c r="J678" s="1" t="n">
        <f aca="false">IF(AND(F678="ATM",E678&gt;2000,D678&lt;=4),1,0)</f>
        <v>0</v>
      </c>
      <c r="K678" s="1" t="n">
        <f aca="false">IF(COUNTIF('SQL Findings'!$A$4:$A$18,B678)&gt;0,1,0)</f>
        <v>0</v>
      </c>
      <c r="L678" s="1" t="n">
        <f aca="false">SUM(H678:K678)</f>
        <v>0</v>
      </c>
      <c r="M678" s="1" t="str">
        <f aca="false">IF(L678&gt;=2,"High",IF(L678=1,"Medium","Low"))</f>
        <v>Low</v>
      </c>
    </row>
    <row r="679" customFormat="false" ht="15" hidden="false" customHeight="true" outlineLevel="0" collapsed="false">
      <c r="A679" s="1" t="str">
        <f aca="false">Transactions!A679</f>
        <v>TXN501218</v>
      </c>
      <c r="B679" s="1" t="str">
        <f aca="false">Transactions!B679</f>
        <v>ACC1053</v>
      </c>
      <c r="C679" s="1" t="str">
        <f aca="false">Transactions!I679</f>
        <v>2026-02-11</v>
      </c>
      <c r="D679" s="1" t="n">
        <f aca="false">Transactions!J679</f>
        <v>17</v>
      </c>
      <c r="E679" s="1" t="n">
        <f aca="false">Transactions!D679</f>
        <v>85.72</v>
      </c>
      <c r="F679" s="1" t="str">
        <f aca="false">Transactions!H679</f>
        <v>Online</v>
      </c>
      <c r="G679" s="1" t="str">
        <f aca="false">Transactions!G679</f>
        <v>Dining</v>
      </c>
      <c r="H679" s="1" t="n">
        <f aca="false">IF(COUNTIFS($B$2:$B$1489,B679,$C$2:$C$1489,C679,$D$2:$D$1489,D679)&gt;6,1,0)</f>
        <v>0</v>
      </c>
      <c r="I679" s="1" t="n">
        <f aca="false">IF(AND(F679="Wire",E679&gt;=1000,MOD(E679,1000)=0),1,0)</f>
        <v>0</v>
      </c>
      <c r="J679" s="1" t="n">
        <f aca="false">IF(AND(F679="ATM",E679&gt;2000,D679&lt;=4),1,0)</f>
        <v>0</v>
      </c>
      <c r="K679" s="1" t="n">
        <f aca="false">IF(COUNTIF('SQL Findings'!$A$4:$A$18,B679)&gt;0,1,0)</f>
        <v>0</v>
      </c>
      <c r="L679" s="1" t="n">
        <f aca="false">SUM(H679:K679)</f>
        <v>0</v>
      </c>
      <c r="M679" s="1" t="str">
        <f aca="false">IF(L679&gt;=2,"High",IF(L679=1,"Medium","Low"))</f>
        <v>Low</v>
      </c>
    </row>
    <row r="680" customFormat="false" ht="15" hidden="false" customHeight="true" outlineLevel="0" collapsed="false">
      <c r="A680" s="1" t="str">
        <f aca="false">Transactions!A680</f>
        <v>TXN500432</v>
      </c>
      <c r="B680" s="1" t="str">
        <f aca="false">Transactions!B680</f>
        <v>ACC1019</v>
      </c>
      <c r="C680" s="1" t="str">
        <f aca="false">Transactions!I680</f>
        <v>2026-02-11</v>
      </c>
      <c r="D680" s="1" t="n">
        <f aca="false">Transactions!J680</f>
        <v>23</v>
      </c>
      <c r="E680" s="1" t="n">
        <f aca="false">Transactions!D680</f>
        <v>10.64</v>
      </c>
      <c r="F680" s="1" t="str">
        <f aca="false">Transactions!H680</f>
        <v>Online</v>
      </c>
      <c r="G680" s="1" t="str">
        <f aca="false">Transactions!G680</f>
        <v>Wire Transfer</v>
      </c>
      <c r="H680" s="1" t="n">
        <f aca="false">IF(COUNTIFS($B$2:$B$1489,B680,$C$2:$C$1489,C680,$D$2:$D$1489,D680)&gt;6,1,0)</f>
        <v>0</v>
      </c>
      <c r="I680" s="1" t="n">
        <f aca="false">IF(AND(F680="Wire",E680&gt;=1000,MOD(E680,1000)=0),1,0)</f>
        <v>0</v>
      </c>
      <c r="J680" s="1" t="n">
        <f aca="false">IF(AND(F680="ATM",E680&gt;2000,D680&lt;=4),1,0)</f>
        <v>0</v>
      </c>
      <c r="K680" s="1" t="n">
        <f aca="false">IF(COUNTIF('SQL Findings'!$A$4:$A$18,B680)&gt;0,1,0)</f>
        <v>0</v>
      </c>
      <c r="L680" s="1" t="n">
        <f aca="false">SUM(H680:K680)</f>
        <v>0</v>
      </c>
      <c r="M680" s="1" t="str">
        <f aca="false">IF(L680&gt;=2,"High",IF(L680=1,"Medium","Low"))</f>
        <v>Low</v>
      </c>
    </row>
    <row r="681" customFormat="false" ht="15" hidden="false" customHeight="true" outlineLevel="0" collapsed="false">
      <c r="A681" s="1" t="str">
        <f aca="false">Transactions!A681</f>
        <v>TXN500938</v>
      </c>
      <c r="B681" s="1" t="str">
        <f aca="false">Transactions!B681</f>
        <v>ACC1040</v>
      </c>
      <c r="C681" s="1" t="str">
        <f aca="false">Transactions!I681</f>
        <v>2026-02-12</v>
      </c>
      <c r="D681" s="1" t="n">
        <f aca="false">Transactions!J681</f>
        <v>1</v>
      </c>
      <c r="E681" s="1" t="n">
        <f aca="false">Transactions!D681</f>
        <v>126.16</v>
      </c>
      <c r="F681" s="1" t="str">
        <f aca="false">Transactions!H681</f>
        <v>POS</v>
      </c>
      <c r="G681" s="1" t="str">
        <f aca="false">Transactions!G681</f>
        <v>Retail</v>
      </c>
      <c r="H681" s="1" t="n">
        <f aca="false">IF(COUNTIFS($B$2:$B$1489,B681,$C$2:$C$1489,C681,$D$2:$D$1489,D681)&gt;6,1,0)</f>
        <v>0</v>
      </c>
      <c r="I681" s="1" t="n">
        <f aca="false">IF(AND(F681="Wire",E681&gt;=1000,MOD(E681,1000)=0),1,0)</f>
        <v>0</v>
      </c>
      <c r="J681" s="1" t="n">
        <f aca="false">IF(AND(F681="ATM",E681&gt;2000,D681&lt;=4),1,0)</f>
        <v>0</v>
      </c>
      <c r="K681" s="1" t="n">
        <f aca="false">IF(COUNTIF('SQL Findings'!$A$4:$A$18,B681)&gt;0,1,0)</f>
        <v>1</v>
      </c>
      <c r="L681" s="1" t="n">
        <f aca="false">SUM(H681:K681)</f>
        <v>1</v>
      </c>
      <c r="M681" s="1" t="str">
        <f aca="false">IF(L681&gt;=2,"High",IF(L681=1,"Medium","Low"))</f>
        <v>Medium</v>
      </c>
    </row>
    <row r="682" customFormat="false" ht="15" hidden="false" customHeight="true" outlineLevel="0" collapsed="false">
      <c r="A682" s="1" t="str">
        <f aca="false">Transactions!A682</f>
        <v>TXN500313</v>
      </c>
      <c r="B682" s="1" t="str">
        <f aca="false">Transactions!B682</f>
        <v>ACC1013</v>
      </c>
      <c r="C682" s="1" t="str">
        <f aca="false">Transactions!I682</f>
        <v>2026-02-12</v>
      </c>
      <c r="D682" s="1" t="n">
        <f aca="false">Transactions!J682</f>
        <v>4</v>
      </c>
      <c r="E682" s="1" t="n">
        <f aca="false">Transactions!D682</f>
        <v>140.17</v>
      </c>
      <c r="F682" s="1" t="str">
        <f aca="false">Transactions!H682</f>
        <v>Online</v>
      </c>
      <c r="G682" s="1" t="str">
        <f aca="false">Transactions!G682</f>
        <v>Wire Transfer</v>
      </c>
      <c r="H682" s="1" t="n">
        <f aca="false">IF(COUNTIFS($B$2:$B$1489,B682,$C$2:$C$1489,C682,$D$2:$D$1489,D682)&gt;6,1,0)</f>
        <v>0</v>
      </c>
      <c r="I682" s="1" t="n">
        <f aca="false">IF(AND(F682="Wire",E682&gt;=1000,MOD(E682,1000)=0),1,0)</f>
        <v>0</v>
      </c>
      <c r="J682" s="1" t="n">
        <f aca="false">IF(AND(F682="ATM",E682&gt;2000,D682&lt;=4),1,0)</f>
        <v>0</v>
      </c>
      <c r="K682" s="1" t="n">
        <f aca="false">IF(COUNTIF('SQL Findings'!$A$4:$A$18,B682)&gt;0,1,0)</f>
        <v>0</v>
      </c>
      <c r="L682" s="1" t="n">
        <f aca="false">SUM(H682:K682)</f>
        <v>0</v>
      </c>
      <c r="M682" s="1" t="str">
        <f aca="false">IF(L682&gt;=2,"High",IF(L682=1,"Medium","Low"))</f>
        <v>Low</v>
      </c>
    </row>
    <row r="683" customFormat="false" ht="15" hidden="false" customHeight="true" outlineLevel="0" collapsed="false">
      <c r="A683" s="1" t="str">
        <f aca="false">Transactions!A683</f>
        <v>TXN500244</v>
      </c>
      <c r="B683" s="1" t="str">
        <f aca="false">Transactions!B683</f>
        <v>ACC1010</v>
      </c>
      <c r="C683" s="1" t="str">
        <f aca="false">Transactions!I683</f>
        <v>2026-02-12</v>
      </c>
      <c r="D683" s="1" t="n">
        <f aca="false">Transactions!J683</f>
        <v>7</v>
      </c>
      <c r="E683" s="1" t="n">
        <f aca="false">Transactions!D683</f>
        <v>145.36</v>
      </c>
      <c r="F683" s="1" t="str">
        <f aca="false">Transactions!H683</f>
        <v>POS</v>
      </c>
      <c r="G683" s="1" t="str">
        <f aca="false">Transactions!G683</f>
        <v>Dining</v>
      </c>
      <c r="H683" s="1" t="n">
        <f aca="false">IF(COUNTIFS($B$2:$B$1489,B683,$C$2:$C$1489,C683,$D$2:$D$1489,D683)&gt;6,1,0)</f>
        <v>0</v>
      </c>
      <c r="I683" s="1" t="n">
        <f aca="false">IF(AND(F683="Wire",E683&gt;=1000,MOD(E683,1000)=0),1,0)</f>
        <v>0</v>
      </c>
      <c r="J683" s="1" t="n">
        <f aca="false">IF(AND(F683="ATM",E683&gt;2000,D683&lt;=4),1,0)</f>
        <v>0</v>
      </c>
      <c r="K683" s="1" t="n">
        <f aca="false">IF(COUNTIF('SQL Findings'!$A$4:$A$18,B683)&gt;0,1,0)</f>
        <v>0</v>
      </c>
      <c r="L683" s="1" t="n">
        <f aca="false">SUM(H683:K683)</f>
        <v>0</v>
      </c>
      <c r="M683" s="1" t="str">
        <f aca="false">IF(L683&gt;=2,"High",IF(L683=1,"Medium","Low"))</f>
        <v>Low</v>
      </c>
    </row>
    <row r="684" customFormat="false" ht="15" hidden="false" customHeight="true" outlineLevel="0" collapsed="false">
      <c r="A684" s="1" t="str">
        <f aca="false">Transactions!A684</f>
        <v>TXN501067</v>
      </c>
      <c r="B684" s="1" t="str">
        <f aca="false">Transactions!B684</f>
        <v>ACC1046</v>
      </c>
      <c r="C684" s="1" t="str">
        <f aca="false">Transactions!I684</f>
        <v>2026-02-12</v>
      </c>
      <c r="D684" s="1" t="n">
        <f aca="false">Transactions!J684</f>
        <v>8</v>
      </c>
      <c r="E684" s="1" t="n">
        <f aca="false">Transactions!D684</f>
        <v>20.8</v>
      </c>
      <c r="F684" s="1" t="str">
        <f aca="false">Transactions!H684</f>
        <v>Online</v>
      </c>
      <c r="G684" s="1" t="str">
        <f aca="false">Transactions!G684</f>
        <v>Utilities</v>
      </c>
      <c r="H684" s="1" t="n">
        <f aca="false">IF(COUNTIFS($B$2:$B$1489,B684,$C$2:$C$1489,C684,$D$2:$D$1489,D684)&gt;6,1,0)</f>
        <v>0</v>
      </c>
      <c r="I684" s="1" t="n">
        <f aca="false">IF(AND(F684="Wire",E684&gt;=1000,MOD(E684,1000)=0),1,0)</f>
        <v>0</v>
      </c>
      <c r="J684" s="1" t="n">
        <f aca="false">IF(AND(F684="ATM",E684&gt;2000,D684&lt;=4),1,0)</f>
        <v>0</v>
      </c>
      <c r="K684" s="1" t="n">
        <f aca="false">IF(COUNTIF('SQL Findings'!$A$4:$A$18,B684)&gt;0,1,0)</f>
        <v>0</v>
      </c>
      <c r="L684" s="1" t="n">
        <f aca="false">SUM(H684:K684)</f>
        <v>0</v>
      </c>
      <c r="M684" s="1" t="str">
        <f aca="false">IF(L684&gt;=2,"High",IF(L684=1,"Medium","Low"))</f>
        <v>Low</v>
      </c>
    </row>
    <row r="685" customFormat="false" ht="15" hidden="false" customHeight="true" outlineLevel="0" collapsed="false">
      <c r="A685" s="1" t="str">
        <f aca="false">Transactions!A685</f>
        <v>TXN501257</v>
      </c>
      <c r="B685" s="1" t="str">
        <f aca="false">Transactions!B685</f>
        <v>ACC1055</v>
      </c>
      <c r="C685" s="1" t="str">
        <f aca="false">Transactions!I685</f>
        <v>2026-02-12</v>
      </c>
      <c r="D685" s="1" t="n">
        <f aca="false">Transactions!J685</f>
        <v>9</v>
      </c>
      <c r="E685" s="1" t="n">
        <f aca="false">Transactions!D685</f>
        <v>300.46</v>
      </c>
      <c r="F685" s="1" t="str">
        <f aca="false">Transactions!H685</f>
        <v>POS</v>
      </c>
      <c r="G685" s="1" t="str">
        <f aca="false">Transactions!G685</f>
        <v>Dining</v>
      </c>
      <c r="H685" s="1" t="n">
        <f aca="false">IF(COUNTIFS($B$2:$B$1489,B685,$C$2:$C$1489,C685,$D$2:$D$1489,D685)&gt;6,1,0)</f>
        <v>0</v>
      </c>
      <c r="I685" s="1" t="n">
        <f aca="false">IF(AND(F685="Wire",E685&gt;=1000,MOD(E685,1000)=0),1,0)</f>
        <v>0</v>
      </c>
      <c r="J685" s="1" t="n">
        <f aca="false">IF(AND(F685="ATM",E685&gt;2000,D685&lt;=4),1,0)</f>
        <v>0</v>
      </c>
      <c r="K685" s="1" t="n">
        <f aca="false">IF(COUNTIF('SQL Findings'!$A$4:$A$18,B685)&gt;0,1,0)</f>
        <v>1</v>
      </c>
      <c r="L685" s="1" t="n">
        <f aca="false">SUM(H685:K685)</f>
        <v>1</v>
      </c>
      <c r="M685" s="1" t="str">
        <f aca="false">IF(L685&gt;=2,"High",IF(L685=1,"Medium","Low"))</f>
        <v>Medium</v>
      </c>
    </row>
    <row r="686" customFormat="false" ht="15" hidden="false" customHeight="true" outlineLevel="0" collapsed="false">
      <c r="A686" s="1" t="str">
        <f aca="false">Transactions!A686</f>
        <v>TXN501202</v>
      </c>
      <c r="B686" s="1" t="str">
        <f aca="false">Transactions!B686</f>
        <v>ACC1052</v>
      </c>
      <c r="C686" s="1" t="str">
        <f aca="false">Transactions!I686</f>
        <v>2026-02-12</v>
      </c>
      <c r="D686" s="1" t="n">
        <f aca="false">Transactions!J686</f>
        <v>11</v>
      </c>
      <c r="E686" s="1" t="n">
        <f aca="false">Transactions!D686</f>
        <v>45.31</v>
      </c>
      <c r="F686" s="1" t="str">
        <f aca="false">Transactions!H686</f>
        <v>ATM</v>
      </c>
      <c r="G686" s="1" t="str">
        <f aca="false">Transactions!G686</f>
        <v>Dining</v>
      </c>
      <c r="H686" s="1" t="n">
        <f aca="false">IF(COUNTIFS($B$2:$B$1489,B686,$C$2:$C$1489,C686,$D$2:$D$1489,D686)&gt;6,1,0)</f>
        <v>0</v>
      </c>
      <c r="I686" s="1" t="n">
        <f aca="false">IF(AND(F686="Wire",E686&gt;=1000,MOD(E686,1000)=0),1,0)</f>
        <v>0</v>
      </c>
      <c r="J686" s="1" t="n">
        <f aca="false">IF(AND(F686="ATM",E686&gt;2000,D686&lt;=4),1,0)</f>
        <v>0</v>
      </c>
      <c r="K686" s="1" t="n">
        <f aca="false">IF(COUNTIF('SQL Findings'!$A$4:$A$18,B686)&gt;0,1,0)</f>
        <v>0</v>
      </c>
      <c r="L686" s="1" t="n">
        <f aca="false">SUM(H686:K686)</f>
        <v>0</v>
      </c>
      <c r="M686" s="1" t="str">
        <f aca="false">IF(L686&gt;=2,"High",IF(L686=1,"Medium","Low"))</f>
        <v>Low</v>
      </c>
    </row>
    <row r="687" customFormat="false" ht="15" hidden="false" customHeight="true" outlineLevel="0" collapsed="false">
      <c r="A687" s="1" t="str">
        <f aca="false">Transactions!A687</f>
        <v>TXN500107</v>
      </c>
      <c r="B687" s="1" t="str">
        <f aca="false">Transactions!B687</f>
        <v>ACC1004</v>
      </c>
      <c r="C687" s="1" t="str">
        <f aca="false">Transactions!I687</f>
        <v>2026-02-12</v>
      </c>
      <c r="D687" s="1" t="n">
        <f aca="false">Transactions!J687</f>
        <v>12</v>
      </c>
      <c r="E687" s="1" t="n">
        <f aca="false">Transactions!D687</f>
        <v>364.15</v>
      </c>
      <c r="F687" s="1" t="str">
        <f aca="false">Transactions!H687</f>
        <v>POS</v>
      </c>
      <c r="G687" s="1" t="str">
        <f aca="false">Transactions!G687</f>
        <v>Retail</v>
      </c>
      <c r="H687" s="1" t="n">
        <f aca="false">IF(COUNTIFS($B$2:$B$1489,B687,$C$2:$C$1489,C687,$D$2:$D$1489,D687)&gt;6,1,0)</f>
        <v>0</v>
      </c>
      <c r="I687" s="1" t="n">
        <f aca="false">IF(AND(F687="Wire",E687&gt;=1000,MOD(E687,1000)=0),1,0)</f>
        <v>0</v>
      </c>
      <c r="J687" s="1" t="n">
        <f aca="false">IF(AND(F687="ATM",E687&gt;2000,D687&lt;=4),1,0)</f>
        <v>0</v>
      </c>
      <c r="K687" s="1" t="n">
        <f aca="false">IF(COUNTIF('SQL Findings'!$A$4:$A$18,B687)&gt;0,1,0)</f>
        <v>1</v>
      </c>
      <c r="L687" s="1" t="n">
        <f aca="false">SUM(H687:K687)</f>
        <v>1</v>
      </c>
      <c r="M687" s="1" t="str">
        <f aca="false">IF(L687&gt;=2,"High",IF(L687=1,"Medium","Low"))</f>
        <v>Medium</v>
      </c>
    </row>
    <row r="688" customFormat="false" ht="15" hidden="false" customHeight="true" outlineLevel="0" collapsed="false">
      <c r="A688" s="1" t="str">
        <f aca="false">Transactions!A688</f>
        <v>TXN501249</v>
      </c>
      <c r="B688" s="1" t="str">
        <f aca="false">Transactions!B688</f>
        <v>ACC1055</v>
      </c>
      <c r="C688" s="1" t="str">
        <f aca="false">Transactions!I688</f>
        <v>2026-02-12</v>
      </c>
      <c r="D688" s="1" t="n">
        <f aca="false">Transactions!J688</f>
        <v>12</v>
      </c>
      <c r="E688" s="1" t="n">
        <f aca="false">Transactions!D688</f>
        <v>82.3</v>
      </c>
      <c r="F688" s="1" t="str">
        <f aca="false">Transactions!H688</f>
        <v>ATM</v>
      </c>
      <c r="G688" s="1" t="str">
        <f aca="false">Transactions!G688</f>
        <v>Dining</v>
      </c>
      <c r="H688" s="1" t="n">
        <f aca="false">IF(COUNTIFS($B$2:$B$1489,B688,$C$2:$C$1489,C688,$D$2:$D$1489,D688)&gt;6,1,0)</f>
        <v>0</v>
      </c>
      <c r="I688" s="1" t="n">
        <f aca="false">IF(AND(F688="Wire",E688&gt;=1000,MOD(E688,1000)=0),1,0)</f>
        <v>0</v>
      </c>
      <c r="J688" s="1" t="n">
        <f aca="false">IF(AND(F688="ATM",E688&gt;2000,D688&lt;=4),1,0)</f>
        <v>0</v>
      </c>
      <c r="K688" s="1" t="n">
        <f aca="false">IF(COUNTIF('SQL Findings'!$A$4:$A$18,B688)&gt;0,1,0)</f>
        <v>1</v>
      </c>
      <c r="L688" s="1" t="n">
        <f aca="false">SUM(H688:K688)</f>
        <v>1</v>
      </c>
      <c r="M688" s="1" t="str">
        <f aca="false">IF(L688&gt;=2,"High",IF(L688=1,"Medium","Low"))</f>
        <v>Medium</v>
      </c>
    </row>
    <row r="689" customFormat="false" ht="15" hidden="false" customHeight="true" outlineLevel="0" collapsed="false">
      <c r="A689" s="1" t="str">
        <f aca="false">Transactions!A689</f>
        <v>TXN500882</v>
      </c>
      <c r="B689" s="1" t="str">
        <f aca="false">Transactions!B689</f>
        <v>ACC1038</v>
      </c>
      <c r="C689" s="1" t="str">
        <f aca="false">Transactions!I689</f>
        <v>2026-02-12</v>
      </c>
      <c r="D689" s="1" t="n">
        <f aca="false">Transactions!J689</f>
        <v>12</v>
      </c>
      <c r="E689" s="1" t="n">
        <f aca="false">Transactions!D689</f>
        <v>41.36</v>
      </c>
      <c r="F689" s="1" t="str">
        <f aca="false">Transactions!H689</f>
        <v>ATM</v>
      </c>
      <c r="G689" s="1" t="str">
        <f aca="false">Transactions!G689</f>
        <v>Online Marketplace</v>
      </c>
      <c r="H689" s="1" t="n">
        <f aca="false">IF(COUNTIFS($B$2:$B$1489,B689,$C$2:$C$1489,C689,$D$2:$D$1489,D689)&gt;6,1,0)</f>
        <v>0</v>
      </c>
      <c r="I689" s="1" t="n">
        <f aca="false">IF(AND(F689="Wire",E689&gt;=1000,MOD(E689,1000)=0),1,0)</f>
        <v>0</v>
      </c>
      <c r="J689" s="1" t="n">
        <f aca="false">IF(AND(F689="ATM",E689&gt;2000,D689&lt;=4),1,0)</f>
        <v>0</v>
      </c>
      <c r="K689" s="1" t="n">
        <f aca="false">IF(COUNTIF('SQL Findings'!$A$4:$A$18,B689)&gt;0,1,0)</f>
        <v>0</v>
      </c>
      <c r="L689" s="1" t="n">
        <f aca="false">SUM(H689:K689)</f>
        <v>0</v>
      </c>
      <c r="M689" s="1" t="str">
        <f aca="false">IF(L689&gt;=2,"High",IF(L689=1,"Medium","Low"))</f>
        <v>Low</v>
      </c>
    </row>
    <row r="690" customFormat="false" ht="15" hidden="false" customHeight="true" outlineLevel="0" collapsed="false">
      <c r="A690" s="1" t="str">
        <f aca="false">Transactions!A690</f>
        <v>TXN500825</v>
      </c>
      <c r="B690" s="1" t="str">
        <f aca="false">Transactions!B690</f>
        <v>ACC1035</v>
      </c>
      <c r="C690" s="1" t="str">
        <f aca="false">Transactions!I690</f>
        <v>2026-02-12</v>
      </c>
      <c r="D690" s="1" t="n">
        <f aca="false">Transactions!J690</f>
        <v>14</v>
      </c>
      <c r="E690" s="1" t="n">
        <f aca="false">Transactions!D690</f>
        <v>44.66</v>
      </c>
      <c r="F690" s="1" t="str">
        <f aca="false">Transactions!H690</f>
        <v>ATM</v>
      </c>
      <c r="G690" s="1" t="str">
        <f aca="false">Transactions!G690</f>
        <v>Cash Withdrawal</v>
      </c>
      <c r="H690" s="1" t="n">
        <f aca="false">IF(COUNTIFS($B$2:$B$1489,B690,$C$2:$C$1489,C690,$D$2:$D$1489,D690)&gt;6,1,0)</f>
        <v>0</v>
      </c>
      <c r="I690" s="1" t="n">
        <f aca="false">IF(AND(F690="Wire",E690&gt;=1000,MOD(E690,1000)=0),1,0)</f>
        <v>0</v>
      </c>
      <c r="J690" s="1" t="n">
        <f aca="false">IF(AND(F690="ATM",E690&gt;2000,D690&lt;=4),1,0)</f>
        <v>0</v>
      </c>
      <c r="K690" s="1" t="n">
        <f aca="false">IF(COUNTIF('SQL Findings'!$A$4:$A$18,B690)&gt;0,1,0)</f>
        <v>0</v>
      </c>
      <c r="L690" s="1" t="n">
        <f aca="false">SUM(H690:K690)</f>
        <v>0</v>
      </c>
      <c r="M690" s="1" t="str">
        <f aca="false">IF(L690&gt;=2,"High",IF(L690=1,"Medium","Low"))</f>
        <v>Low</v>
      </c>
    </row>
    <row r="691" customFormat="false" ht="15" hidden="false" customHeight="true" outlineLevel="0" collapsed="false">
      <c r="A691" s="1" t="str">
        <f aca="false">Transactions!A691</f>
        <v>TXN500817</v>
      </c>
      <c r="B691" s="1" t="str">
        <f aca="false">Transactions!B691</f>
        <v>ACC1034</v>
      </c>
      <c r="C691" s="1" t="str">
        <f aca="false">Transactions!I691</f>
        <v>2026-02-12</v>
      </c>
      <c r="D691" s="1" t="n">
        <f aca="false">Transactions!J691</f>
        <v>14</v>
      </c>
      <c r="E691" s="1" t="n">
        <f aca="false">Transactions!D691</f>
        <v>84.8</v>
      </c>
      <c r="F691" s="1" t="str">
        <f aca="false">Transactions!H691</f>
        <v>POS</v>
      </c>
      <c r="G691" s="1" t="str">
        <f aca="false">Transactions!G691</f>
        <v>Cash Withdrawal</v>
      </c>
      <c r="H691" s="1" t="n">
        <f aca="false">IF(COUNTIFS($B$2:$B$1489,B691,$C$2:$C$1489,C691,$D$2:$D$1489,D691)&gt;6,1,0)</f>
        <v>0</v>
      </c>
      <c r="I691" s="1" t="n">
        <f aca="false">IF(AND(F691="Wire",E691&gt;=1000,MOD(E691,1000)=0),1,0)</f>
        <v>0</v>
      </c>
      <c r="J691" s="1" t="n">
        <f aca="false">IF(AND(F691="ATM",E691&gt;2000,D691&lt;=4),1,0)</f>
        <v>0</v>
      </c>
      <c r="K691" s="1" t="n">
        <f aca="false">IF(COUNTIF('SQL Findings'!$A$4:$A$18,B691)&gt;0,1,0)</f>
        <v>0</v>
      </c>
      <c r="L691" s="1" t="n">
        <f aca="false">SUM(H691:K691)</f>
        <v>0</v>
      </c>
      <c r="M691" s="1" t="str">
        <f aca="false">IF(L691&gt;=2,"High",IF(L691=1,"Medium","Low"))</f>
        <v>Low</v>
      </c>
    </row>
    <row r="692" customFormat="false" ht="15" hidden="false" customHeight="true" outlineLevel="0" collapsed="false">
      <c r="A692" s="1" t="str">
        <f aca="false">Transactions!A692</f>
        <v>TXN500424</v>
      </c>
      <c r="B692" s="1" t="str">
        <f aca="false">Transactions!B692</f>
        <v>ACC1018</v>
      </c>
      <c r="C692" s="1" t="str">
        <f aca="false">Transactions!I692</f>
        <v>2026-02-12</v>
      </c>
      <c r="D692" s="1" t="n">
        <f aca="false">Transactions!J692</f>
        <v>14</v>
      </c>
      <c r="E692" s="1" t="n">
        <f aca="false">Transactions!D692</f>
        <v>159.88</v>
      </c>
      <c r="F692" s="1" t="str">
        <f aca="false">Transactions!H692</f>
        <v>ATM</v>
      </c>
      <c r="G692" s="1" t="str">
        <f aca="false">Transactions!G692</f>
        <v>Utilities</v>
      </c>
      <c r="H692" s="1" t="n">
        <f aca="false">IF(COUNTIFS($B$2:$B$1489,B692,$C$2:$C$1489,C692,$D$2:$D$1489,D692)&gt;6,1,0)</f>
        <v>0</v>
      </c>
      <c r="I692" s="1" t="n">
        <f aca="false">IF(AND(F692="Wire",E692&gt;=1000,MOD(E692,1000)=0),1,0)</f>
        <v>0</v>
      </c>
      <c r="J692" s="1" t="n">
        <f aca="false">IF(AND(F692="ATM",E692&gt;2000,D692&lt;=4),1,0)</f>
        <v>0</v>
      </c>
      <c r="K692" s="1" t="n">
        <f aca="false">IF(COUNTIF('SQL Findings'!$A$4:$A$18,B692)&gt;0,1,0)</f>
        <v>0</v>
      </c>
      <c r="L692" s="1" t="n">
        <f aca="false">SUM(H692:K692)</f>
        <v>0</v>
      </c>
      <c r="M692" s="1" t="str">
        <f aca="false">IF(L692&gt;=2,"High",IF(L692=1,"Medium","Low"))</f>
        <v>Low</v>
      </c>
    </row>
    <row r="693" customFormat="false" ht="15" hidden="false" customHeight="true" outlineLevel="0" collapsed="false">
      <c r="A693" s="1" t="str">
        <f aca="false">Transactions!A693</f>
        <v>TXN500071</v>
      </c>
      <c r="B693" s="1" t="str">
        <f aca="false">Transactions!B693</f>
        <v>ACC1003</v>
      </c>
      <c r="C693" s="1" t="str">
        <f aca="false">Transactions!I693</f>
        <v>2026-02-12</v>
      </c>
      <c r="D693" s="1" t="n">
        <f aca="false">Transactions!J693</f>
        <v>16</v>
      </c>
      <c r="E693" s="1" t="n">
        <f aca="false">Transactions!D693</f>
        <v>92.32</v>
      </c>
      <c r="F693" s="1" t="str">
        <f aca="false">Transactions!H693</f>
        <v>Online</v>
      </c>
      <c r="G693" s="1" t="str">
        <f aca="false">Transactions!G693</f>
        <v>Dining</v>
      </c>
      <c r="H693" s="1" t="n">
        <f aca="false">IF(COUNTIFS($B$2:$B$1489,B693,$C$2:$C$1489,C693,$D$2:$D$1489,D693)&gt;6,1,0)</f>
        <v>0</v>
      </c>
      <c r="I693" s="1" t="n">
        <f aca="false">IF(AND(F693="Wire",E693&gt;=1000,MOD(E693,1000)=0),1,0)</f>
        <v>0</v>
      </c>
      <c r="J693" s="1" t="n">
        <f aca="false">IF(AND(F693="ATM",E693&gt;2000,D693&lt;=4),1,0)</f>
        <v>0</v>
      </c>
      <c r="K693" s="1" t="n">
        <f aca="false">IF(COUNTIF('SQL Findings'!$A$4:$A$18,B693)&gt;0,1,0)</f>
        <v>0</v>
      </c>
      <c r="L693" s="1" t="n">
        <f aca="false">SUM(H693:K693)</f>
        <v>0</v>
      </c>
      <c r="M693" s="1" t="str">
        <f aca="false">IF(L693&gt;=2,"High",IF(L693=1,"Medium","Low"))</f>
        <v>Low</v>
      </c>
    </row>
    <row r="694" customFormat="false" ht="15" hidden="false" customHeight="true" outlineLevel="0" collapsed="false">
      <c r="A694" s="1" t="str">
        <f aca="false">Transactions!A694</f>
        <v>TXN501262</v>
      </c>
      <c r="B694" s="1" t="str">
        <f aca="false">Transactions!B694</f>
        <v>ACC1055</v>
      </c>
      <c r="C694" s="1" t="str">
        <f aca="false">Transactions!I694</f>
        <v>2026-02-12</v>
      </c>
      <c r="D694" s="1" t="n">
        <f aca="false">Transactions!J694</f>
        <v>17</v>
      </c>
      <c r="E694" s="1" t="n">
        <f aca="false">Transactions!D694</f>
        <v>71.41</v>
      </c>
      <c r="F694" s="1" t="str">
        <f aca="false">Transactions!H694</f>
        <v>Online</v>
      </c>
      <c r="G694" s="1" t="str">
        <f aca="false">Transactions!G694</f>
        <v>Online Marketplace</v>
      </c>
      <c r="H694" s="1" t="n">
        <f aca="false">IF(COUNTIFS($B$2:$B$1489,B694,$C$2:$C$1489,C694,$D$2:$D$1489,D694)&gt;6,1,0)</f>
        <v>0</v>
      </c>
      <c r="I694" s="1" t="n">
        <f aca="false">IF(AND(F694="Wire",E694&gt;=1000,MOD(E694,1000)=0),1,0)</f>
        <v>0</v>
      </c>
      <c r="J694" s="1" t="n">
        <f aca="false">IF(AND(F694="ATM",E694&gt;2000,D694&lt;=4),1,0)</f>
        <v>0</v>
      </c>
      <c r="K694" s="1" t="n">
        <f aca="false">IF(COUNTIF('SQL Findings'!$A$4:$A$18,B694)&gt;0,1,0)</f>
        <v>1</v>
      </c>
      <c r="L694" s="1" t="n">
        <f aca="false">SUM(H694:K694)</f>
        <v>1</v>
      </c>
      <c r="M694" s="1" t="str">
        <f aca="false">IF(L694&gt;=2,"High",IF(L694=1,"Medium","Low"))</f>
        <v>Medium</v>
      </c>
    </row>
    <row r="695" customFormat="false" ht="15" hidden="false" customHeight="true" outlineLevel="0" collapsed="false">
      <c r="A695" s="1" t="str">
        <f aca="false">Transactions!A695</f>
        <v>TXN500729</v>
      </c>
      <c r="B695" s="1" t="str">
        <f aca="false">Transactions!B695</f>
        <v>ACC1031</v>
      </c>
      <c r="C695" s="1" t="str">
        <f aca="false">Transactions!I695</f>
        <v>2026-02-12</v>
      </c>
      <c r="D695" s="1" t="n">
        <f aca="false">Transactions!J695</f>
        <v>20</v>
      </c>
      <c r="E695" s="1" t="n">
        <f aca="false">Transactions!D695</f>
        <v>41.03</v>
      </c>
      <c r="F695" s="1" t="str">
        <f aca="false">Transactions!H695</f>
        <v>Online</v>
      </c>
      <c r="G695" s="1" t="str">
        <f aca="false">Transactions!G695</f>
        <v>Travel</v>
      </c>
      <c r="H695" s="1" t="n">
        <f aca="false">IF(COUNTIFS($B$2:$B$1489,B695,$C$2:$C$1489,C695,$D$2:$D$1489,D695)&gt;6,1,0)</f>
        <v>0</v>
      </c>
      <c r="I695" s="1" t="n">
        <f aca="false">IF(AND(F695="Wire",E695&gt;=1000,MOD(E695,1000)=0),1,0)</f>
        <v>0</v>
      </c>
      <c r="J695" s="1" t="n">
        <f aca="false">IF(AND(F695="ATM",E695&gt;2000,D695&lt;=4),1,0)</f>
        <v>0</v>
      </c>
      <c r="K695" s="1" t="n">
        <f aca="false">IF(COUNTIF('SQL Findings'!$A$4:$A$18,B695)&gt;0,1,0)</f>
        <v>0</v>
      </c>
      <c r="L695" s="1" t="n">
        <f aca="false">SUM(H695:K695)</f>
        <v>0</v>
      </c>
      <c r="M695" s="1" t="str">
        <f aca="false">IF(L695&gt;=2,"High",IF(L695=1,"Medium","Low"))</f>
        <v>Low</v>
      </c>
    </row>
    <row r="696" customFormat="false" ht="15" hidden="false" customHeight="true" outlineLevel="0" collapsed="false">
      <c r="A696" s="1" t="str">
        <f aca="false">Transactions!A696</f>
        <v>TXN500874</v>
      </c>
      <c r="B696" s="1" t="str">
        <f aca="false">Transactions!B696</f>
        <v>ACC1037</v>
      </c>
      <c r="C696" s="1" t="str">
        <f aca="false">Transactions!I696</f>
        <v>2026-02-12</v>
      </c>
      <c r="D696" s="1" t="n">
        <f aca="false">Transactions!J696</f>
        <v>22</v>
      </c>
      <c r="E696" s="1" t="n">
        <f aca="false">Transactions!D696</f>
        <v>34.54</v>
      </c>
      <c r="F696" s="1" t="str">
        <f aca="false">Transactions!H696</f>
        <v>ATM</v>
      </c>
      <c r="G696" s="1" t="str">
        <f aca="false">Transactions!G696</f>
        <v>Dining</v>
      </c>
      <c r="H696" s="1" t="n">
        <f aca="false">IF(COUNTIFS($B$2:$B$1489,B696,$C$2:$C$1489,C696,$D$2:$D$1489,D696)&gt;6,1,0)</f>
        <v>0</v>
      </c>
      <c r="I696" s="1" t="n">
        <f aca="false">IF(AND(F696="Wire",E696&gt;=1000,MOD(E696,1000)=0),1,0)</f>
        <v>0</v>
      </c>
      <c r="J696" s="1" t="n">
        <f aca="false">IF(AND(F696="ATM",E696&gt;2000,D696&lt;=4),1,0)</f>
        <v>0</v>
      </c>
      <c r="K696" s="1" t="n">
        <f aca="false">IF(COUNTIF('SQL Findings'!$A$4:$A$18,B696)&gt;0,1,0)</f>
        <v>1</v>
      </c>
      <c r="L696" s="1" t="n">
        <f aca="false">SUM(H696:K696)</f>
        <v>1</v>
      </c>
      <c r="M696" s="1" t="str">
        <f aca="false">IF(L696&gt;=2,"High",IF(L696=1,"Medium","Low"))</f>
        <v>Medium</v>
      </c>
    </row>
    <row r="697" customFormat="false" ht="15" hidden="false" customHeight="true" outlineLevel="0" collapsed="false">
      <c r="A697" s="1" t="str">
        <f aca="false">Transactions!A697</f>
        <v>TXN500135</v>
      </c>
      <c r="B697" s="1" t="str">
        <f aca="false">Transactions!B697</f>
        <v>ACC1006</v>
      </c>
      <c r="C697" s="1" t="str">
        <f aca="false">Transactions!I697</f>
        <v>2026-02-13</v>
      </c>
      <c r="D697" s="1" t="n">
        <f aca="false">Transactions!J697</f>
        <v>1</v>
      </c>
      <c r="E697" s="1" t="n">
        <f aca="false">Transactions!D697</f>
        <v>29.15</v>
      </c>
      <c r="F697" s="1" t="str">
        <f aca="false">Transactions!H697</f>
        <v>POS</v>
      </c>
      <c r="G697" s="1" t="str">
        <f aca="false">Transactions!G697</f>
        <v>Cash Withdrawal</v>
      </c>
      <c r="H697" s="1" t="n">
        <f aca="false">IF(COUNTIFS($B$2:$B$1489,B697,$C$2:$C$1489,C697,$D$2:$D$1489,D697)&gt;6,1,0)</f>
        <v>0</v>
      </c>
      <c r="I697" s="1" t="n">
        <f aca="false">IF(AND(F697="Wire",E697&gt;=1000,MOD(E697,1000)=0),1,0)</f>
        <v>0</v>
      </c>
      <c r="J697" s="1" t="n">
        <f aca="false">IF(AND(F697="ATM",E697&gt;2000,D697&lt;=4),1,0)</f>
        <v>0</v>
      </c>
      <c r="K697" s="1" t="n">
        <f aca="false">IF(COUNTIF('SQL Findings'!$A$4:$A$18,B697)&gt;0,1,0)</f>
        <v>0</v>
      </c>
      <c r="L697" s="1" t="n">
        <f aca="false">SUM(H697:K697)</f>
        <v>0</v>
      </c>
      <c r="M697" s="1" t="str">
        <f aca="false">IF(L697&gt;=2,"High",IF(L697=1,"Medium","Low"))</f>
        <v>Low</v>
      </c>
    </row>
    <row r="698" customFormat="false" ht="15" hidden="false" customHeight="true" outlineLevel="0" collapsed="false">
      <c r="A698" s="1" t="str">
        <f aca="false">Transactions!A698</f>
        <v>TXN501041</v>
      </c>
      <c r="B698" s="1" t="str">
        <f aca="false">Transactions!B698</f>
        <v>ACC1045</v>
      </c>
      <c r="C698" s="1" t="str">
        <f aca="false">Transactions!I698</f>
        <v>2026-02-13</v>
      </c>
      <c r="D698" s="1" t="n">
        <f aca="false">Transactions!J698</f>
        <v>3</v>
      </c>
      <c r="E698" s="1" t="n">
        <f aca="false">Transactions!D698</f>
        <v>303.55</v>
      </c>
      <c r="F698" s="1" t="str">
        <f aca="false">Transactions!H698</f>
        <v>Online</v>
      </c>
      <c r="G698" s="1" t="str">
        <f aca="false">Transactions!G698</f>
        <v>Travel</v>
      </c>
      <c r="H698" s="1" t="n">
        <f aca="false">IF(COUNTIFS($B$2:$B$1489,B698,$C$2:$C$1489,C698,$D$2:$D$1489,D698)&gt;6,1,0)</f>
        <v>0</v>
      </c>
      <c r="I698" s="1" t="n">
        <f aca="false">IF(AND(F698="Wire",E698&gt;=1000,MOD(E698,1000)=0),1,0)</f>
        <v>0</v>
      </c>
      <c r="J698" s="1" t="n">
        <f aca="false">IF(AND(F698="ATM",E698&gt;2000,D698&lt;=4),1,0)</f>
        <v>0</v>
      </c>
      <c r="K698" s="1" t="n">
        <f aca="false">IF(COUNTIF('SQL Findings'!$A$4:$A$18,B698)&gt;0,1,0)</f>
        <v>0</v>
      </c>
      <c r="L698" s="1" t="n">
        <f aca="false">SUM(H698:K698)</f>
        <v>0</v>
      </c>
      <c r="M698" s="1" t="str">
        <f aca="false">IF(L698&gt;=2,"High",IF(L698=1,"Medium","Low"))</f>
        <v>Low</v>
      </c>
    </row>
    <row r="699" customFormat="false" ht="15" hidden="false" customHeight="true" outlineLevel="0" collapsed="false">
      <c r="A699" s="1" t="str">
        <f aca="false">Transactions!A699</f>
        <v>TXN500889</v>
      </c>
      <c r="B699" s="1" t="str">
        <f aca="false">Transactions!B699</f>
        <v>ACC1038</v>
      </c>
      <c r="C699" s="1" t="str">
        <f aca="false">Transactions!I699</f>
        <v>2026-02-13</v>
      </c>
      <c r="D699" s="1" t="n">
        <f aca="false">Transactions!J699</f>
        <v>5</v>
      </c>
      <c r="E699" s="1" t="n">
        <f aca="false">Transactions!D699</f>
        <v>113.48</v>
      </c>
      <c r="F699" s="1" t="str">
        <f aca="false">Transactions!H699</f>
        <v>ATM</v>
      </c>
      <c r="G699" s="1" t="str">
        <f aca="false">Transactions!G699</f>
        <v>Retail</v>
      </c>
      <c r="H699" s="1" t="n">
        <f aca="false">IF(COUNTIFS($B$2:$B$1489,B699,$C$2:$C$1489,C699,$D$2:$D$1489,D699)&gt;6,1,0)</f>
        <v>0</v>
      </c>
      <c r="I699" s="1" t="n">
        <f aca="false">IF(AND(F699="Wire",E699&gt;=1000,MOD(E699,1000)=0),1,0)</f>
        <v>0</v>
      </c>
      <c r="J699" s="1" t="n">
        <f aca="false">IF(AND(F699="ATM",E699&gt;2000,D699&lt;=4),1,0)</f>
        <v>0</v>
      </c>
      <c r="K699" s="1" t="n">
        <f aca="false">IF(COUNTIF('SQL Findings'!$A$4:$A$18,B699)&gt;0,1,0)</f>
        <v>0</v>
      </c>
      <c r="L699" s="1" t="n">
        <f aca="false">SUM(H699:K699)</f>
        <v>0</v>
      </c>
      <c r="M699" s="1" t="str">
        <f aca="false">IF(L699&gt;=2,"High",IF(L699=1,"Medium","Low"))</f>
        <v>Low</v>
      </c>
    </row>
    <row r="700" customFormat="false" ht="15" hidden="false" customHeight="true" outlineLevel="0" collapsed="false">
      <c r="A700" s="1" t="str">
        <f aca="false">Transactions!A700</f>
        <v>TXN500016</v>
      </c>
      <c r="B700" s="1" t="str">
        <f aca="false">Transactions!B700</f>
        <v>ACC1000</v>
      </c>
      <c r="C700" s="1" t="str">
        <f aca="false">Transactions!I700</f>
        <v>2026-02-13</v>
      </c>
      <c r="D700" s="1" t="n">
        <f aca="false">Transactions!J700</f>
        <v>5</v>
      </c>
      <c r="E700" s="1" t="n">
        <f aca="false">Transactions!D700</f>
        <v>40.2</v>
      </c>
      <c r="F700" s="1" t="str">
        <f aca="false">Transactions!H700</f>
        <v>Online</v>
      </c>
      <c r="G700" s="1" t="str">
        <f aca="false">Transactions!G700</f>
        <v>Travel</v>
      </c>
      <c r="H700" s="1" t="n">
        <f aca="false">IF(COUNTIFS($B$2:$B$1489,B700,$C$2:$C$1489,C700,$D$2:$D$1489,D700)&gt;6,1,0)</f>
        <v>0</v>
      </c>
      <c r="I700" s="1" t="n">
        <f aca="false">IF(AND(F700="Wire",E700&gt;=1000,MOD(E700,1000)=0),1,0)</f>
        <v>0</v>
      </c>
      <c r="J700" s="1" t="n">
        <f aca="false">IF(AND(F700="ATM",E700&gt;2000,D700&lt;=4),1,0)</f>
        <v>0</v>
      </c>
      <c r="K700" s="1" t="n">
        <f aca="false">IF(COUNTIF('SQL Findings'!$A$4:$A$18,B700)&gt;0,1,0)</f>
        <v>1</v>
      </c>
      <c r="L700" s="1" t="n">
        <f aca="false">SUM(H700:K700)</f>
        <v>1</v>
      </c>
      <c r="M700" s="1" t="str">
        <f aca="false">IF(L700&gt;=2,"High",IF(L700=1,"Medium","Low"))</f>
        <v>Medium</v>
      </c>
    </row>
    <row r="701" customFormat="false" ht="15" hidden="false" customHeight="true" outlineLevel="0" collapsed="false">
      <c r="A701" s="1" t="str">
        <f aca="false">Transactions!A701</f>
        <v>TXN500860</v>
      </c>
      <c r="B701" s="1" t="str">
        <f aca="false">Transactions!B701</f>
        <v>ACC1037</v>
      </c>
      <c r="C701" s="1" t="str">
        <f aca="false">Transactions!I701</f>
        <v>2026-02-13</v>
      </c>
      <c r="D701" s="1" t="n">
        <f aca="false">Transactions!J701</f>
        <v>6</v>
      </c>
      <c r="E701" s="1" t="n">
        <f aca="false">Transactions!D701</f>
        <v>117.88</v>
      </c>
      <c r="F701" s="1" t="str">
        <f aca="false">Transactions!H701</f>
        <v>Online</v>
      </c>
      <c r="G701" s="1" t="str">
        <f aca="false">Transactions!G701</f>
        <v>Wire Transfer</v>
      </c>
      <c r="H701" s="1" t="n">
        <f aca="false">IF(COUNTIFS($B$2:$B$1489,B701,$C$2:$C$1489,C701,$D$2:$D$1489,D701)&gt;6,1,0)</f>
        <v>0</v>
      </c>
      <c r="I701" s="1" t="n">
        <f aca="false">IF(AND(F701="Wire",E701&gt;=1000,MOD(E701,1000)=0),1,0)</f>
        <v>0</v>
      </c>
      <c r="J701" s="1" t="n">
        <f aca="false">IF(AND(F701="ATM",E701&gt;2000,D701&lt;=4),1,0)</f>
        <v>0</v>
      </c>
      <c r="K701" s="1" t="n">
        <f aca="false">IF(COUNTIF('SQL Findings'!$A$4:$A$18,B701)&gt;0,1,0)</f>
        <v>1</v>
      </c>
      <c r="L701" s="1" t="n">
        <f aca="false">SUM(H701:K701)</f>
        <v>1</v>
      </c>
      <c r="M701" s="1" t="str">
        <f aca="false">IF(L701&gt;=2,"High",IF(L701=1,"Medium","Low"))</f>
        <v>Medium</v>
      </c>
    </row>
    <row r="702" customFormat="false" ht="15" hidden="false" customHeight="true" outlineLevel="0" collapsed="false">
      <c r="A702" s="1" t="str">
        <f aca="false">Transactions!A702</f>
        <v>TXN501303</v>
      </c>
      <c r="B702" s="1" t="str">
        <f aca="false">Transactions!B702</f>
        <v>ACC1057</v>
      </c>
      <c r="C702" s="1" t="str">
        <f aca="false">Transactions!I702</f>
        <v>2026-02-13</v>
      </c>
      <c r="D702" s="1" t="n">
        <f aca="false">Transactions!J702</f>
        <v>7</v>
      </c>
      <c r="E702" s="1" t="n">
        <f aca="false">Transactions!D702</f>
        <v>56.97</v>
      </c>
      <c r="F702" s="1" t="str">
        <f aca="false">Transactions!H702</f>
        <v>Online</v>
      </c>
      <c r="G702" s="1" t="str">
        <f aca="false">Transactions!G702</f>
        <v>Wire Transfer</v>
      </c>
      <c r="H702" s="1" t="n">
        <f aca="false">IF(COUNTIFS($B$2:$B$1489,B702,$C$2:$C$1489,C702,$D$2:$D$1489,D702)&gt;6,1,0)</f>
        <v>0</v>
      </c>
      <c r="I702" s="1" t="n">
        <f aca="false">IF(AND(F702="Wire",E702&gt;=1000,MOD(E702,1000)=0),1,0)</f>
        <v>0</v>
      </c>
      <c r="J702" s="1" t="n">
        <f aca="false">IF(AND(F702="ATM",E702&gt;2000,D702&lt;=4),1,0)</f>
        <v>0</v>
      </c>
      <c r="K702" s="1" t="n">
        <f aca="false">IF(COUNTIF('SQL Findings'!$A$4:$A$18,B702)&gt;0,1,0)</f>
        <v>1</v>
      </c>
      <c r="L702" s="1" t="n">
        <f aca="false">SUM(H702:K702)</f>
        <v>1</v>
      </c>
      <c r="M702" s="1" t="str">
        <f aca="false">IF(L702&gt;=2,"High",IF(L702=1,"Medium","Low"))</f>
        <v>Medium</v>
      </c>
    </row>
    <row r="703" customFormat="false" ht="15" hidden="false" customHeight="true" outlineLevel="0" collapsed="false">
      <c r="A703" s="1" t="str">
        <f aca="false">Transactions!A703</f>
        <v>TXN500295</v>
      </c>
      <c r="B703" s="1" t="str">
        <f aca="false">Transactions!B703</f>
        <v>ACC1012</v>
      </c>
      <c r="C703" s="1" t="str">
        <f aca="false">Transactions!I703</f>
        <v>2026-02-13</v>
      </c>
      <c r="D703" s="1" t="n">
        <f aca="false">Transactions!J703</f>
        <v>7</v>
      </c>
      <c r="E703" s="1" t="n">
        <f aca="false">Transactions!D703</f>
        <v>91.96</v>
      </c>
      <c r="F703" s="1" t="str">
        <f aca="false">Transactions!H703</f>
        <v>POS</v>
      </c>
      <c r="G703" s="1" t="str">
        <f aca="false">Transactions!G703</f>
        <v>Travel</v>
      </c>
      <c r="H703" s="1" t="n">
        <f aca="false">IF(COUNTIFS($B$2:$B$1489,B703,$C$2:$C$1489,C703,$D$2:$D$1489,D703)&gt;6,1,0)</f>
        <v>0</v>
      </c>
      <c r="I703" s="1" t="n">
        <f aca="false">IF(AND(F703="Wire",E703&gt;=1000,MOD(E703,1000)=0),1,0)</f>
        <v>0</v>
      </c>
      <c r="J703" s="1" t="n">
        <f aca="false">IF(AND(F703="ATM",E703&gt;2000,D703&lt;=4),1,0)</f>
        <v>0</v>
      </c>
      <c r="K703" s="1" t="n">
        <f aca="false">IF(COUNTIF('SQL Findings'!$A$4:$A$18,B703)&gt;0,1,0)</f>
        <v>0</v>
      </c>
      <c r="L703" s="1" t="n">
        <f aca="false">SUM(H703:K703)</f>
        <v>0</v>
      </c>
      <c r="M703" s="1" t="str">
        <f aca="false">IF(L703&gt;=2,"High",IF(L703=1,"Medium","Low"))</f>
        <v>Low</v>
      </c>
    </row>
    <row r="704" customFormat="false" ht="15" hidden="false" customHeight="true" outlineLevel="0" collapsed="false">
      <c r="A704" s="1" t="str">
        <f aca="false">Transactions!A704</f>
        <v>TXN501072</v>
      </c>
      <c r="B704" s="1" t="str">
        <f aca="false">Transactions!B704</f>
        <v>ACC1047</v>
      </c>
      <c r="C704" s="1" t="str">
        <f aca="false">Transactions!I704</f>
        <v>2026-02-13</v>
      </c>
      <c r="D704" s="1" t="n">
        <f aca="false">Transactions!J704</f>
        <v>10</v>
      </c>
      <c r="E704" s="1" t="n">
        <f aca="false">Transactions!D704</f>
        <v>102.45</v>
      </c>
      <c r="F704" s="1" t="str">
        <f aca="false">Transactions!H704</f>
        <v>POS</v>
      </c>
      <c r="G704" s="1" t="str">
        <f aca="false">Transactions!G704</f>
        <v>Wire Transfer</v>
      </c>
      <c r="H704" s="1" t="n">
        <f aca="false">IF(COUNTIFS($B$2:$B$1489,B704,$C$2:$C$1489,C704,$D$2:$D$1489,D704)&gt;6,1,0)</f>
        <v>0</v>
      </c>
      <c r="I704" s="1" t="n">
        <f aca="false">IF(AND(F704="Wire",E704&gt;=1000,MOD(E704,1000)=0),1,0)</f>
        <v>0</v>
      </c>
      <c r="J704" s="1" t="n">
        <f aca="false">IF(AND(F704="ATM",E704&gt;2000,D704&lt;=4),1,0)</f>
        <v>0</v>
      </c>
      <c r="K704" s="1" t="n">
        <f aca="false">IF(COUNTIF('SQL Findings'!$A$4:$A$18,B704)&gt;0,1,0)</f>
        <v>0</v>
      </c>
      <c r="L704" s="1" t="n">
        <f aca="false">SUM(H704:K704)</f>
        <v>0</v>
      </c>
      <c r="M704" s="1" t="str">
        <f aca="false">IF(L704&gt;=2,"High",IF(L704=1,"Medium","Low"))</f>
        <v>Low</v>
      </c>
    </row>
    <row r="705" customFormat="false" ht="15" hidden="false" customHeight="true" outlineLevel="0" collapsed="false">
      <c r="A705" s="1" t="str">
        <f aca="false">Transactions!A705</f>
        <v>TXN500422</v>
      </c>
      <c r="B705" s="1" t="str">
        <f aca="false">Transactions!B705</f>
        <v>ACC1018</v>
      </c>
      <c r="C705" s="1" t="str">
        <f aca="false">Transactions!I705</f>
        <v>2026-02-13</v>
      </c>
      <c r="D705" s="1" t="n">
        <f aca="false">Transactions!J705</f>
        <v>12</v>
      </c>
      <c r="E705" s="1" t="n">
        <f aca="false">Transactions!D705</f>
        <v>323.7</v>
      </c>
      <c r="F705" s="1" t="str">
        <f aca="false">Transactions!H705</f>
        <v>ATM</v>
      </c>
      <c r="G705" s="1" t="str">
        <f aca="false">Transactions!G705</f>
        <v>Online Marketplace</v>
      </c>
      <c r="H705" s="1" t="n">
        <f aca="false">IF(COUNTIFS($B$2:$B$1489,B705,$C$2:$C$1489,C705,$D$2:$D$1489,D705)&gt;6,1,0)</f>
        <v>0</v>
      </c>
      <c r="I705" s="1" t="n">
        <f aca="false">IF(AND(F705="Wire",E705&gt;=1000,MOD(E705,1000)=0),1,0)</f>
        <v>0</v>
      </c>
      <c r="J705" s="1" t="n">
        <f aca="false">IF(AND(F705="ATM",E705&gt;2000,D705&lt;=4),1,0)</f>
        <v>0</v>
      </c>
      <c r="K705" s="1" t="n">
        <f aca="false">IF(COUNTIF('SQL Findings'!$A$4:$A$18,B705)&gt;0,1,0)</f>
        <v>0</v>
      </c>
      <c r="L705" s="1" t="n">
        <f aca="false">SUM(H705:K705)</f>
        <v>0</v>
      </c>
      <c r="M705" s="1" t="str">
        <f aca="false">IF(L705&gt;=2,"High",IF(L705=1,"Medium","Low"))</f>
        <v>Low</v>
      </c>
    </row>
    <row r="706" customFormat="false" ht="15" hidden="false" customHeight="true" outlineLevel="0" collapsed="false">
      <c r="A706" s="1" t="str">
        <f aca="false">Transactions!A706</f>
        <v>TXN500869</v>
      </c>
      <c r="B706" s="1" t="str">
        <f aca="false">Transactions!B706</f>
        <v>ACC1037</v>
      </c>
      <c r="C706" s="1" t="str">
        <f aca="false">Transactions!I706</f>
        <v>2026-02-13</v>
      </c>
      <c r="D706" s="1" t="n">
        <f aca="false">Transactions!J706</f>
        <v>12</v>
      </c>
      <c r="E706" s="1" t="n">
        <f aca="false">Transactions!D706</f>
        <v>120.63</v>
      </c>
      <c r="F706" s="1" t="str">
        <f aca="false">Transactions!H706</f>
        <v>Online</v>
      </c>
      <c r="G706" s="1" t="str">
        <f aca="false">Transactions!G706</f>
        <v>Electronics</v>
      </c>
      <c r="H706" s="1" t="n">
        <f aca="false">IF(COUNTIFS($B$2:$B$1489,B706,$C$2:$C$1489,C706,$D$2:$D$1489,D706)&gt;6,1,0)</f>
        <v>0</v>
      </c>
      <c r="I706" s="1" t="n">
        <f aca="false">IF(AND(F706="Wire",E706&gt;=1000,MOD(E706,1000)=0),1,0)</f>
        <v>0</v>
      </c>
      <c r="J706" s="1" t="n">
        <f aca="false">IF(AND(F706="ATM",E706&gt;2000,D706&lt;=4),1,0)</f>
        <v>0</v>
      </c>
      <c r="K706" s="1" t="n">
        <f aca="false">IF(COUNTIF('SQL Findings'!$A$4:$A$18,B706)&gt;0,1,0)</f>
        <v>1</v>
      </c>
      <c r="L706" s="1" t="n">
        <f aca="false">SUM(H706:K706)</f>
        <v>1</v>
      </c>
      <c r="M706" s="1" t="str">
        <f aca="false">IF(L706&gt;=2,"High",IF(L706=1,"Medium","Low"))</f>
        <v>Medium</v>
      </c>
    </row>
    <row r="707" customFormat="false" ht="15" hidden="false" customHeight="true" outlineLevel="0" collapsed="false">
      <c r="A707" s="1" t="str">
        <f aca="false">Transactions!A707</f>
        <v>TXN501360</v>
      </c>
      <c r="B707" s="1" t="str">
        <f aca="false">Transactions!B707</f>
        <v>ACC1059</v>
      </c>
      <c r="C707" s="1" t="str">
        <f aca="false">Transactions!I707</f>
        <v>2026-02-13</v>
      </c>
      <c r="D707" s="1" t="n">
        <f aca="false">Transactions!J707</f>
        <v>14</v>
      </c>
      <c r="E707" s="1" t="n">
        <f aca="false">Transactions!D707</f>
        <v>78.65</v>
      </c>
      <c r="F707" s="1" t="str">
        <f aca="false">Transactions!H707</f>
        <v>ATM</v>
      </c>
      <c r="G707" s="1" t="str">
        <f aca="false">Transactions!G707</f>
        <v>Cash Withdrawal</v>
      </c>
      <c r="H707" s="1" t="n">
        <f aca="false">IF(COUNTIFS($B$2:$B$1489,B707,$C$2:$C$1489,C707,$D$2:$D$1489,D707)&gt;6,1,0)</f>
        <v>0</v>
      </c>
      <c r="I707" s="1" t="n">
        <f aca="false">IF(AND(F707="Wire",E707&gt;=1000,MOD(E707,1000)=0),1,0)</f>
        <v>0</v>
      </c>
      <c r="J707" s="1" t="n">
        <f aca="false">IF(AND(F707="ATM",E707&gt;2000,D707&lt;=4),1,0)</f>
        <v>0</v>
      </c>
      <c r="K707" s="1" t="n">
        <f aca="false">IF(COUNTIF('SQL Findings'!$A$4:$A$18,B707)&gt;0,1,0)</f>
        <v>0</v>
      </c>
      <c r="L707" s="1" t="n">
        <f aca="false">SUM(H707:K707)</f>
        <v>0</v>
      </c>
      <c r="M707" s="1" t="str">
        <f aca="false">IF(L707&gt;=2,"High",IF(L707=1,"Medium","Low"))</f>
        <v>Low</v>
      </c>
    </row>
    <row r="708" customFormat="false" ht="15" hidden="false" customHeight="true" outlineLevel="0" collapsed="false">
      <c r="A708" s="1" t="str">
        <f aca="false">Transactions!A708</f>
        <v>TXN500112</v>
      </c>
      <c r="B708" s="1" t="str">
        <f aca="false">Transactions!B708</f>
        <v>ACC1004</v>
      </c>
      <c r="C708" s="1" t="str">
        <f aca="false">Transactions!I708</f>
        <v>2026-02-13</v>
      </c>
      <c r="D708" s="1" t="n">
        <f aca="false">Transactions!J708</f>
        <v>14</v>
      </c>
      <c r="E708" s="1" t="n">
        <f aca="false">Transactions!D708</f>
        <v>65.11</v>
      </c>
      <c r="F708" s="1" t="str">
        <f aca="false">Transactions!H708</f>
        <v>ATM</v>
      </c>
      <c r="G708" s="1" t="str">
        <f aca="false">Transactions!G708</f>
        <v>Wire Transfer</v>
      </c>
      <c r="H708" s="1" t="n">
        <f aca="false">IF(COUNTIFS($B$2:$B$1489,B708,$C$2:$C$1489,C708,$D$2:$D$1489,D708)&gt;6,1,0)</f>
        <v>0</v>
      </c>
      <c r="I708" s="1" t="n">
        <f aca="false">IF(AND(F708="Wire",E708&gt;=1000,MOD(E708,1000)=0),1,0)</f>
        <v>0</v>
      </c>
      <c r="J708" s="1" t="n">
        <f aca="false">IF(AND(F708="ATM",E708&gt;2000,D708&lt;=4),1,0)</f>
        <v>0</v>
      </c>
      <c r="K708" s="1" t="n">
        <f aca="false">IF(COUNTIF('SQL Findings'!$A$4:$A$18,B708)&gt;0,1,0)</f>
        <v>1</v>
      </c>
      <c r="L708" s="1" t="n">
        <f aca="false">SUM(H708:K708)</f>
        <v>1</v>
      </c>
      <c r="M708" s="1" t="str">
        <f aca="false">IF(L708&gt;=2,"High",IF(L708=1,"Medium","Low"))</f>
        <v>Medium</v>
      </c>
    </row>
    <row r="709" customFormat="false" ht="15" hidden="false" customHeight="true" outlineLevel="0" collapsed="false">
      <c r="A709" s="1" t="str">
        <f aca="false">Transactions!A709</f>
        <v>TXN500783</v>
      </c>
      <c r="B709" s="1" t="str">
        <f aca="false">Transactions!B709</f>
        <v>ACC1033</v>
      </c>
      <c r="C709" s="1" t="str">
        <f aca="false">Transactions!I709</f>
        <v>2026-02-13</v>
      </c>
      <c r="D709" s="1" t="n">
        <f aca="false">Transactions!J709</f>
        <v>17</v>
      </c>
      <c r="E709" s="1" t="n">
        <f aca="false">Transactions!D709</f>
        <v>93.9</v>
      </c>
      <c r="F709" s="1" t="str">
        <f aca="false">Transactions!H709</f>
        <v>Online</v>
      </c>
      <c r="G709" s="1" t="str">
        <f aca="false">Transactions!G709</f>
        <v>Utilities</v>
      </c>
      <c r="H709" s="1" t="n">
        <f aca="false">IF(COUNTIFS($B$2:$B$1489,B709,$C$2:$C$1489,C709,$D$2:$D$1489,D709)&gt;6,1,0)</f>
        <v>0</v>
      </c>
      <c r="I709" s="1" t="n">
        <f aca="false">IF(AND(F709="Wire",E709&gt;=1000,MOD(E709,1000)=0),1,0)</f>
        <v>0</v>
      </c>
      <c r="J709" s="1" t="n">
        <f aca="false">IF(AND(F709="ATM",E709&gt;2000,D709&lt;=4),1,0)</f>
        <v>0</v>
      </c>
      <c r="K709" s="1" t="n">
        <f aca="false">IF(COUNTIF('SQL Findings'!$A$4:$A$18,B709)&gt;0,1,0)</f>
        <v>0</v>
      </c>
      <c r="L709" s="1" t="n">
        <f aca="false">SUM(H709:K709)</f>
        <v>0</v>
      </c>
      <c r="M709" s="1" t="str">
        <f aca="false">IF(L709&gt;=2,"High",IF(L709=1,"Medium","Low"))</f>
        <v>Low</v>
      </c>
    </row>
    <row r="710" customFormat="false" ht="15" hidden="false" customHeight="true" outlineLevel="0" collapsed="false">
      <c r="A710" s="1" t="str">
        <f aca="false">Transactions!A710</f>
        <v>TXN500323</v>
      </c>
      <c r="B710" s="1" t="str">
        <f aca="false">Transactions!B710</f>
        <v>ACC1014</v>
      </c>
      <c r="C710" s="1" t="str">
        <f aca="false">Transactions!I710</f>
        <v>2026-02-13</v>
      </c>
      <c r="D710" s="1" t="n">
        <f aca="false">Transactions!J710</f>
        <v>18</v>
      </c>
      <c r="E710" s="1" t="n">
        <f aca="false">Transactions!D710</f>
        <v>31.93</v>
      </c>
      <c r="F710" s="1" t="str">
        <f aca="false">Transactions!H710</f>
        <v>ATM</v>
      </c>
      <c r="G710" s="1" t="str">
        <f aca="false">Transactions!G710</f>
        <v>Travel</v>
      </c>
      <c r="H710" s="1" t="n">
        <f aca="false">IF(COUNTIFS($B$2:$B$1489,B710,$C$2:$C$1489,C710,$D$2:$D$1489,D710)&gt;6,1,0)</f>
        <v>0</v>
      </c>
      <c r="I710" s="1" t="n">
        <f aca="false">IF(AND(F710="Wire",E710&gt;=1000,MOD(E710,1000)=0),1,0)</f>
        <v>0</v>
      </c>
      <c r="J710" s="1" t="n">
        <f aca="false">IF(AND(F710="ATM",E710&gt;2000,D710&lt;=4),1,0)</f>
        <v>0</v>
      </c>
      <c r="K710" s="1" t="n">
        <f aca="false">IF(COUNTIF('SQL Findings'!$A$4:$A$18,B710)&gt;0,1,0)</f>
        <v>1</v>
      </c>
      <c r="L710" s="1" t="n">
        <f aca="false">SUM(H710:K710)</f>
        <v>1</v>
      </c>
      <c r="M710" s="1" t="str">
        <f aca="false">IF(L710&gt;=2,"High",IF(L710=1,"Medium","Low"))</f>
        <v>Medium</v>
      </c>
    </row>
    <row r="711" customFormat="false" ht="15" hidden="false" customHeight="true" outlineLevel="0" collapsed="false">
      <c r="A711" s="1" t="str">
        <f aca="false">Transactions!A711</f>
        <v>TXN501199</v>
      </c>
      <c r="B711" s="1" t="str">
        <f aca="false">Transactions!B711</f>
        <v>ACC1052</v>
      </c>
      <c r="C711" s="1" t="str">
        <f aca="false">Transactions!I711</f>
        <v>2026-02-13</v>
      </c>
      <c r="D711" s="1" t="n">
        <f aca="false">Transactions!J711</f>
        <v>19</v>
      </c>
      <c r="E711" s="1" t="n">
        <f aca="false">Transactions!D711</f>
        <v>81.57</v>
      </c>
      <c r="F711" s="1" t="str">
        <f aca="false">Transactions!H711</f>
        <v>POS</v>
      </c>
      <c r="G711" s="1" t="str">
        <f aca="false">Transactions!G711</f>
        <v>Travel</v>
      </c>
      <c r="H711" s="1" t="n">
        <f aca="false">IF(COUNTIFS($B$2:$B$1489,B711,$C$2:$C$1489,C711,$D$2:$D$1489,D711)&gt;6,1,0)</f>
        <v>0</v>
      </c>
      <c r="I711" s="1" t="n">
        <f aca="false">IF(AND(F711="Wire",E711&gt;=1000,MOD(E711,1000)=0),1,0)</f>
        <v>0</v>
      </c>
      <c r="J711" s="1" t="n">
        <f aca="false">IF(AND(F711="ATM",E711&gt;2000,D711&lt;=4),1,0)</f>
        <v>0</v>
      </c>
      <c r="K711" s="1" t="n">
        <f aca="false">IF(COUNTIF('SQL Findings'!$A$4:$A$18,B711)&gt;0,1,0)</f>
        <v>0</v>
      </c>
      <c r="L711" s="1" t="n">
        <f aca="false">SUM(H711:K711)</f>
        <v>0</v>
      </c>
      <c r="M711" s="1" t="str">
        <f aca="false">IF(L711&gt;=2,"High",IF(L711=1,"Medium","Low"))</f>
        <v>Low</v>
      </c>
    </row>
    <row r="712" customFormat="false" ht="15" hidden="false" customHeight="true" outlineLevel="0" collapsed="false">
      <c r="A712" s="1" t="str">
        <f aca="false">Transactions!A712</f>
        <v>TXN501036</v>
      </c>
      <c r="B712" s="1" t="str">
        <f aca="false">Transactions!B712</f>
        <v>ACC1045</v>
      </c>
      <c r="C712" s="1" t="str">
        <f aca="false">Transactions!I712</f>
        <v>2026-02-13</v>
      </c>
      <c r="D712" s="1" t="n">
        <f aca="false">Transactions!J712</f>
        <v>22</v>
      </c>
      <c r="E712" s="1" t="n">
        <f aca="false">Transactions!D712</f>
        <v>274.95</v>
      </c>
      <c r="F712" s="1" t="str">
        <f aca="false">Transactions!H712</f>
        <v>ATM</v>
      </c>
      <c r="G712" s="1" t="str">
        <f aca="false">Transactions!G712</f>
        <v>Online Marketplace</v>
      </c>
      <c r="H712" s="1" t="n">
        <f aca="false">IF(COUNTIFS($B$2:$B$1489,B712,$C$2:$C$1489,C712,$D$2:$D$1489,D712)&gt;6,1,0)</f>
        <v>0</v>
      </c>
      <c r="I712" s="1" t="n">
        <f aca="false">IF(AND(F712="Wire",E712&gt;=1000,MOD(E712,1000)=0),1,0)</f>
        <v>0</v>
      </c>
      <c r="J712" s="1" t="n">
        <f aca="false">IF(AND(F712="ATM",E712&gt;2000,D712&lt;=4),1,0)</f>
        <v>0</v>
      </c>
      <c r="K712" s="1" t="n">
        <f aca="false">IF(COUNTIF('SQL Findings'!$A$4:$A$18,B712)&gt;0,1,0)</f>
        <v>0</v>
      </c>
      <c r="L712" s="1" t="n">
        <f aca="false">SUM(H712:K712)</f>
        <v>0</v>
      </c>
      <c r="M712" s="1" t="str">
        <f aca="false">IF(L712&gt;=2,"High",IF(L712=1,"Medium","Low"))</f>
        <v>Low</v>
      </c>
    </row>
    <row r="713" customFormat="false" ht="15" hidden="false" customHeight="true" outlineLevel="0" collapsed="false">
      <c r="A713" s="1" t="str">
        <f aca="false">Transactions!A713</f>
        <v>TXN500360</v>
      </c>
      <c r="B713" s="1" t="str">
        <f aca="false">Transactions!B713</f>
        <v>ACC1015</v>
      </c>
      <c r="C713" s="1" t="str">
        <f aca="false">Transactions!I713</f>
        <v>2026-02-13</v>
      </c>
      <c r="D713" s="1" t="n">
        <f aca="false">Transactions!J713</f>
        <v>22</v>
      </c>
      <c r="E713" s="1" t="n">
        <f aca="false">Transactions!D713</f>
        <v>31.67</v>
      </c>
      <c r="F713" s="1" t="str">
        <f aca="false">Transactions!H713</f>
        <v>Online</v>
      </c>
      <c r="G713" s="1" t="str">
        <f aca="false">Transactions!G713</f>
        <v>Online Marketplace</v>
      </c>
      <c r="H713" s="1" t="n">
        <f aca="false">IF(COUNTIFS($B$2:$B$1489,B713,$C$2:$C$1489,C713,$D$2:$D$1489,D713)&gt;6,1,0)</f>
        <v>0</v>
      </c>
      <c r="I713" s="1" t="n">
        <f aca="false">IF(AND(F713="Wire",E713&gt;=1000,MOD(E713,1000)=0),1,0)</f>
        <v>0</v>
      </c>
      <c r="J713" s="1" t="n">
        <f aca="false">IF(AND(F713="ATM",E713&gt;2000,D713&lt;=4),1,0)</f>
        <v>0</v>
      </c>
      <c r="K713" s="1" t="n">
        <f aca="false">IF(COUNTIF('SQL Findings'!$A$4:$A$18,B713)&gt;0,1,0)</f>
        <v>1</v>
      </c>
      <c r="L713" s="1" t="n">
        <f aca="false">SUM(H713:K713)</f>
        <v>1</v>
      </c>
      <c r="M713" s="1" t="str">
        <f aca="false">IF(L713&gt;=2,"High",IF(L713=1,"Medium","Low"))</f>
        <v>Medium</v>
      </c>
    </row>
    <row r="714" customFormat="false" ht="15" hidden="false" customHeight="true" outlineLevel="0" collapsed="false">
      <c r="A714" s="1" t="str">
        <f aca="false">Transactions!A714</f>
        <v>TXN500484</v>
      </c>
      <c r="B714" s="1" t="str">
        <f aca="false">Transactions!B714</f>
        <v>ACC1021</v>
      </c>
      <c r="C714" s="1" t="str">
        <f aca="false">Transactions!I714</f>
        <v>2026-02-14</v>
      </c>
      <c r="D714" s="1" t="n">
        <f aca="false">Transactions!J714</f>
        <v>5</v>
      </c>
      <c r="E714" s="1" t="n">
        <f aca="false">Transactions!D714</f>
        <v>80.09</v>
      </c>
      <c r="F714" s="1" t="str">
        <f aca="false">Transactions!H714</f>
        <v>ATM</v>
      </c>
      <c r="G714" s="1" t="str">
        <f aca="false">Transactions!G714</f>
        <v>Wire Transfer</v>
      </c>
      <c r="H714" s="1" t="n">
        <f aca="false">IF(COUNTIFS($B$2:$B$1489,B714,$C$2:$C$1489,C714,$D$2:$D$1489,D714)&gt;6,1,0)</f>
        <v>0</v>
      </c>
      <c r="I714" s="1" t="n">
        <f aca="false">IF(AND(F714="Wire",E714&gt;=1000,MOD(E714,1000)=0),1,0)</f>
        <v>0</v>
      </c>
      <c r="J714" s="1" t="n">
        <f aca="false">IF(AND(F714="ATM",E714&gt;2000,D714&lt;=4),1,0)</f>
        <v>0</v>
      </c>
      <c r="K714" s="1" t="n">
        <f aca="false">IF(COUNTIF('SQL Findings'!$A$4:$A$18,B714)&gt;0,1,0)</f>
        <v>0</v>
      </c>
      <c r="L714" s="1" t="n">
        <f aca="false">SUM(H714:K714)</f>
        <v>0</v>
      </c>
      <c r="M714" s="1" t="str">
        <f aca="false">IF(L714&gt;=2,"High",IF(L714=1,"Medium","Low"))</f>
        <v>Low</v>
      </c>
    </row>
    <row r="715" customFormat="false" ht="15" hidden="false" customHeight="true" outlineLevel="0" collapsed="false">
      <c r="A715" s="1" t="str">
        <f aca="false">Transactions!A715</f>
        <v>TXN500119</v>
      </c>
      <c r="B715" s="1" t="str">
        <f aca="false">Transactions!B715</f>
        <v>ACC1005</v>
      </c>
      <c r="C715" s="1" t="str">
        <f aca="false">Transactions!I715</f>
        <v>2026-02-14</v>
      </c>
      <c r="D715" s="1" t="n">
        <f aca="false">Transactions!J715</f>
        <v>7</v>
      </c>
      <c r="E715" s="1" t="n">
        <f aca="false">Transactions!D715</f>
        <v>186.52</v>
      </c>
      <c r="F715" s="1" t="str">
        <f aca="false">Transactions!H715</f>
        <v>POS</v>
      </c>
      <c r="G715" s="1" t="str">
        <f aca="false">Transactions!G715</f>
        <v>Retail</v>
      </c>
      <c r="H715" s="1" t="n">
        <f aca="false">IF(COUNTIFS($B$2:$B$1489,B715,$C$2:$C$1489,C715,$D$2:$D$1489,D715)&gt;6,1,0)</f>
        <v>0</v>
      </c>
      <c r="I715" s="1" t="n">
        <f aca="false">IF(AND(F715="Wire",E715&gt;=1000,MOD(E715,1000)=0),1,0)</f>
        <v>0</v>
      </c>
      <c r="J715" s="1" t="n">
        <f aca="false">IF(AND(F715="ATM",E715&gt;2000,D715&lt;=4),1,0)</f>
        <v>0</v>
      </c>
      <c r="K715" s="1" t="n">
        <f aca="false">IF(COUNTIF('SQL Findings'!$A$4:$A$18,B715)&gt;0,1,0)</f>
        <v>0</v>
      </c>
      <c r="L715" s="1" t="n">
        <f aca="false">SUM(H715:K715)</f>
        <v>0</v>
      </c>
      <c r="M715" s="1" t="str">
        <f aca="false">IF(L715&gt;=2,"High",IF(L715=1,"Medium","Low"))</f>
        <v>Low</v>
      </c>
    </row>
    <row r="716" customFormat="false" ht="15" hidden="false" customHeight="true" outlineLevel="0" collapsed="false">
      <c r="A716" s="1" t="str">
        <f aca="false">Transactions!A716</f>
        <v>TXN500925</v>
      </c>
      <c r="B716" s="1" t="str">
        <f aca="false">Transactions!B716</f>
        <v>ACC1039</v>
      </c>
      <c r="C716" s="1" t="str">
        <f aca="false">Transactions!I716</f>
        <v>2026-02-14</v>
      </c>
      <c r="D716" s="1" t="n">
        <f aca="false">Transactions!J716</f>
        <v>7</v>
      </c>
      <c r="E716" s="1" t="n">
        <f aca="false">Transactions!D716</f>
        <v>195.5</v>
      </c>
      <c r="F716" s="1" t="str">
        <f aca="false">Transactions!H716</f>
        <v>Online</v>
      </c>
      <c r="G716" s="1" t="str">
        <f aca="false">Transactions!G716</f>
        <v>Cash Withdrawal</v>
      </c>
      <c r="H716" s="1" t="n">
        <f aca="false">IF(COUNTIFS($B$2:$B$1489,B716,$C$2:$C$1489,C716,$D$2:$D$1489,D716)&gt;6,1,0)</f>
        <v>0</v>
      </c>
      <c r="I716" s="1" t="n">
        <f aca="false">IF(AND(F716="Wire",E716&gt;=1000,MOD(E716,1000)=0),1,0)</f>
        <v>0</v>
      </c>
      <c r="J716" s="1" t="n">
        <f aca="false">IF(AND(F716="ATM",E716&gt;2000,D716&lt;=4),1,0)</f>
        <v>0</v>
      </c>
      <c r="K716" s="1" t="n">
        <f aca="false">IF(COUNTIF('SQL Findings'!$A$4:$A$18,B716)&gt;0,1,0)</f>
        <v>0</v>
      </c>
      <c r="L716" s="1" t="n">
        <f aca="false">SUM(H716:K716)</f>
        <v>0</v>
      </c>
      <c r="M716" s="1" t="str">
        <f aca="false">IF(L716&gt;=2,"High",IF(L716=1,"Medium","Low"))</f>
        <v>Low</v>
      </c>
    </row>
    <row r="717" customFormat="false" ht="15" hidden="false" customHeight="true" outlineLevel="0" collapsed="false">
      <c r="A717" s="1" t="str">
        <f aca="false">Transactions!A717</f>
        <v>TXN501177</v>
      </c>
      <c r="B717" s="1" t="str">
        <f aca="false">Transactions!B717</f>
        <v>ACC1052</v>
      </c>
      <c r="C717" s="1" t="str">
        <f aca="false">Transactions!I717</f>
        <v>2026-02-14</v>
      </c>
      <c r="D717" s="1" t="n">
        <f aca="false">Transactions!J717</f>
        <v>7</v>
      </c>
      <c r="E717" s="1" t="n">
        <f aca="false">Transactions!D717</f>
        <v>14.53</v>
      </c>
      <c r="F717" s="1" t="str">
        <f aca="false">Transactions!H717</f>
        <v>Online</v>
      </c>
      <c r="G717" s="1" t="str">
        <f aca="false">Transactions!G717</f>
        <v>Retail</v>
      </c>
      <c r="H717" s="1" t="n">
        <f aca="false">IF(COUNTIFS($B$2:$B$1489,B717,$C$2:$C$1489,C717,$D$2:$D$1489,D717)&gt;6,1,0)</f>
        <v>0</v>
      </c>
      <c r="I717" s="1" t="n">
        <f aca="false">IF(AND(F717="Wire",E717&gt;=1000,MOD(E717,1000)=0),1,0)</f>
        <v>0</v>
      </c>
      <c r="J717" s="1" t="n">
        <f aca="false">IF(AND(F717="ATM",E717&gt;2000,D717&lt;=4),1,0)</f>
        <v>0</v>
      </c>
      <c r="K717" s="1" t="n">
        <f aca="false">IF(COUNTIF('SQL Findings'!$A$4:$A$18,B717)&gt;0,1,0)</f>
        <v>0</v>
      </c>
      <c r="L717" s="1" t="n">
        <f aca="false">SUM(H717:K717)</f>
        <v>0</v>
      </c>
      <c r="M717" s="1" t="str">
        <f aca="false">IF(L717&gt;=2,"High",IF(L717=1,"Medium","Low"))</f>
        <v>Low</v>
      </c>
    </row>
    <row r="718" customFormat="false" ht="15" hidden="false" customHeight="true" outlineLevel="0" collapsed="false">
      <c r="A718" s="1" t="str">
        <f aca="false">Transactions!A718</f>
        <v>TXN500951</v>
      </c>
      <c r="B718" s="1" t="str">
        <f aca="false">Transactions!B718</f>
        <v>ACC1041</v>
      </c>
      <c r="C718" s="1" t="str">
        <f aca="false">Transactions!I718</f>
        <v>2026-02-14</v>
      </c>
      <c r="D718" s="1" t="n">
        <f aca="false">Transactions!J718</f>
        <v>7</v>
      </c>
      <c r="E718" s="1" t="n">
        <f aca="false">Transactions!D718</f>
        <v>53.67</v>
      </c>
      <c r="F718" s="1" t="str">
        <f aca="false">Transactions!H718</f>
        <v>POS</v>
      </c>
      <c r="G718" s="1" t="str">
        <f aca="false">Transactions!G718</f>
        <v>Travel</v>
      </c>
      <c r="H718" s="1" t="n">
        <f aca="false">IF(COUNTIFS($B$2:$B$1489,B718,$C$2:$C$1489,C718,$D$2:$D$1489,D718)&gt;6,1,0)</f>
        <v>0</v>
      </c>
      <c r="I718" s="1" t="n">
        <f aca="false">IF(AND(F718="Wire",E718&gt;=1000,MOD(E718,1000)=0),1,0)</f>
        <v>0</v>
      </c>
      <c r="J718" s="1" t="n">
        <f aca="false">IF(AND(F718="ATM",E718&gt;2000,D718&lt;=4),1,0)</f>
        <v>0</v>
      </c>
      <c r="K718" s="1" t="n">
        <f aca="false">IF(COUNTIF('SQL Findings'!$A$4:$A$18,B718)&gt;0,1,0)</f>
        <v>1</v>
      </c>
      <c r="L718" s="1" t="n">
        <f aca="false">SUM(H718:K718)</f>
        <v>1</v>
      </c>
      <c r="M718" s="1" t="str">
        <f aca="false">IF(L718&gt;=2,"High",IF(L718=1,"Medium","Low"))</f>
        <v>Medium</v>
      </c>
    </row>
    <row r="719" customFormat="false" ht="15" hidden="false" customHeight="true" outlineLevel="0" collapsed="false">
      <c r="A719" s="1" t="str">
        <f aca="false">Transactions!A719</f>
        <v>TXN501377</v>
      </c>
      <c r="B719" s="1" t="str">
        <f aca="false">Transactions!B719</f>
        <v>ACC1041</v>
      </c>
      <c r="C719" s="1" t="str">
        <f aca="false">Transactions!I719</f>
        <v>2026-02-14</v>
      </c>
      <c r="D719" s="1" t="n">
        <f aca="false">Transactions!J719</f>
        <v>9</v>
      </c>
      <c r="E719" s="1" t="n">
        <f aca="false">Transactions!D719</f>
        <v>2785.03</v>
      </c>
      <c r="F719" s="1" t="str">
        <f aca="false">Transactions!H719</f>
        <v>Wire</v>
      </c>
      <c r="G719" s="1" t="str">
        <f aca="false">Transactions!G719</f>
        <v>Wire Transfer</v>
      </c>
      <c r="H719" s="1" t="n">
        <f aca="false">IF(COUNTIFS($B$2:$B$1489,B719,$C$2:$C$1489,C719,$D$2:$D$1489,D719)&gt;6,1,0)</f>
        <v>0</v>
      </c>
      <c r="I719" s="1" t="n">
        <f aca="false">IF(AND(F719="Wire",E719&gt;=1000,MOD(E719,1000)=0),1,0)</f>
        <v>0</v>
      </c>
      <c r="J719" s="1" t="n">
        <f aca="false">IF(AND(F719="ATM",E719&gt;2000,D719&lt;=4),1,0)</f>
        <v>0</v>
      </c>
      <c r="K719" s="1" t="n">
        <f aca="false">IF(COUNTIF('SQL Findings'!$A$4:$A$18,B719)&gt;0,1,0)</f>
        <v>1</v>
      </c>
      <c r="L719" s="1" t="n">
        <f aca="false">SUM(H719:K719)</f>
        <v>1</v>
      </c>
      <c r="M719" s="1" t="str">
        <f aca="false">IF(L719&gt;=2,"High",IF(L719=1,"Medium","Low"))</f>
        <v>Medium</v>
      </c>
    </row>
    <row r="720" customFormat="false" ht="15" hidden="false" customHeight="true" outlineLevel="0" collapsed="false">
      <c r="A720" s="1" t="str">
        <f aca="false">Transactions!A720</f>
        <v>TXN501052</v>
      </c>
      <c r="B720" s="1" t="str">
        <f aca="false">Transactions!B720</f>
        <v>ACC1045</v>
      </c>
      <c r="C720" s="1" t="str">
        <f aca="false">Transactions!I720</f>
        <v>2026-02-14</v>
      </c>
      <c r="D720" s="1" t="n">
        <f aca="false">Transactions!J720</f>
        <v>10</v>
      </c>
      <c r="E720" s="1" t="n">
        <f aca="false">Transactions!D720</f>
        <v>95.22</v>
      </c>
      <c r="F720" s="1" t="str">
        <f aca="false">Transactions!H720</f>
        <v>Online</v>
      </c>
      <c r="G720" s="1" t="str">
        <f aca="false">Transactions!G720</f>
        <v>Travel</v>
      </c>
      <c r="H720" s="1" t="n">
        <f aca="false">IF(COUNTIFS($B$2:$B$1489,B720,$C$2:$C$1489,C720,$D$2:$D$1489,D720)&gt;6,1,0)</f>
        <v>0</v>
      </c>
      <c r="I720" s="1" t="n">
        <f aca="false">IF(AND(F720="Wire",E720&gt;=1000,MOD(E720,1000)=0),1,0)</f>
        <v>0</v>
      </c>
      <c r="J720" s="1" t="n">
        <f aca="false">IF(AND(F720="ATM",E720&gt;2000,D720&lt;=4),1,0)</f>
        <v>0</v>
      </c>
      <c r="K720" s="1" t="n">
        <f aca="false">IF(COUNTIF('SQL Findings'!$A$4:$A$18,B720)&gt;0,1,0)</f>
        <v>0</v>
      </c>
      <c r="L720" s="1" t="n">
        <f aca="false">SUM(H720:K720)</f>
        <v>0</v>
      </c>
      <c r="M720" s="1" t="str">
        <f aca="false">IF(L720&gt;=2,"High",IF(L720=1,"Medium","Low"))</f>
        <v>Low</v>
      </c>
    </row>
    <row r="721" customFormat="false" ht="15" hidden="false" customHeight="true" outlineLevel="0" collapsed="false">
      <c r="A721" s="1" t="str">
        <f aca="false">Transactions!A721</f>
        <v>TXN501378</v>
      </c>
      <c r="B721" s="1" t="str">
        <f aca="false">Transactions!B721</f>
        <v>ACC1041</v>
      </c>
      <c r="C721" s="1" t="str">
        <f aca="false">Transactions!I721</f>
        <v>2026-02-14</v>
      </c>
      <c r="D721" s="1" t="n">
        <f aca="false">Transactions!J721</f>
        <v>11</v>
      </c>
      <c r="E721" s="1" t="n">
        <f aca="false">Transactions!D721</f>
        <v>2716.05</v>
      </c>
      <c r="F721" s="1" t="str">
        <f aca="false">Transactions!H721</f>
        <v>Wire</v>
      </c>
      <c r="G721" s="1" t="str">
        <f aca="false">Transactions!G721</f>
        <v>Wire Transfer</v>
      </c>
      <c r="H721" s="1" t="n">
        <f aca="false">IF(COUNTIFS($B$2:$B$1489,B721,$C$2:$C$1489,C721,$D$2:$D$1489,D721)&gt;6,1,0)</f>
        <v>0</v>
      </c>
      <c r="I721" s="1" t="n">
        <f aca="false">IF(AND(F721="Wire",E721&gt;=1000,MOD(E721,1000)=0),1,0)</f>
        <v>0</v>
      </c>
      <c r="J721" s="1" t="n">
        <f aca="false">IF(AND(F721="ATM",E721&gt;2000,D721&lt;=4),1,0)</f>
        <v>0</v>
      </c>
      <c r="K721" s="1" t="n">
        <f aca="false">IF(COUNTIF('SQL Findings'!$A$4:$A$18,B721)&gt;0,1,0)</f>
        <v>1</v>
      </c>
      <c r="L721" s="1" t="n">
        <f aca="false">SUM(H721:K721)</f>
        <v>1</v>
      </c>
      <c r="M721" s="1" t="str">
        <f aca="false">IF(L721&gt;=2,"High",IF(L721=1,"Medium","Low"))</f>
        <v>Medium</v>
      </c>
    </row>
    <row r="722" customFormat="false" ht="15" hidden="false" customHeight="true" outlineLevel="0" collapsed="false">
      <c r="A722" s="1" t="str">
        <f aca="false">Transactions!A722</f>
        <v>TXN500982</v>
      </c>
      <c r="B722" s="1" t="str">
        <f aca="false">Transactions!B722</f>
        <v>ACC1043</v>
      </c>
      <c r="C722" s="1" t="str">
        <f aca="false">Transactions!I722</f>
        <v>2026-02-14</v>
      </c>
      <c r="D722" s="1" t="n">
        <f aca="false">Transactions!J722</f>
        <v>11</v>
      </c>
      <c r="E722" s="1" t="n">
        <f aca="false">Transactions!D722</f>
        <v>97.8</v>
      </c>
      <c r="F722" s="1" t="str">
        <f aca="false">Transactions!H722</f>
        <v>ATM</v>
      </c>
      <c r="G722" s="1" t="str">
        <f aca="false">Transactions!G722</f>
        <v>Retail</v>
      </c>
      <c r="H722" s="1" t="n">
        <f aca="false">IF(COUNTIFS($B$2:$B$1489,B722,$C$2:$C$1489,C722,$D$2:$D$1489,D722)&gt;6,1,0)</f>
        <v>0</v>
      </c>
      <c r="I722" s="1" t="n">
        <f aca="false">IF(AND(F722="Wire",E722&gt;=1000,MOD(E722,1000)=0),1,0)</f>
        <v>0</v>
      </c>
      <c r="J722" s="1" t="n">
        <f aca="false">IF(AND(F722="ATM",E722&gt;2000,D722&lt;=4),1,0)</f>
        <v>0</v>
      </c>
      <c r="K722" s="1" t="n">
        <f aca="false">IF(COUNTIF('SQL Findings'!$A$4:$A$18,B722)&gt;0,1,0)</f>
        <v>0</v>
      </c>
      <c r="L722" s="1" t="n">
        <f aca="false">SUM(H722:K722)</f>
        <v>0</v>
      </c>
      <c r="M722" s="1" t="str">
        <f aca="false">IF(L722&gt;=2,"High",IF(L722=1,"Medium","Low"))</f>
        <v>Low</v>
      </c>
    </row>
    <row r="723" customFormat="false" ht="15" hidden="false" customHeight="true" outlineLevel="0" collapsed="false">
      <c r="A723" s="1" t="str">
        <f aca="false">Transactions!A723</f>
        <v>TXN501298</v>
      </c>
      <c r="B723" s="1" t="str">
        <f aca="false">Transactions!B723</f>
        <v>ACC1056</v>
      </c>
      <c r="C723" s="1" t="str">
        <f aca="false">Transactions!I723</f>
        <v>2026-02-14</v>
      </c>
      <c r="D723" s="1" t="n">
        <f aca="false">Transactions!J723</f>
        <v>11</v>
      </c>
      <c r="E723" s="1" t="n">
        <f aca="false">Transactions!D723</f>
        <v>51.35</v>
      </c>
      <c r="F723" s="1" t="str">
        <f aca="false">Transactions!H723</f>
        <v>Online</v>
      </c>
      <c r="G723" s="1" t="str">
        <f aca="false">Transactions!G723</f>
        <v>Travel</v>
      </c>
      <c r="H723" s="1" t="n">
        <f aca="false">IF(COUNTIFS($B$2:$B$1489,B723,$C$2:$C$1489,C723,$D$2:$D$1489,D723)&gt;6,1,0)</f>
        <v>0</v>
      </c>
      <c r="I723" s="1" t="n">
        <f aca="false">IF(AND(F723="Wire",E723&gt;=1000,MOD(E723,1000)=0),1,0)</f>
        <v>0</v>
      </c>
      <c r="J723" s="1" t="n">
        <f aca="false">IF(AND(F723="ATM",E723&gt;2000,D723&lt;=4),1,0)</f>
        <v>0</v>
      </c>
      <c r="K723" s="1" t="n">
        <f aca="false">IF(COUNTIF('SQL Findings'!$A$4:$A$18,B723)&gt;0,1,0)</f>
        <v>0</v>
      </c>
      <c r="L723" s="1" t="n">
        <f aca="false">SUM(H723:K723)</f>
        <v>0</v>
      </c>
      <c r="M723" s="1" t="str">
        <f aca="false">IF(L723&gt;=2,"High",IF(L723=1,"Medium","Low"))</f>
        <v>Low</v>
      </c>
    </row>
    <row r="724" customFormat="false" ht="15" hidden="false" customHeight="true" outlineLevel="0" collapsed="false">
      <c r="A724" s="1" t="str">
        <f aca="false">Transactions!A724</f>
        <v>TXN501379</v>
      </c>
      <c r="B724" s="1" t="str">
        <f aca="false">Transactions!B724</f>
        <v>ACC1041</v>
      </c>
      <c r="C724" s="1" t="str">
        <f aca="false">Transactions!I724</f>
        <v>2026-02-14</v>
      </c>
      <c r="D724" s="1" t="n">
        <f aca="false">Transactions!J724</f>
        <v>12</v>
      </c>
      <c r="E724" s="1" t="n">
        <f aca="false">Transactions!D724</f>
        <v>2789.18</v>
      </c>
      <c r="F724" s="1" t="str">
        <f aca="false">Transactions!H724</f>
        <v>Wire</v>
      </c>
      <c r="G724" s="1" t="str">
        <f aca="false">Transactions!G724</f>
        <v>Wire Transfer</v>
      </c>
      <c r="H724" s="1" t="n">
        <f aca="false">IF(COUNTIFS($B$2:$B$1489,B724,$C$2:$C$1489,C724,$D$2:$D$1489,D724)&gt;6,1,0)</f>
        <v>0</v>
      </c>
      <c r="I724" s="1" t="n">
        <f aca="false">IF(AND(F724="Wire",E724&gt;=1000,MOD(E724,1000)=0),1,0)</f>
        <v>0</v>
      </c>
      <c r="J724" s="1" t="n">
        <f aca="false">IF(AND(F724="ATM",E724&gt;2000,D724&lt;=4),1,0)</f>
        <v>0</v>
      </c>
      <c r="K724" s="1" t="n">
        <f aca="false">IF(COUNTIF('SQL Findings'!$A$4:$A$18,B724)&gt;0,1,0)</f>
        <v>1</v>
      </c>
      <c r="L724" s="1" t="n">
        <f aca="false">SUM(H724:K724)</f>
        <v>1</v>
      </c>
      <c r="M724" s="1" t="str">
        <f aca="false">IF(L724&gt;=2,"High",IF(L724=1,"Medium","Low"))</f>
        <v>Medium</v>
      </c>
    </row>
    <row r="725" customFormat="false" ht="15" hidden="false" customHeight="true" outlineLevel="0" collapsed="false">
      <c r="A725" s="1" t="str">
        <f aca="false">Transactions!A725</f>
        <v>TXN500438</v>
      </c>
      <c r="B725" s="1" t="str">
        <f aca="false">Transactions!B725</f>
        <v>ACC1019</v>
      </c>
      <c r="C725" s="1" t="str">
        <f aca="false">Transactions!I725</f>
        <v>2026-02-14</v>
      </c>
      <c r="D725" s="1" t="n">
        <f aca="false">Transactions!J725</f>
        <v>12</v>
      </c>
      <c r="E725" s="1" t="n">
        <f aca="false">Transactions!D725</f>
        <v>19.26</v>
      </c>
      <c r="F725" s="1" t="str">
        <f aca="false">Transactions!H725</f>
        <v>Online</v>
      </c>
      <c r="G725" s="1" t="str">
        <f aca="false">Transactions!G725</f>
        <v>Utilities</v>
      </c>
      <c r="H725" s="1" t="n">
        <f aca="false">IF(COUNTIFS($B$2:$B$1489,B725,$C$2:$C$1489,C725,$D$2:$D$1489,D725)&gt;6,1,0)</f>
        <v>0</v>
      </c>
      <c r="I725" s="1" t="n">
        <f aca="false">IF(AND(F725="Wire",E725&gt;=1000,MOD(E725,1000)=0),1,0)</f>
        <v>0</v>
      </c>
      <c r="J725" s="1" t="n">
        <f aca="false">IF(AND(F725="ATM",E725&gt;2000,D725&lt;=4),1,0)</f>
        <v>0</v>
      </c>
      <c r="K725" s="1" t="n">
        <f aca="false">IF(COUNTIF('SQL Findings'!$A$4:$A$18,B725)&gt;0,1,0)</f>
        <v>0</v>
      </c>
      <c r="L725" s="1" t="n">
        <f aca="false">SUM(H725:K725)</f>
        <v>0</v>
      </c>
      <c r="M725" s="1" t="str">
        <f aca="false">IF(L725&gt;=2,"High",IF(L725=1,"Medium","Low"))</f>
        <v>Low</v>
      </c>
    </row>
    <row r="726" customFormat="false" ht="15" hidden="false" customHeight="true" outlineLevel="0" collapsed="false">
      <c r="A726" s="1" t="str">
        <f aca="false">Transactions!A726</f>
        <v>TXN501299</v>
      </c>
      <c r="B726" s="1" t="str">
        <f aca="false">Transactions!B726</f>
        <v>ACC1056</v>
      </c>
      <c r="C726" s="1" t="str">
        <f aca="false">Transactions!I726</f>
        <v>2026-02-14</v>
      </c>
      <c r="D726" s="1" t="n">
        <f aca="false">Transactions!J726</f>
        <v>13</v>
      </c>
      <c r="E726" s="1" t="n">
        <f aca="false">Transactions!D726</f>
        <v>84.83</v>
      </c>
      <c r="F726" s="1" t="str">
        <f aca="false">Transactions!H726</f>
        <v>Online</v>
      </c>
      <c r="G726" s="1" t="str">
        <f aca="false">Transactions!G726</f>
        <v>Electronics</v>
      </c>
      <c r="H726" s="1" t="n">
        <f aca="false">IF(COUNTIFS($B$2:$B$1489,B726,$C$2:$C$1489,C726,$D$2:$D$1489,D726)&gt;6,1,0)</f>
        <v>0</v>
      </c>
      <c r="I726" s="1" t="n">
        <f aca="false">IF(AND(F726="Wire",E726&gt;=1000,MOD(E726,1000)=0),1,0)</f>
        <v>0</v>
      </c>
      <c r="J726" s="1" t="n">
        <f aca="false">IF(AND(F726="ATM",E726&gt;2000,D726&lt;=4),1,0)</f>
        <v>0</v>
      </c>
      <c r="K726" s="1" t="n">
        <f aca="false">IF(COUNTIF('SQL Findings'!$A$4:$A$18,B726)&gt;0,1,0)</f>
        <v>0</v>
      </c>
      <c r="L726" s="1" t="n">
        <f aca="false">SUM(H726:K726)</f>
        <v>0</v>
      </c>
      <c r="M726" s="1" t="str">
        <f aca="false">IF(L726&gt;=2,"High",IF(L726=1,"Medium","Low"))</f>
        <v>Low</v>
      </c>
    </row>
    <row r="727" customFormat="false" ht="15" hidden="false" customHeight="true" outlineLevel="0" collapsed="false">
      <c r="A727" s="1" t="str">
        <f aca="false">Transactions!A727</f>
        <v>TXN500644</v>
      </c>
      <c r="B727" s="1" t="str">
        <f aca="false">Transactions!B727</f>
        <v>ACC1028</v>
      </c>
      <c r="C727" s="1" t="str">
        <f aca="false">Transactions!I727</f>
        <v>2026-02-14</v>
      </c>
      <c r="D727" s="1" t="n">
        <f aca="false">Transactions!J727</f>
        <v>15</v>
      </c>
      <c r="E727" s="1" t="n">
        <f aca="false">Transactions!D727</f>
        <v>17.24</v>
      </c>
      <c r="F727" s="1" t="str">
        <f aca="false">Transactions!H727</f>
        <v>Online</v>
      </c>
      <c r="G727" s="1" t="str">
        <f aca="false">Transactions!G727</f>
        <v>Travel</v>
      </c>
      <c r="H727" s="1" t="n">
        <f aca="false">IF(COUNTIFS($B$2:$B$1489,B727,$C$2:$C$1489,C727,$D$2:$D$1489,D727)&gt;6,1,0)</f>
        <v>0</v>
      </c>
      <c r="I727" s="1" t="n">
        <f aca="false">IF(AND(F727="Wire",E727&gt;=1000,MOD(E727,1000)=0),1,0)</f>
        <v>0</v>
      </c>
      <c r="J727" s="1" t="n">
        <f aca="false">IF(AND(F727="ATM",E727&gt;2000,D727&lt;=4),1,0)</f>
        <v>0</v>
      </c>
      <c r="K727" s="1" t="n">
        <f aca="false">IF(COUNTIF('SQL Findings'!$A$4:$A$18,B727)&gt;0,1,0)</f>
        <v>0</v>
      </c>
      <c r="L727" s="1" t="n">
        <f aca="false">SUM(H727:K727)</f>
        <v>0</v>
      </c>
      <c r="M727" s="1" t="str">
        <f aca="false">IF(L727&gt;=2,"High",IF(L727=1,"Medium","Low"))</f>
        <v>Low</v>
      </c>
    </row>
    <row r="728" customFormat="false" ht="15" hidden="false" customHeight="true" outlineLevel="0" collapsed="false">
      <c r="A728" s="1" t="str">
        <f aca="false">Transactions!A728</f>
        <v>TXN500778</v>
      </c>
      <c r="B728" s="1" t="str">
        <f aca="false">Transactions!B728</f>
        <v>ACC1033</v>
      </c>
      <c r="C728" s="1" t="str">
        <f aca="false">Transactions!I728</f>
        <v>2026-02-14</v>
      </c>
      <c r="D728" s="1" t="n">
        <f aca="false">Transactions!J728</f>
        <v>18</v>
      </c>
      <c r="E728" s="1" t="n">
        <f aca="false">Transactions!D728</f>
        <v>53.37</v>
      </c>
      <c r="F728" s="1" t="str">
        <f aca="false">Transactions!H728</f>
        <v>ATM</v>
      </c>
      <c r="G728" s="1" t="str">
        <f aca="false">Transactions!G728</f>
        <v>Wire Transfer</v>
      </c>
      <c r="H728" s="1" t="n">
        <f aca="false">IF(COUNTIFS($B$2:$B$1489,B728,$C$2:$C$1489,C728,$D$2:$D$1489,D728)&gt;6,1,0)</f>
        <v>0</v>
      </c>
      <c r="I728" s="1" t="n">
        <f aca="false">IF(AND(F728="Wire",E728&gt;=1000,MOD(E728,1000)=0),1,0)</f>
        <v>0</v>
      </c>
      <c r="J728" s="1" t="n">
        <f aca="false">IF(AND(F728="ATM",E728&gt;2000,D728&lt;=4),1,0)</f>
        <v>0</v>
      </c>
      <c r="K728" s="1" t="n">
        <f aca="false">IF(COUNTIF('SQL Findings'!$A$4:$A$18,B728)&gt;0,1,0)</f>
        <v>0</v>
      </c>
      <c r="L728" s="1" t="n">
        <f aca="false">SUM(H728:K728)</f>
        <v>0</v>
      </c>
      <c r="M728" s="1" t="str">
        <f aca="false">IF(L728&gt;=2,"High",IF(L728=1,"Medium","Low"))</f>
        <v>Low</v>
      </c>
    </row>
    <row r="729" customFormat="false" ht="15" hidden="false" customHeight="true" outlineLevel="0" collapsed="false">
      <c r="A729" s="1" t="str">
        <f aca="false">Transactions!A729</f>
        <v>TXN500390</v>
      </c>
      <c r="B729" s="1" t="str">
        <f aca="false">Transactions!B729</f>
        <v>ACC1017</v>
      </c>
      <c r="C729" s="1" t="str">
        <f aca="false">Transactions!I729</f>
        <v>2026-02-14</v>
      </c>
      <c r="D729" s="1" t="n">
        <f aca="false">Transactions!J729</f>
        <v>21</v>
      </c>
      <c r="E729" s="1" t="n">
        <f aca="false">Transactions!D729</f>
        <v>39.68</v>
      </c>
      <c r="F729" s="1" t="str">
        <f aca="false">Transactions!H729</f>
        <v>POS</v>
      </c>
      <c r="G729" s="1" t="str">
        <f aca="false">Transactions!G729</f>
        <v>Utilities</v>
      </c>
      <c r="H729" s="1" t="n">
        <f aca="false">IF(COUNTIFS($B$2:$B$1489,B729,$C$2:$C$1489,C729,$D$2:$D$1489,D729)&gt;6,1,0)</f>
        <v>0</v>
      </c>
      <c r="I729" s="1" t="n">
        <f aca="false">IF(AND(F729="Wire",E729&gt;=1000,MOD(E729,1000)=0),1,0)</f>
        <v>0</v>
      </c>
      <c r="J729" s="1" t="n">
        <f aca="false">IF(AND(F729="ATM",E729&gt;2000,D729&lt;=4),1,0)</f>
        <v>0</v>
      </c>
      <c r="K729" s="1" t="n">
        <f aca="false">IF(COUNTIF('SQL Findings'!$A$4:$A$18,B729)&gt;0,1,0)</f>
        <v>0</v>
      </c>
      <c r="L729" s="1" t="n">
        <f aca="false">SUM(H729:K729)</f>
        <v>0</v>
      </c>
      <c r="M729" s="1" t="str">
        <f aca="false">IF(L729&gt;=2,"High",IF(L729=1,"Medium","Low"))</f>
        <v>Low</v>
      </c>
    </row>
    <row r="730" customFormat="false" ht="15" hidden="false" customHeight="true" outlineLevel="0" collapsed="false">
      <c r="A730" s="1" t="str">
        <f aca="false">Transactions!A730</f>
        <v>TXN500440</v>
      </c>
      <c r="B730" s="1" t="str">
        <f aca="false">Transactions!B730</f>
        <v>ACC1019</v>
      </c>
      <c r="C730" s="1" t="str">
        <f aca="false">Transactions!I730</f>
        <v>2026-02-14</v>
      </c>
      <c r="D730" s="1" t="n">
        <f aca="false">Transactions!J730</f>
        <v>21</v>
      </c>
      <c r="E730" s="1" t="n">
        <f aca="false">Transactions!D730</f>
        <v>63.43</v>
      </c>
      <c r="F730" s="1" t="str">
        <f aca="false">Transactions!H730</f>
        <v>Online</v>
      </c>
      <c r="G730" s="1" t="str">
        <f aca="false">Transactions!G730</f>
        <v>Travel</v>
      </c>
      <c r="H730" s="1" t="n">
        <f aca="false">IF(COUNTIFS($B$2:$B$1489,B730,$C$2:$C$1489,C730,$D$2:$D$1489,D730)&gt;6,1,0)</f>
        <v>0</v>
      </c>
      <c r="I730" s="1" t="n">
        <f aca="false">IF(AND(F730="Wire",E730&gt;=1000,MOD(E730,1000)=0),1,0)</f>
        <v>0</v>
      </c>
      <c r="J730" s="1" t="n">
        <f aca="false">IF(AND(F730="ATM",E730&gt;2000,D730&lt;=4),1,0)</f>
        <v>0</v>
      </c>
      <c r="K730" s="1" t="n">
        <f aca="false">IF(COUNTIF('SQL Findings'!$A$4:$A$18,B730)&gt;0,1,0)</f>
        <v>0</v>
      </c>
      <c r="L730" s="1" t="n">
        <f aca="false">SUM(H730:K730)</f>
        <v>0</v>
      </c>
      <c r="M730" s="1" t="str">
        <f aca="false">IF(L730&gt;=2,"High",IF(L730=1,"Medium","Low"))</f>
        <v>Low</v>
      </c>
    </row>
    <row r="731" customFormat="false" ht="15" hidden="false" customHeight="true" outlineLevel="0" collapsed="false">
      <c r="A731" s="1" t="str">
        <f aca="false">Transactions!A731</f>
        <v>TXN501314</v>
      </c>
      <c r="B731" s="1" t="str">
        <f aca="false">Transactions!B731</f>
        <v>ACC1057</v>
      </c>
      <c r="C731" s="1" t="str">
        <f aca="false">Transactions!I731</f>
        <v>2026-02-14</v>
      </c>
      <c r="D731" s="1" t="n">
        <f aca="false">Transactions!J731</f>
        <v>23</v>
      </c>
      <c r="E731" s="1" t="n">
        <f aca="false">Transactions!D731</f>
        <v>110.17</v>
      </c>
      <c r="F731" s="1" t="str">
        <f aca="false">Transactions!H731</f>
        <v>ATM</v>
      </c>
      <c r="G731" s="1" t="str">
        <f aca="false">Transactions!G731</f>
        <v>Retail</v>
      </c>
      <c r="H731" s="1" t="n">
        <f aca="false">IF(COUNTIFS($B$2:$B$1489,B731,$C$2:$C$1489,C731,$D$2:$D$1489,D731)&gt;6,1,0)</f>
        <v>0</v>
      </c>
      <c r="I731" s="1" t="n">
        <f aca="false">IF(AND(F731="Wire",E731&gt;=1000,MOD(E731,1000)=0),1,0)</f>
        <v>0</v>
      </c>
      <c r="J731" s="1" t="n">
        <f aca="false">IF(AND(F731="ATM",E731&gt;2000,D731&lt;=4),1,0)</f>
        <v>0</v>
      </c>
      <c r="K731" s="1" t="n">
        <f aca="false">IF(COUNTIF('SQL Findings'!$A$4:$A$18,B731)&gt;0,1,0)</f>
        <v>1</v>
      </c>
      <c r="L731" s="1" t="n">
        <f aca="false">SUM(H731:K731)</f>
        <v>1</v>
      </c>
      <c r="M731" s="1" t="str">
        <f aca="false">IF(L731&gt;=2,"High",IF(L731=1,"Medium","Low"))</f>
        <v>Medium</v>
      </c>
    </row>
    <row r="732" customFormat="false" ht="15" hidden="false" customHeight="true" outlineLevel="0" collapsed="false">
      <c r="A732" s="1" t="str">
        <f aca="false">Transactions!A732</f>
        <v>TXN500956</v>
      </c>
      <c r="B732" s="1" t="str">
        <f aca="false">Transactions!B732</f>
        <v>ACC1041</v>
      </c>
      <c r="C732" s="1" t="str">
        <f aca="false">Transactions!I732</f>
        <v>2026-02-15</v>
      </c>
      <c r="D732" s="1" t="n">
        <f aca="false">Transactions!J732</f>
        <v>6</v>
      </c>
      <c r="E732" s="1" t="n">
        <f aca="false">Transactions!D732</f>
        <v>182.28</v>
      </c>
      <c r="F732" s="1" t="str">
        <f aca="false">Transactions!H732</f>
        <v>POS</v>
      </c>
      <c r="G732" s="1" t="str">
        <f aca="false">Transactions!G732</f>
        <v>Dining</v>
      </c>
      <c r="H732" s="1" t="n">
        <f aca="false">IF(COUNTIFS($B$2:$B$1489,B732,$C$2:$C$1489,C732,$D$2:$D$1489,D732)&gt;6,1,0)</f>
        <v>0</v>
      </c>
      <c r="I732" s="1" t="n">
        <f aca="false">IF(AND(F732="Wire",E732&gt;=1000,MOD(E732,1000)=0),1,0)</f>
        <v>0</v>
      </c>
      <c r="J732" s="1" t="n">
        <f aca="false">IF(AND(F732="ATM",E732&gt;2000,D732&lt;=4),1,0)</f>
        <v>0</v>
      </c>
      <c r="K732" s="1" t="n">
        <f aca="false">IF(COUNTIF('SQL Findings'!$A$4:$A$18,B732)&gt;0,1,0)</f>
        <v>1</v>
      </c>
      <c r="L732" s="1" t="n">
        <f aca="false">SUM(H732:K732)</f>
        <v>1</v>
      </c>
      <c r="M732" s="1" t="str">
        <f aca="false">IF(L732&gt;=2,"High",IF(L732=1,"Medium","Low"))</f>
        <v>Medium</v>
      </c>
    </row>
    <row r="733" customFormat="false" ht="15" hidden="false" customHeight="true" outlineLevel="0" collapsed="false">
      <c r="A733" s="1" t="str">
        <f aca="false">Transactions!A733</f>
        <v>TXN501328</v>
      </c>
      <c r="B733" s="1" t="str">
        <f aca="false">Transactions!B733</f>
        <v>ACC1058</v>
      </c>
      <c r="C733" s="1" t="str">
        <f aca="false">Transactions!I733</f>
        <v>2026-02-15</v>
      </c>
      <c r="D733" s="1" t="n">
        <f aca="false">Transactions!J733</f>
        <v>7</v>
      </c>
      <c r="E733" s="1" t="n">
        <f aca="false">Transactions!D733</f>
        <v>58.58</v>
      </c>
      <c r="F733" s="1" t="str">
        <f aca="false">Transactions!H733</f>
        <v>ATM</v>
      </c>
      <c r="G733" s="1" t="str">
        <f aca="false">Transactions!G733</f>
        <v>Retail</v>
      </c>
      <c r="H733" s="1" t="n">
        <f aca="false">IF(COUNTIFS($B$2:$B$1489,B733,$C$2:$C$1489,C733,$D$2:$D$1489,D733)&gt;6,1,0)</f>
        <v>0</v>
      </c>
      <c r="I733" s="1" t="n">
        <f aca="false">IF(AND(F733="Wire",E733&gt;=1000,MOD(E733,1000)=0),1,0)</f>
        <v>0</v>
      </c>
      <c r="J733" s="1" t="n">
        <f aca="false">IF(AND(F733="ATM",E733&gt;2000,D733&lt;=4),1,0)</f>
        <v>0</v>
      </c>
      <c r="K733" s="1" t="n">
        <f aca="false">IF(COUNTIF('SQL Findings'!$A$4:$A$18,B733)&gt;0,1,0)</f>
        <v>0</v>
      </c>
      <c r="L733" s="1" t="n">
        <f aca="false">SUM(H733:K733)</f>
        <v>0</v>
      </c>
      <c r="M733" s="1" t="str">
        <f aca="false">IF(L733&gt;=2,"High",IF(L733=1,"Medium","Low"))</f>
        <v>Low</v>
      </c>
    </row>
    <row r="734" customFormat="false" ht="15" hidden="false" customHeight="true" outlineLevel="0" collapsed="false">
      <c r="A734" s="1" t="str">
        <f aca="false">Transactions!A734</f>
        <v>TXN501291</v>
      </c>
      <c r="B734" s="1" t="str">
        <f aca="false">Transactions!B734</f>
        <v>ACC1056</v>
      </c>
      <c r="C734" s="1" t="str">
        <f aca="false">Transactions!I734</f>
        <v>2026-02-15</v>
      </c>
      <c r="D734" s="1" t="n">
        <f aca="false">Transactions!J734</f>
        <v>8</v>
      </c>
      <c r="E734" s="1" t="n">
        <f aca="false">Transactions!D734</f>
        <v>94.61</v>
      </c>
      <c r="F734" s="1" t="str">
        <f aca="false">Transactions!H734</f>
        <v>ATM</v>
      </c>
      <c r="G734" s="1" t="str">
        <f aca="false">Transactions!G734</f>
        <v>Dining</v>
      </c>
      <c r="H734" s="1" t="n">
        <f aca="false">IF(COUNTIFS($B$2:$B$1489,B734,$C$2:$C$1489,C734,$D$2:$D$1489,D734)&gt;6,1,0)</f>
        <v>0</v>
      </c>
      <c r="I734" s="1" t="n">
        <f aca="false">IF(AND(F734="Wire",E734&gt;=1000,MOD(E734,1000)=0),1,0)</f>
        <v>0</v>
      </c>
      <c r="J734" s="1" t="n">
        <f aca="false">IF(AND(F734="ATM",E734&gt;2000,D734&lt;=4),1,0)</f>
        <v>0</v>
      </c>
      <c r="K734" s="1" t="n">
        <f aca="false">IF(COUNTIF('SQL Findings'!$A$4:$A$18,B734)&gt;0,1,0)</f>
        <v>0</v>
      </c>
      <c r="L734" s="1" t="n">
        <f aca="false">SUM(H734:K734)</f>
        <v>0</v>
      </c>
      <c r="M734" s="1" t="str">
        <f aca="false">IF(L734&gt;=2,"High",IF(L734=1,"Medium","Low"))</f>
        <v>Low</v>
      </c>
    </row>
    <row r="735" customFormat="false" ht="15" hidden="false" customHeight="true" outlineLevel="0" collapsed="false">
      <c r="A735" s="1" t="str">
        <f aca="false">Transactions!A735</f>
        <v>TXN501196</v>
      </c>
      <c r="B735" s="1" t="str">
        <f aca="false">Transactions!B735</f>
        <v>ACC1052</v>
      </c>
      <c r="C735" s="1" t="str">
        <f aca="false">Transactions!I735</f>
        <v>2026-02-15</v>
      </c>
      <c r="D735" s="1" t="n">
        <f aca="false">Transactions!J735</f>
        <v>9</v>
      </c>
      <c r="E735" s="1" t="n">
        <f aca="false">Transactions!D735</f>
        <v>99.13</v>
      </c>
      <c r="F735" s="1" t="str">
        <f aca="false">Transactions!H735</f>
        <v>ATM</v>
      </c>
      <c r="G735" s="1" t="str">
        <f aca="false">Transactions!G735</f>
        <v>Dining</v>
      </c>
      <c r="H735" s="1" t="n">
        <f aca="false">IF(COUNTIFS($B$2:$B$1489,B735,$C$2:$C$1489,C735,$D$2:$D$1489,D735)&gt;6,1,0)</f>
        <v>0</v>
      </c>
      <c r="I735" s="1" t="n">
        <f aca="false">IF(AND(F735="Wire",E735&gt;=1000,MOD(E735,1000)=0),1,0)</f>
        <v>0</v>
      </c>
      <c r="J735" s="1" t="n">
        <f aca="false">IF(AND(F735="ATM",E735&gt;2000,D735&lt;=4),1,0)</f>
        <v>0</v>
      </c>
      <c r="K735" s="1" t="n">
        <f aca="false">IF(COUNTIF('SQL Findings'!$A$4:$A$18,B735)&gt;0,1,0)</f>
        <v>0</v>
      </c>
      <c r="L735" s="1" t="n">
        <f aca="false">SUM(H735:K735)</f>
        <v>0</v>
      </c>
      <c r="M735" s="1" t="str">
        <f aca="false">IF(L735&gt;=2,"High",IF(L735=1,"Medium","Low"))</f>
        <v>Low</v>
      </c>
    </row>
    <row r="736" customFormat="false" ht="15" hidden="false" customHeight="true" outlineLevel="0" collapsed="false">
      <c r="A736" s="1" t="str">
        <f aca="false">Transactions!A736</f>
        <v>TXN500546</v>
      </c>
      <c r="B736" s="1" t="str">
        <f aca="false">Transactions!B736</f>
        <v>ACC1024</v>
      </c>
      <c r="C736" s="1" t="str">
        <f aca="false">Transactions!I736</f>
        <v>2026-02-15</v>
      </c>
      <c r="D736" s="1" t="n">
        <f aca="false">Transactions!J736</f>
        <v>12</v>
      </c>
      <c r="E736" s="1" t="n">
        <f aca="false">Transactions!D736</f>
        <v>32.55</v>
      </c>
      <c r="F736" s="1" t="str">
        <f aca="false">Transactions!H736</f>
        <v>POS</v>
      </c>
      <c r="G736" s="1" t="str">
        <f aca="false">Transactions!G736</f>
        <v>Wire Transfer</v>
      </c>
      <c r="H736" s="1" t="n">
        <f aca="false">IF(COUNTIFS($B$2:$B$1489,B736,$C$2:$C$1489,C736,$D$2:$D$1489,D736)&gt;6,1,0)</f>
        <v>0</v>
      </c>
      <c r="I736" s="1" t="n">
        <f aca="false">IF(AND(F736="Wire",E736&gt;=1000,MOD(E736,1000)=0),1,0)</f>
        <v>0</v>
      </c>
      <c r="J736" s="1" t="n">
        <f aca="false">IF(AND(F736="ATM",E736&gt;2000,D736&lt;=4),1,0)</f>
        <v>0</v>
      </c>
      <c r="K736" s="1" t="n">
        <f aca="false">IF(COUNTIF('SQL Findings'!$A$4:$A$18,B736)&gt;0,1,0)</f>
        <v>1</v>
      </c>
      <c r="L736" s="1" t="n">
        <f aca="false">SUM(H736:K736)</f>
        <v>1</v>
      </c>
      <c r="M736" s="1" t="str">
        <f aca="false">IF(L736&gt;=2,"High",IF(L736=1,"Medium","Low"))</f>
        <v>Medium</v>
      </c>
    </row>
    <row r="737" customFormat="false" ht="15" hidden="false" customHeight="true" outlineLevel="0" collapsed="false">
      <c r="A737" s="1" t="str">
        <f aca="false">Transactions!A737</f>
        <v>TXN500554</v>
      </c>
      <c r="B737" s="1" t="str">
        <f aca="false">Transactions!B737</f>
        <v>ACC1024</v>
      </c>
      <c r="C737" s="1" t="str">
        <f aca="false">Transactions!I737</f>
        <v>2026-02-15</v>
      </c>
      <c r="D737" s="1" t="n">
        <f aca="false">Transactions!J737</f>
        <v>12</v>
      </c>
      <c r="E737" s="1" t="n">
        <f aca="false">Transactions!D737</f>
        <v>83.85</v>
      </c>
      <c r="F737" s="1" t="str">
        <f aca="false">Transactions!H737</f>
        <v>Online</v>
      </c>
      <c r="G737" s="1" t="str">
        <f aca="false">Transactions!G737</f>
        <v>Cash Withdrawal</v>
      </c>
      <c r="H737" s="1" t="n">
        <f aca="false">IF(COUNTIFS($B$2:$B$1489,B737,$C$2:$C$1489,C737,$D$2:$D$1489,D737)&gt;6,1,0)</f>
        <v>0</v>
      </c>
      <c r="I737" s="1" t="n">
        <f aca="false">IF(AND(F737="Wire",E737&gt;=1000,MOD(E737,1000)=0),1,0)</f>
        <v>0</v>
      </c>
      <c r="J737" s="1" t="n">
        <f aca="false">IF(AND(F737="ATM",E737&gt;2000,D737&lt;=4),1,0)</f>
        <v>0</v>
      </c>
      <c r="K737" s="1" t="n">
        <f aca="false">IF(COUNTIF('SQL Findings'!$A$4:$A$18,B737)&gt;0,1,0)</f>
        <v>1</v>
      </c>
      <c r="L737" s="1" t="n">
        <f aca="false">SUM(H737:K737)</f>
        <v>1</v>
      </c>
      <c r="M737" s="1" t="str">
        <f aca="false">IF(L737&gt;=2,"High",IF(L737=1,"Medium","Low"))</f>
        <v>Medium</v>
      </c>
    </row>
    <row r="738" customFormat="false" ht="15" hidden="false" customHeight="true" outlineLevel="0" collapsed="false">
      <c r="A738" s="1" t="str">
        <f aca="false">Transactions!A738</f>
        <v>TXN500814</v>
      </c>
      <c r="B738" s="1" t="str">
        <f aca="false">Transactions!B738</f>
        <v>ACC1034</v>
      </c>
      <c r="C738" s="1" t="str">
        <f aca="false">Transactions!I738</f>
        <v>2026-02-15</v>
      </c>
      <c r="D738" s="1" t="n">
        <f aca="false">Transactions!J738</f>
        <v>12</v>
      </c>
      <c r="E738" s="1" t="n">
        <f aca="false">Transactions!D738</f>
        <v>79.59</v>
      </c>
      <c r="F738" s="1" t="str">
        <f aca="false">Transactions!H738</f>
        <v>ATM</v>
      </c>
      <c r="G738" s="1" t="str">
        <f aca="false">Transactions!G738</f>
        <v>Travel</v>
      </c>
      <c r="H738" s="1" t="n">
        <f aca="false">IF(COUNTIFS($B$2:$B$1489,B738,$C$2:$C$1489,C738,$D$2:$D$1489,D738)&gt;6,1,0)</f>
        <v>0</v>
      </c>
      <c r="I738" s="1" t="n">
        <f aca="false">IF(AND(F738="Wire",E738&gt;=1000,MOD(E738,1000)=0),1,0)</f>
        <v>0</v>
      </c>
      <c r="J738" s="1" t="n">
        <f aca="false">IF(AND(F738="ATM",E738&gt;2000,D738&lt;=4),1,0)</f>
        <v>0</v>
      </c>
      <c r="K738" s="1" t="n">
        <f aca="false">IF(COUNTIF('SQL Findings'!$A$4:$A$18,B738)&gt;0,1,0)</f>
        <v>0</v>
      </c>
      <c r="L738" s="1" t="n">
        <f aca="false">SUM(H738:K738)</f>
        <v>0</v>
      </c>
      <c r="M738" s="1" t="str">
        <f aca="false">IF(L738&gt;=2,"High",IF(L738=1,"Medium","Low"))</f>
        <v>Low</v>
      </c>
    </row>
    <row r="739" customFormat="false" ht="15" hidden="false" customHeight="true" outlineLevel="0" collapsed="false">
      <c r="A739" s="1" t="str">
        <f aca="false">Transactions!A739</f>
        <v>TXN501028</v>
      </c>
      <c r="B739" s="1" t="str">
        <f aca="false">Transactions!B739</f>
        <v>ACC1044</v>
      </c>
      <c r="C739" s="1" t="str">
        <f aca="false">Transactions!I739</f>
        <v>2026-02-15</v>
      </c>
      <c r="D739" s="1" t="n">
        <f aca="false">Transactions!J739</f>
        <v>14</v>
      </c>
      <c r="E739" s="1" t="n">
        <f aca="false">Transactions!D739</f>
        <v>74.29</v>
      </c>
      <c r="F739" s="1" t="str">
        <f aca="false">Transactions!H739</f>
        <v>ATM</v>
      </c>
      <c r="G739" s="1" t="str">
        <f aca="false">Transactions!G739</f>
        <v>Dining</v>
      </c>
      <c r="H739" s="1" t="n">
        <f aca="false">IF(COUNTIFS($B$2:$B$1489,B739,$C$2:$C$1489,C739,$D$2:$D$1489,D739)&gt;6,1,0)</f>
        <v>0</v>
      </c>
      <c r="I739" s="1" t="n">
        <f aca="false">IF(AND(F739="Wire",E739&gt;=1000,MOD(E739,1000)=0),1,0)</f>
        <v>0</v>
      </c>
      <c r="J739" s="1" t="n">
        <f aca="false">IF(AND(F739="ATM",E739&gt;2000,D739&lt;=4),1,0)</f>
        <v>0</v>
      </c>
      <c r="K739" s="1" t="n">
        <f aca="false">IF(COUNTIF('SQL Findings'!$A$4:$A$18,B739)&gt;0,1,0)</f>
        <v>0</v>
      </c>
      <c r="L739" s="1" t="n">
        <f aca="false">SUM(H739:K739)</f>
        <v>0</v>
      </c>
      <c r="M739" s="1" t="str">
        <f aca="false">IF(L739&gt;=2,"High",IF(L739=1,"Medium","Low"))</f>
        <v>Low</v>
      </c>
    </row>
    <row r="740" customFormat="false" ht="15" hidden="false" customHeight="true" outlineLevel="0" collapsed="false">
      <c r="A740" s="1" t="str">
        <f aca="false">Transactions!A740</f>
        <v>TXN500434</v>
      </c>
      <c r="B740" s="1" t="str">
        <f aca="false">Transactions!B740</f>
        <v>ACC1019</v>
      </c>
      <c r="C740" s="1" t="str">
        <f aca="false">Transactions!I740</f>
        <v>2026-02-15</v>
      </c>
      <c r="D740" s="1" t="n">
        <f aca="false">Transactions!J740</f>
        <v>14</v>
      </c>
      <c r="E740" s="1" t="n">
        <f aca="false">Transactions!D740</f>
        <v>127.2</v>
      </c>
      <c r="F740" s="1" t="str">
        <f aca="false">Transactions!H740</f>
        <v>ATM</v>
      </c>
      <c r="G740" s="1" t="str">
        <f aca="false">Transactions!G740</f>
        <v>Utilities</v>
      </c>
      <c r="H740" s="1" t="n">
        <f aca="false">IF(COUNTIFS($B$2:$B$1489,B740,$C$2:$C$1489,C740,$D$2:$D$1489,D740)&gt;6,1,0)</f>
        <v>0</v>
      </c>
      <c r="I740" s="1" t="n">
        <f aca="false">IF(AND(F740="Wire",E740&gt;=1000,MOD(E740,1000)=0),1,0)</f>
        <v>0</v>
      </c>
      <c r="J740" s="1" t="n">
        <f aca="false">IF(AND(F740="ATM",E740&gt;2000,D740&lt;=4),1,0)</f>
        <v>0</v>
      </c>
      <c r="K740" s="1" t="n">
        <f aca="false">IF(COUNTIF('SQL Findings'!$A$4:$A$18,B740)&gt;0,1,0)</f>
        <v>0</v>
      </c>
      <c r="L740" s="1" t="n">
        <f aca="false">SUM(H740:K740)</f>
        <v>0</v>
      </c>
      <c r="M740" s="1" t="str">
        <f aca="false">IF(L740&gt;=2,"High",IF(L740=1,"Medium","Low"))</f>
        <v>Low</v>
      </c>
    </row>
    <row r="741" customFormat="false" ht="15" hidden="false" customHeight="true" outlineLevel="0" collapsed="false">
      <c r="A741" s="1" t="str">
        <f aca="false">Transactions!A741</f>
        <v>TXN500249</v>
      </c>
      <c r="B741" s="1" t="str">
        <f aca="false">Transactions!B741</f>
        <v>ACC1010</v>
      </c>
      <c r="C741" s="1" t="str">
        <f aca="false">Transactions!I741</f>
        <v>2026-02-15</v>
      </c>
      <c r="D741" s="1" t="n">
        <f aca="false">Transactions!J741</f>
        <v>16</v>
      </c>
      <c r="E741" s="1" t="n">
        <f aca="false">Transactions!D741</f>
        <v>326.66</v>
      </c>
      <c r="F741" s="1" t="str">
        <f aca="false">Transactions!H741</f>
        <v>POS</v>
      </c>
      <c r="G741" s="1" t="str">
        <f aca="false">Transactions!G741</f>
        <v>Cash Withdrawal</v>
      </c>
      <c r="H741" s="1" t="n">
        <f aca="false">IF(COUNTIFS($B$2:$B$1489,B741,$C$2:$C$1489,C741,$D$2:$D$1489,D741)&gt;6,1,0)</f>
        <v>0</v>
      </c>
      <c r="I741" s="1" t="n">
        <f aca="false">IF(AND(F741="Wire",E741&gt;=1000,MOD(E741,1000)=0),1,0)</f>
        <v>0</v>
      </c>
      <c r="J741" s="1" t="n">
        <f aca="false">IF(AND(F741="ATM",E741&gt;2000,D741&lt;=4),1,0)</f>
        <v>0</v>
      </c>
      <c r="K741" s="1" t="n">
        <f aca="false">IF(COUNTIF('SQL Findings'!$A$4:$A$18,B741)&gt;0,1,0)</f>
        <v>0</v>
      </c>
      <c r="L741" s="1" t="n">
        <f aca="false">SUM(H741:K741)</f>
        <v>0</v>
      </c>
      <c r="M741" s="1" t="str">
        <f aca="false">IF(L741&gt;=2,"High",IF(L741=1,"Medium","Low"))</f>
        <v>Low</v>
      </c>
    </row>
    <row r="742" customFormat="false" ht="15" hidden="false" customHeight="true" outlineLevel="0" collapsed="false">
      <c r="A742" s="1" t="str">
        <f aca="false">Transactions!A742</f>
        <v>TXN501084</v>
      </c>
      <c r="B742" s="1" t="str">
        <f aca="false">Transactions!B742</f>
        <v>ACC1047</v>
      </c>
      <c r="C742" s="1" t="str">
        <f aca="false">Transactions!I742</f>
        <v>2026-02-15</v>
      </c>
      <c r="D742" s="1" t="n">
        <f aca="false">Transactions!J742</f>
        <v>17</v>
      </c>
      <c r="E742" s="1" t="n">
        <f aca="false">Transactions!D742</f>
        <v>432.28</v>
      </c>
      <c r="F742" s="1" t="str">
        <f aca="false">Transactions!H742</f>
        <v>Online</v>
      </c>
      <c r="G742" s="1" t="str">
        <f aca="false">Transactions!G742</f>
        <v>Online Marketplace</v>
      </c>
      <c r="H742" s="1" t="n">
        <f aca="false">IF(COUNTIFS($B$2:$B$1489,B742,$C$2:$C$1489,C742,$D$2:$D$1489,D742)&gt;6,1,0)</f>
        <v>0</v>
      </c>
      <c r="I742" s="1" t="n">
        <f aca="false">IF(AND(F742="Wire",E742&gt;=1000,MOD(E742,1000)=0),1,0)</f>
        <v>0</v>
      </c>
      <c r="J742" s="1" t="n">
        <f aca="false">IF(AND(F742="ATM",E742&gt;2000,D742&lt;=4),1,0)</f>
        <v>0</v>
      </c>
      <c r="K742" s="1" t="n">
        <f aca="false">IF(COUNTIF('SQL Findings'!$A$4:$A$18,B742)&gt;0,1,0)</f>
        <v>0</v>
      </c>
      <c r="L742" s="1" t="n">
        <f aca="false">SUM(H742:K742)</f>
        <v>0</v>
      </c>
      <c r="M742" s="1" t="str">
        <f aca="false">IF(L742&gt;=2,"High",IF(L742=1,"Medium","Low"))</f>
        <v>Low</v>
      </c>
    </row>
    <row r="743" customFormat="false" ht="15" hidden="false" customHeight="true" outlineLevel="0" collapsed="false">
      <c r="A743" s="1" t="str">
        <f aca="false">Transactions!A743</f>
        <v>TXN500597</v>
      </c>
      <c r="B743" s="1" t="str">
        <f aca="false">Transactions!B743</f>
        <v>ACC1026</v>
      </c>
      <c r="C743" s="1" t="str">
        <f aca="false">Transactions!I743</f>
        <v>2026-02-15</v>
      </c>
      <c r="D743" s="1" t="n">
        <f aca="false">Transactions!J743</f>
        <v>17</v>
      </c>
      <c r="E743" s="1" t="n">
        <f aca="false">Transactions!D743</f>
        <v>52.31</v>
      </c>
      <c r="F743" s="1" t="str">
        <f aca="false">Transactions!H743</f>
        <v>ATM</v>
      </c>
      <c r="G743" s="1" t="str">
        <f aca="false">Transactions!G743</f>
        <v>Travel</v>
      </c>
      <c r="H743" s="1" t="n">
        <f aca="false">IF(COUNTIFS($B$2:$B$1489,B743,$C$2:$C$1489,C743,$D$2:$D$1489,D743)&gt;6,1,0)</f>
        <v>0</v>
      </c>
      <c r="I743" s="1" t="n">
        <f aca="false">IF(AND(F743="Wire",E743&gt;=1000,MOD(E743,1000)=0),1,0)</f>
        <v>0</v>
      </c>
      <c r="J743" s="1" t="n">
        <f aca="false">IF(AND(F743="ATM",E743&gt;2000,D743&lt;=4),1,0)</f>
        <v>0</v>
      </c>
      <c r="K743" s="1" t="n">
        <f aca="false">IF(COUNTIF('SQL Findings'!$A$4:$A$18,B743)&gt;0,1,0)</f>
        <v>0</v>
      </c>
      <c r="L743" s="1" t="n">
        <f aca="false">SUM(H743:K743)</f>
        <v>0</v>
      </c>
      <c r="M743" s="1" t="str">
        <f aca="false">IF(L743&gt;=2,"High",IF(L743=1,"Medium","Low"))</f>
        <v>Low</v>
      </c>
    </row>
    <row r="744" customFormat="false" ht="15" hidden="false" customHeight="true" outlineLevel="0" collapsed="false">
      <c r="A744" s="1" t="str">
        <f aca="false">Transactions!A744</f>
        <v>TXN501338</v>
      </c>
      <c r="B744" s="1" t="str">
        <f aca="false">Transactions!B744</f>
        <v>ACC1058</v>
      </c>
      <c r="C744" s="1" t="str">
        <f aca="false">Transactions!I744</f>
        <v>2026-02-15</v>
      </c>
      <c r="D744" s="1" t="n">
        <f aca="false">Transactions!J744</f>
        <v>22</v>
      </c>
      <c r="E744" s="1" t="n">
        <f aca="false">Transactions!D744</f>
        <v>50.79</v>
      </c>
      <c r="F744" s="1" t="str">
        <f aca="false">Transactions!H744</f>
        <v>Online</v>
      </c>
      <c r="G744" s="1" t="str">
        <f aca="false">Transactions!G744</f>
        <v>Utilities</v>
      </c>
      <c r="H744" s="1" t="n">
        <f aca="false">IF(COUNTIFS($B$2:$B$1489,B744,$C$2:$C$1489,C744,$D$2:$D$1489,D744)&gt;6,1,0)</f>
        <v>0</v>
      </c>
      <c r="I744" s="1" t="n">
        <f aca="false">IF(AND(F744="Wire",E744&gt;=1000,MOD(E744,1000)=0),1,0)</f>
        <v>0</v>
      </c>
      <c r="J744" s="1" t="n">
        <f aca="false">IF(AND(F744="ATM",E744&gt;2000,D744&lt;=4),1,0)</f>
        <v>0</v>
      </c>
      <c r="K744" s="1" t="n">
        <f aca="false">IF(COUNTIF('SQL Findings'!$A$4:$A$18,B744)&gt;0,1,0)</f>
        <v>0</v>
      </c>
      <c r="L744" s="1" t="n">
        <f aca="false">SUM(H744:K744)</f>
        <v>0</v>
      </c>
      <c r="M744" s="1" t="str">
        <f aca="false">IF(L744&gt;=2,"High",IF(L744=1,"Medium","Low"))</f>
        <v>Low</v>
      </c>
    </row>
    <row r="745" customFormat="false" ht="15" hidden="false" customHeight="true" outlineLevel="0" collapsed="false">
      <c r="A745" s="1" t="str">
        <f aca="false">Transactions!A745</f>
        <v>TXN500757</v>
      </c>
      <c r="B745" s="1" t="str">
        <f aca="false">Transactions!B745</f>
        <v>ACC1032</v>
      </c>
      <c r="C745" s="1" t="str">
        <f aca="false">Transactions!I745</f>
        <v>2026-02-16</v>
      </c>
      <c r="D745" s="1" t="n">
        <f aca="false">Transactions!J745</f>
        <v>0</v>
      </c>
      <c r="E745" s="1" t="n">
        <f aca="false">Transactions!D745</f>
        <v>103.96</v>
      </c>
      <c r="F745" s="1" t="str">
        <f aca="false">Transactions!H745</f>
        <v>ATM</v>
      </c>
      <c r="G745" s="1" t="str">
        <f aca="false">Transactions!G745</f>
        <v>Utilities</v>
      </c>
      <c r="H745" s="1" t="n">
        <f aca="false">IF(COUNTIFS($B$2:$B$1489,B745,$C$2:$C$1489,C745,$D$2:$D$1489,D745)&gt;6,1,0)</f>
        <v>0</v>
      </c>
      <c r="I745" s="1" t="n">
        <f aca="false">IF(AND(F745="Wire",E745&gt;=1000,MOD(E745,1000)=0),1,0)</f>
        <v>0</v>
      </c>
      <c r="J745" s="1" t="n">
        <f aca="false">IF(AND(F745="ATM",E745&gt;2000,D745&lt;=4),1,0)</f>
        <v>0</v>
      </c>
      <c r="K745" s="1" t="n">
        <f aca="false">IF(COUNTIF('SQL Findings'!$A$4:$A$18,B745)&gt;0,1,0)</f>
        <v>0</v>
      </c>
      <c r="L745" s="1" t="n">
        <f aca="false">SUM(H745:K745)</f>
        <v>0</v>
      </c>
      <c r="M745" s="1" t="str">
        <f aca="false">IF(L745&gt;=2,"High",IF(L745=1,"Medium","Low"))</f>
        <v>Low</v>
      </c>
    </row>
    <row r="746" customFormat="false" ht="15" hidden="false" customHeight="true" outlineLevel="0" collapsed="false">
      <c r="A746" s="1" t="str">
        <f aca="false">Transactions!A746</f>
        <v>TXN500348</v>
      </c>
      <c r="B746" s="1" t="str">
        <f aca="false">Transactions!B746</f>
        <v>ACC1015</v>
      </c>
      <c r="C746" s="1" t="str">
        <f aca="false">Transactions!I746</f>
        <v>2026-02-16</v>
      </c>
      <c r="D746" s="1" t="n">
        <f aca="false">Transactions!J746</f>
        <v>3</v>
      </c>
      <c r="E746" s="1" t="n">
        <f aca="false">Transactions!D746</f>
        <v>18.79</v>
      </c>
      <c r="F746" s="1" t="str">
        <f aca="false">Transactions!H746</f>
        <v>Online</v>
      </c>
      <c r="G746" s="1" t="str">
        <f aca="false">Transactions!G746</f>
        <v>Retail</v>
      </c>
      <c r="H746" s="1" t="n">
        <f aca="false">IF(COUNTIFS($B$2:$B$1489,B746,$C$2:$C$1489,C746,$D$2:$D$1489,D746)&gt;6,1,0)</f>
        <v>0</v>
      </c>
      <c r="I746" s="1" t="n">
        <f aca="false">IF(AND(F746="Wire",E746&gt;=1000,MOD(E746,1000)=0),1,0)</f>
        <v>0</v>
      </c>
      <c r="J746" s="1" t="n">
        <f aca="false">IF(AND(F746="ATM",E746&gt;2000,D746&lt;=4),1,0)</f>
        <v>0</v>
      </c>
      <c r="K746" s="1" t="n">
        <f aca="false">IF(COUNTIF('SQL Findings'!$A$4:$A$18,B746)&gt;0,1,0)</f>
        <v>1</v>
      </c>
      <c r="L746" s="1" t="n">
        <f aca="false">SUM(H746:K746)</f>
        <v>1</v>
      </c>
      <c r="M746" s="1" t="str">
        <f aca="false">IF(L746&gt;=2,"High",IF(L746=1,"Medium","Low"))</f>
        <v>Medium</v>
      </c>
    </row>
    <row r="747" customFormat="false" ht="15" hidden="false" customHeight="true" outlineLevel="0" collapsed="false">
      <c r="A747" s="1" t="str">
        <f aca="false">Transactions!A747</f>
        <v>TXN501231</v>
      </c>
      <c r="B747" s="1" t="str">
        <f aca="false">Transactions!B747</f>
        <v>ACC1054</v>
      </c>
      <c r="C747" s="1" t="str">
        <f aca="false">Transactions!I747</f>
        <v>2026-02-16</v>
      </c>
      <c r="D747" s="1" t="n">
        <f aca="false">Transactions!J747</f>
        <v>4</v>
      </c>
      <c r="E747" s="1" t="n">
        <f aca="false">Transactions!D747</f>
        <v>40.38</v>
      </c>
      <c r="F747" s="1" t="str">
        <f aca="false">Transactions!H747</f>
        <v>ATM</v>
      </c>
      <c r="G747" s="1" t="str">
        <f aca="false">Transactions!G747</f>
        <v>Wire Transfer</v>
      </c>
      <c r="H747" s="1" t="n">
        <f aca="false">IF(COUNTIFS($B$2:$B$1489,B747,$C$2:$C$1489,C747,$D$2:$D$1489,D747)&gt;6,1,0)</f>
        <v>0</v>
      </c>
      <c r="I747" s="1" t="n">
        <f aca="false">IF(AND(F747="Wire",E747&gt;=1000,MOD(E747,1000)=0),1,0)</f>
        <v>0</v>
      </c>
      <c r="J747" s="1" t="n">
        <f aca="false">IF(AND(F747="ATM",E747&gt;2000,D747&lt;=4),1,0)</f>
        <v>0</v>
      </c>
      <c r="K747" s="1" t="n">
        <f aca="false">IF(COUNTIF('SQL Findings'!$A$4:$A$18,B747)&gt;0,1,0)</f>
        <v>0</v>
      </c>
      <c r="L747" s="1" t="n">
        <f aca="false">SUM(H747:K747)</f>
        <v>0</v>
      </c>
      <c r="M747" s="1" t="str">
        <f aca="false">IF(L747&gt;=2,"High",IF(L747=1,"Medium","Low"))</f>
        <v>Low</v>
      </c>
    </row>
    <row r="748" customFormat="false" ht="15" hidden="false" customHeight="true" outlineLevel="0" collapsed="false">
      <c r="A748" s="1" t="str">
        <f aca="false">Transactions!A748</f>
        <v>TXN501138</v>
      </c>
      <c r="B748" s="1" t="str">
        <f aca="false">Transactions!B748</f>
        <v>ACC1050</v>
      </c>
      <c r="C748" s="1" t="str">
        <f aca="false">Transactions!I748</f>
        <v>2026-02-16</v>
      </c>
      <c r="D748" s="1" t="n">
        <f aca="false">Transactions!J748</f>
        <v>7</v>
      </c>
      <c r="E748" s="1" t="n">
        <f aca="false">Transactions!D748</f>
        <v>22.09</v>
      </c>
      <c r="F748" s="1" t="str">
        <f aca="false">Transactions!H748</f>
        <v>POS</v>
      </c>
      <c r="G748" s="1" t="str">
        <f aca="false">Transactions!G748</f>
        <v>Electronics</v>
      </c>
      <c r="H748" s="1" t="n">
        <f aca="false">IF(COUNTIFS($B$2:$B$1489,B748,$C$2:$C$1489,C748,$D$2:$D$1489,D748)&gt;6,1,0)</f>
        <v>0</v>
      </c>
      <c r="I748" s="1" t="n">
        <f aca="false">IF(AND(F748="Wire",E748&gt;=1000,MOD(E748,1000)=0),1,0)</f>
        <v>0</v>
      </c>
      <c r="J748" s="1" t="n">
        <f aca="false">IF(AND(F748="ATM",E748&gt;2000,D748&lt;=4),1,0)</f>
        <v>0</v>
      </c>
      <c r="K748" s="1" t="n">
        <f aca="false">IF(COUNTIF('SQL Findings'!$A$4:$A$18,B748)&gt;0,1,0)</f>
        <v>0</v>
      </c>
      <c r="L748" s="1" t="n">
        <f aca="false">SUM(H748:K748)</f>
        <v>0</v>
      </c>
      <c r="M748" s="1" t="str">
        <f aca="false">IF(L748&gt;=2,"High",IF(L748=1,"Medium","Low"))</f>
        <v>Low</v>
      </c>
    </row>
    <row r="749" customFormat="false" ht="15" hidden="false" customHeight="true" outlineLevel="0" collapsed="false">
      <c r="A749" s="1" t="str">
        <f aca="false">Transactions!A749</f>
        <v>TXN501448</v>
      </c>
      <c r="B749" s="1" t="str">
        <f aca="false">Transactions!B749</f>
        <v>ACC1037</v>
      </c>
      <c r="C749" s="1" t="str">
        <f aca="false">Transactions!I749</f>
        <v>2026-02-16</v>
      </c>
      <c r="D749" s="1" t="n">
        <f aca="false">Transactions!J749</f>
        <v>8</v>
      </c>
      <c r="E749" s="1" t="n">
        <f aca="false">Transactions!D749</f>
        <v>1309.61</v>
      </c>
      <c r="F749" s="1" t="str">
        <f aca="false">Transactions!H749</f>
        <v>POS</v>
      </c>
      <c r="G749" s="1" t="str">
        <f aca="false">Transactions!G749</f>
        <v>Retail</v>
      </c>
      <c r="H749" s="1" t="n">
        <f aca="false">IF(COUNTIFS($B$2:$B$1489,B749,$C$2:$C$1489,C749,$D$2:$D$1489,D749)&gt;6,1,0)</f>
        <v>0</v>
      </c>
      <c r="I749" s="1" t="n">
        <f aca="false">IF(AND(F749="Wire",E749&gt;=1000,MOD(E749,1000)=0),1,0)</f>
        <v>0</v>
      </c>
      <c r="J749" s="1" t="n">
        <f aca="false">IF(AND(F749="ATM",E749&gt;2000,D749&lt;=4),1,0)</f>
        <v>0</v>
      </c>
      <c r="K749" s="1" t="n">
        <f aca="false">IF(COUNTIF('SQL Findings'!$A$4:$A$18,B749)&gt;0,1,0)</f>
        <v>1</v>
      </c>
      <c r="L749" s="1" t="n">
        <f aca="false">SUM(H749:K749)</f>
        <v>1</v>
      </c>
      <c r="M749" s="1" t="str">
        <f aca="false">IF(L749&gt;=2,"High",IF(L749=1,"Medium","Low"))</f>
        <v>Medium</v>
      </c>
    </row>
    <row r="750" customFormat="false" ht="15" hidden="false" customHeight="true" outlineLevel="0" collapsed="false">
      <c r="A750" s="1" t="str">
        <f aca="false">Transactions!A750</f>
        <v>TXN500926</v>
      </c>
      <c r="B750" s="1" t="str">
        <f aca="false">Transactions!B750</f>
        <v>ACC1039</v>
      </c>
      <c r="C750" s="1" t="str">
        <f aca="false">Transactions!I750</f>
        <v>2026-02-16</v>
      </c>
      <c r="D750" s="1" t="n">
        <f aca="false">Transactions!J750</f>
        <v>8</v>
      </c>
      <c r="E750" s="1" t="n">
        <f aca="false">Transactions!D750</f>
        <v>16.93</v>
      </c>
      <c r="F750" s="1" t="str">
        <f aca="false">Transactions!H750</f>
        <v>ATM</v>
      </c>
      <c r="G750" s="1" t="str">
        <f aca="false">Transactions!G750</f>
        <v>Online Marketplace</v>
      </c>
      <c r="H750" s="1" t="n">
        <f aca="false">IF(COUNTIFS($B$2:$B$1489,B750,$C$2:$C$1489,C750,$D$2:$D$1489,D750)&gt;6,1,0)</f>
        <v>0</v>
      </c>
      <c r="I750" s="1" t="n">
        <f aca="false">IF(AND(F750="Wire",E750&gt;=1000,MOD(E750,1000)=0),1,0)</f>
        <v>0</v>
      </c>
      <c r="J750" s="1" t="n">
        <f aca="false">IF(AND(F750="ATM",E750&gt;2000,D750&lt;=4),1,0)</f>
        <v>0</v>
      </c>
      <c r="K750" s="1" t="n">
        <f aca="false">IF(COUNTIF('SQL Findings'!$A$4:$A$18,B750)&gt;0,1,0)</f>
        <v>0</v>
      </c>
      <c r="L750" s="1" t="n">
        <f aca="false">SUM(H750:K750)</f>
        <v>0</v>
      </c>
      <c r="M750" s="1" t="str">
        <f aca="false">IF(L750&gt;=2,"High",IF(L750=1,"Medium","Low"))</f>
        <v>Low</v>
      </c>
    </row>
    <row r="751" customFormat="false" ht="15" hidden="false" customHeight="true" outlineLevel="0" collapsed="false">
      <c r="A751" s="1" t="str">
        <f aca="false">Transactions!A751</f>
        <v>TXN501089</v>
      </c>
      <c r="B751" s="1" t="str">
        <f aca="false">Transactions!B751</f>
        <v>ACC1048</v>
      </c>
      <c r="C751" s="1" t="str">
        <f aca="false">Transactions!I751</f>
        <v>2026-02-16</v>
      </c>
      <c r="D751" s="1" t="n">
        <f aca="false">Transactions!J751</f>
        <v>10</v>
      </c>
      <c r="E751" s="1" t="n">
        <f aca="false">Transactions!D751</f>
        <v>52.82</v>
      </c>
      <c r="F751" s="1" t="str">
        <f aca="false">Transactions!H751</f>
        <v>POS</v>
      </c>
      <c r="G751" s="1" t="str">
        <f aca="false">Transactions!G751</f>
        <v>Utilities</v>
      </c>
      <c r="H751" s="1" t="n">
        <f aca="false">IF(COUNTIFS($B$2:$B$1489,B751,$C$2:$C$1489,C751,$D$2:$D$1489,D751)&gt;6,1,0)</f>
        <v>0</v>
      </c>
      <c r="I751" s="1" t="n">
        <f aca="false">IF(AND(F751="Wire",E751&gt;=1000,MOD(E751,1000)=0),1,0)</f>
        <v>0</v>
      </c>
      <c r="J751" s="1" t="n">
        <f aca="false">IF(AND(F751="ATM",E751&gt;2000,D751&lt;=4),1,0)</f>
        <v>0</v>
      </c>
      <c r="K751" s="1" t="n">
        <f aca="false">IF(COUNTIF('SQL Findings'!$A$4:$A$18,B751)&gt;0,1,0)</f>
        <v>0</v>
      </c>
      <c r="L751" s="1" t="n">
        <f aca="false">SUM(H751:K751)</f>
        <v>0</v>
      </c>
      <c r="M751" s="1" t="str">
        <f aca="false">IF(L751&gt;=2,"High",IF(L751=1,"Medium","Low"))</f>
        <v>Low</v>
      </c>
    </row>
    <row r="752" customFormat="false" ht="15" hidden="false" customHeight="true" outlineLevel="0" collapsed="false">
      <c r="A752" s="1" t="str">
        <f aca="false">Transactions!A752</f>
        <v>TXN501449</v>
      </c>
      <c r="B752" s="1" t="str">
        <f aca="false">Transactions!B752</f>
        <v>ACC1037</v>
      </c>
      <c r="C752" s="1" t="str">
        <f aca="false">Transactions!I752</f>
        <v>2026-02-16</v>
      </c>
      <c r="D752" s="1" t="n">
        <f aca="false">Transactions!J752</f>
        <v>13</v>
      </c>
      <c r="E752" s="1" t="n">
        <f aca="false">Transactions!D752</f>
        <v>1307.77</v>
      </c>
      <c r="F752" s="1" t="str">
        <f aca="false">Transactions!H752</f>
        <v>ATM</v>
      </c>
      <c r="G752" s="1" t="str">
        <f aca="false">Transactions!G752</f>
        <v>Cash Withdrawal</v>
      </c>
      <c r="H752" s="1" t="n">
        <f aca="false">IF(COUNTIFS($B$2:$B$1489,B752,$C$2:$C$1489,C752,$D$2:$D$1489,D752)&gt;6,1,0)</f>
        <v>0</v>
      </c>
      <c r="I752" s="1" t="n">
        <f aca="false">IF(AND(F752="Wire",E752&gt;=1000,MOD(E752,1000)=0),1,0)</f>
        <v>0</v>
      </c>
      <c r="J752" s="1" t="n">
        <f aca="false">IF(AND(F752="ATM",E752&gt;2000,D752&lt;=4),1,0)</f>
        <v>0</v>
      </c>
      <c r="K752" s="1" t="n">
        <f aca="false">IF(COUNTIF('SQL Findings'!$A$4:$A$18,B752)&gt;0,1,0)</f>
        <v>1</v>
      </c>
      <c r="L752" s="1" t="n">
        <f aca="false">SUM(H752:K752)</f>
        <v>1</v>
      </c>
      <c r="M752" s="1" t="str">
        <f aca="false">IF(L752&gt;=2,"High",IF(L752=1,"Medium","Low"))</f>
        <v>Medium</v>
      </c>
    </row>
    <row r="753" customFormat="false" ht="15" hidden="false" customHeight="true" outlineLevel="0" collapsed="false">
      <c r="A753" s="1" t="str">
        <f aca="false">Transactions!A753</f>
        <v>TXN501055</v>
      </c>
      <c r="B753" s="1" t="str">
        <f aca="false">Transactions!B753</f>
        <v>ACC1046</v>
      </c>
      <c r="C753" s="1" t="str">
        <f aca="false">Transactions!I753</f>
        <v>2026-02-16</v>
      </c>
      <c r="D753" s="1" t="n">
        <f aca="false">Transactions!J753</f>
        <v>13</v>
      </c>
      <c r="E753" s="1" t="n">
        <f aca="false">Transactions!D753</f>
        <v>40.64</v>
      </c>
      <c r="F753" s="1" t="str">
        <f aca="false">Transactions!H753</f>
        <v>ATM</v>
      </c>
      <c r="G753" s="1" t="str">
        <f aca="false">Transactions!G753</f>
        <v>Travel</v>
      </c>
      <c r="H753" s="1" t="n">
        <f aca="false">IF(COUNTIFS($B$2:$B$1489,B753,$C$2:$C$1489,C753,$D$2:$D$1489,D753)&gt;6,1,0)</f>
        <v>0</v>
      </c>
      <c r="I753" s="1" t="n">
        <f aca="false">IF(AND(F753="Wire",E753&gt;=1000,MOD(E753,1000)=0),1,0)</f>
        <v>0</v>
      </c>
      <c r="J753" s="1" t="n">
        <f aca="false">IF(AND(F753="ATM",E753&gt;2000,D753&lt;=4),1,0)</f>
        <v>0</v>
      </c>
      <c r="K753" s="1" t="n">
        <f aca="false">IF(COUNTIF('SQL Findings'!$A$4:$A$18,B753)&gt;0,1,0)</f>
        <v>0</v>
      </c>
      <c r="L753" s="1" t="n">
        <f aca="false">SUM(H753:K753)</f>
        <v>0</v>
      </c>
      <c r="M753" s="1" t="str">
        <f aca="false">IF(L753&gt;=2,"High",IF(L753=1,"Medium","Low"))</f>
        <v>Low</v>
      </c>
    </row>
    <row r="754" customFormat="false" ht="15" hidden="false" customHeight="true" outlineLevel="0" collapsed="false">
      <c r="A754" s="1" t="str">
        <f aca="false">Transactions!A754</f>
        <v>TXN500985</v>
      </c>
      <c r="B754" s="1" t="str">
        <f aca="false">Transactions!B754</f>
        <v>ACC1043</v>
      </c>
      <c r="C754" s="1" t="str">
        <f aca="false">Transactions!I754</f>
        <v>2026-02-16</v>
      </c>
      <c r="D754" s="1" t="n">
        <f aca="false">Transactions!J754</f>
        <v>13</v>
      </c>
      <c r="E754" s="1" t="n">
        <f aca="false">Transactions!D754</f>
        <v>66.47</v>
      </c>
      <c r="F754" s="1" t="str">
        <f aca="false">Transactions!H754</f>
        <v>ATM</v>
      </c>
      <c r="G754" s="1" t="str">
        <f aca="false">Transactions!G754</f>
        <v>Electronics</v>
      </c>
      <c r="H754" s="1" t="n">
        <f aca="false">IF(COUNTIFS($B$2:$B$1489,B754,$C$2:$C$1489,C754,$D$2:$D$1489,D754)&gt;6,1,0)</f>
        <v>0</v>
      </c>
      <c r="I754" s="1" t="n">
        <f aca="false">IF(AND(F754="Wire",E754&gt;=1000,MOD(E754,1000)=0),1,0)</f>
        <v>0</v>
      </c>
      <c r="J754" s="1" t="n">
        <f aca="false">IF(AND(F754="ATM",E754&gt;2000,D754&lt;=4),1,0)</f>
        <v>0</v>
      </c>
      <c r="K754" s="1" t="n">
        <f aca="false">IF(COUNTIF('SQL Findings'!$A$4:$A$18,B754)&gt;0,1,0)</f>
        <v>0</v>
      </c>
      <c r="L754" s="1" t="n">
        <f aca="false">SUM(H754:K754)</f>
        <v>0</v>
      </c>
      <c r="M754" s="1" t="str">
        <f aca="false">IF(L754&gt;=2,"High",IF(L754=1,"Medium","Low"))</f>
        <v>Low</v>
      </c>
    </row>
    <row r="755" customFormat="false" ht="15" hidden="false" customHeight="true" outlineLevel="0" collapsed="false">
      <c r="A755" s="1" t="str">
        <f aca="false">Transactions!A755</f>
        <v>TXN500418</v>
      </c>
      <c r="B755" s="1" t="str">
        <f aca="false">Transactions!B755</f>
        <v>ACC1018</v>
      </c>
      <c r="C755" s="1" t="str">
        <f aca="false">Transactions!I755</f>
        <v>2026-02-16</v>
      </c>
      <c r="D755" s="1" t="n">
        <f aca="false">Transactions!J755</f>
        <v>16</v>
      </c>
      <c r="E755" s="1" t="n">
        <f aca="false">Transactions!D755</f>
        <v>74</v>
      </c>
      <c r="F755" s="1" t="str">
        <f aca="false">Transactions!H755</f>
        <v>ATM</v>
      </c>
      <c r="G755" s="1" t="str">
        <f aca="false">Transactions!G755</f>
        <v>Wire Transfer</v>
      </c>
      <c r="H755" s="1" t="n">
        <f aca="false">IF(COUNTIFS($B$2:$B$1489,B755,$C$2:$C$1489,C755,$D$2:$D$1489,D755)&gt;6,1,0)</f>
        <v>0</v>
      </c>
      <c r="I755" s="1" t="n">
        <f aca="false">IF(AND(F755="Wire",E755&gt;=1000,MOD(E755,1000)=0),1,0)</f>
        <v>0</v>
      </c>
      <c r="J755" s="1" t="n">
        <f aca="false">IF(AND(F755="ATM",E755&gt;2000,D755&lt;=4),1,0)</f>
        <v>0</v>
      </c>
      <c r="K755" s="1" t="n">
        <f aca="false">IF(COUNTIF('SQL Findings'!$A$4:$A$18,B755)&gt;0,1,0)</f>
        <v>0</v>
      </c>
      <c r="L755" s="1" t="n">
        <f aca="false">SUM(H755:K755)</f>
        <v>0</v>
      </c>
      <c r="M755" s="1" t="str">
        <f aca="false">IF(L755&gt;=2,"High",IF(L755=1,"Medium","Low"))</f>
        <v>Low</v>
      </c>
    </row>
    <row r="756" customFormat="false" ht="15" hidden="false" customHeight="true" outlineLevel="0" collapsed="false">
      <c r="A756" s="1" t="str">
        <f aca="false">Transactions!A756</f>
        <v>TXN500856</v>
      </c>
      <c r="B756" s="1" t="str">
        <f aca="false">Transactions!B756</f>
        <v>ACC1036</v>
      </c>
      <c r="C756" s="1" t="str">
        <f aca="false">Transactions!I756</f>
        <v>2026-02-16</v>
      </c>
      <c r="D756" s="1" t="n">
        <f aca="false">Transactions!J756</f>
        <v>16</v>
      </c>
      <c r="E756" s="1" t="n">
        <f aca="false">Transactions!D756</f>
        <v>39.9</v>
      </c>
      <c r="F756" s="1" t="str">
        <f aca="false">Transactions!H756</f>
        <v>ATM</v>
      </c>
      <c r="G756" s="1" t="str">
        <f aca="false">Transactions!G756</f>
        <v>Wire Transfer</v>
      </c>
      <c r="H756" s="1" t="n">
        <f aca="false">IF(COUNTIFS($B$2:$B$1489,B756,$C$2:$C$1489,C756,$D$2:$D$1489,D756)&gt;6,1,0)</f>
        <v>0</v>
      </c>
      <c r="I756" s="1" t="n">
        <f aca="false">IF(AND(F756="Wire",E756&gt;=1000,MOD(E756,1000)=0),1,0)</f>
        <v>0</v>
      </c>
      <c r="J756" s="1" t="n">
        <f aca="false">IF(AND(F756="ATM",E756&gt;2000,D756&lt;=4),1,0)</f>
        <v>0</v>
      </c>
      <c r="K756" s="1" t="n">
        <f aca="false">IF(COUNTIF('SQL Findings'!$A$4:$A$18,B756)&gt;0,1,0)</f>
        <v>0</v>
      </c>
      <c r="L756" s="1" t="n">
        <f aca="false">SUM(H756:K756)</f>
        <v>0</v>
      </c>
      <c r="M756" s="1" t="str">
        <f aca="false">IF(L756&gt;=2,"High",IF(L756=1,"Medium","Low"))</f>
        <v>Low</v>
      </c>
    </row>
    <row r="757" customFormat="false" ht="15" hidden="false" customHeight="true" outlineLevel="0" collapsed="false">
      <c r="A757" s="1" t="str">
        <f aca="false">Transactions!A757</f>
        <v>TXN500413</v>
      </c>
      <c r="B757" s="1" t="str">
        <f aca="false">Transactions!B757</f>
        <v>ACC1018</v>
      </c>
      <c r="C757" s="1" t="str">
        <f aca="false">Transactions!I757</f>
        <v>2026-02-16</v>
      </c>
      <c r="D757" s="1" t="n">
        <f aca="false">Transactions!J757</f>
        <v>16</v>
      </c>
      <c r="E757" s="1" t="n">
        <f aca="false">Transactions!D757</f>
        <v>16.77</v>
      </c>
      <c r="F757" s="1" t="str">
        <f aca="false">Transactions!H757</f>
        <v>Online</v>
      </c>
      <c r="G757" s="1" t="str">
        <f aca="false">Transactions!G757</f>
        <v>Retail</v>
      </c>
      <c r="H757" s="1" t="n">
        <f aca="false">IF(COUNTIFS($B$2:$B$1489,B757,$C$2:$C$1489,C757,$D$2:$D$1489,D757)&gt;6,1,0)</f>
        <v>0</v>
      </c>
      <c r="I757" s="1" t="n">
        <f aca="false">IF(AND(F757="Wire",E757&gt;=1000,MOD(E757,1000)=0),1,0)</f>
        <v>0</v>
      </c>
      <c r="J757" s="1" t="n">
        <f aca="false">IF(AND(F757="ATM",E757&gt;2000,D757&lt;=4),1,0)</f>
        <v>0</v>
      </c>
      <c r="K757" s="1" t="n">
        <f aca="false">IF(COUNTIF('SQL Findings'!$A$4:$A$18,B757)&gt;0,1,0)</f>
        <v>0</v>
      </c>
      <c r="L757" s="1" t="n">
        <f aca="false">SUM(H757:K757)</f>
        <v>0</v>
      </c>
      <c r="M757" s="1" t="str">
        <f aca="false">IF(L757&gt;=2,"High",IF(L757=1,"Medium","Low"))</f>
        <v>Low</v>
      </c>
    </row>
    <row r="758" customFormat="false" ht="15" hidden="false" customHeight="true" outlineLevel="0" collapsed="false">
      <c r="A758" s="1" t="str">
        <f aca="false">Transactions!A758</f>
        <v>TXN500881</v>
      </c>
      <c r="B758" s="1" t="str">
        <f aca="false">Transactions!B758</f>
        <v>ACC1038</v>
      </c>
      <c r="C758" s="1" t="str">
        <f aca="false">Transactions!I758</f>
        <v>2026-02-16</v>
      </c>
      <c r="D758" s="1" t="n">
        <f aca="false">Transactions!J758</f>
        <v>17</v>
      </c>
      <c r="E758" s="1" t="n">
        <f aca="false">Transactions!D758</f>
        <v>648.23</v>
      </c>
      <c r="F758" s="1" t="str">
        <f aca="false">Transactions!H758</f>
        <v>Online</v>
      </c>
      <c r="G758" s="1" t="str">
        <f aca="false">Transactions!G758</f>
        <v>Dining</v>
      </c>
      <c r="H758" s="1" t="n">
        <f aca="false">IF(COUNTIFS($B$2:$B$1489,B758,$C$2:$C$1489,C758,$D$2:$D$1489,D758)&gt;6,1,0)</f>
        <v>0</v>
      </c>
      <c r="I758" s="1" t="n">
        <f aca="false">IF(AND(F758="Wire",E758&gt;=1000,MOD(E758,1000)=0),1,0)</f>
        <v>0</v>
      </c>
      <c r="J758" s="1" t="n">
        <f aca="false">IF(AND(F758="ATM",E758&gt;2000,D758&lt;=4),1,0)</f>
        <v>0</v>
      </c>
      <c r="K758" s="1" t="n">
        <f aca="false">IF(COUNTIF('SQL Findings'!$A$4:$A$18,B758)&gt;0,1,0)</f>
        <v>0</v>
      </c>
      <c r="L758" s="1" t="n">
        <f aca="false">SUM(H758:K758)</f>
        <v>0</v>
      </c>
      <c r="M758" s="1" t="str">
        <f aca="false">IF(L758&gt;=2,"High",IF(L758=1,"Medium","Low"))</f>
        <v>Low</v>
      </c>
    </row>
    <row r="759" customFormat="false" ht="15" hidden="false" customHeight="true" outlineLevel="0" collapsed="false">
      <c r="A759" s="1" t="str">
        <f aca="false">Transactions!A759</f>
        <v>TXN501158</v>
      </c>
      <c r="B759" s="1" t="str">
        <f aca="false">Transactions!B759</f>
        <v>ACC1051</v>
      </c>
      <c r="C759" s="1" t="str">
        <f aca="false">Transactions!I759</f>
        <v>2026-02-16</v>
      </c>
      <c r="D759" s="1" t="n">
        <f aca="false">Transactions!J759</f>
        <v>18</v>
      </c>
      <c r="E759" s="1" t="n">
        <f aca="false">Transactions!D759</f>
        <v>506.33</v>
      </c>
      <c r="F759" s="1" t="str">
        <f aca="false">Transactions!H759</f>
        <v>Online</v>
      </c>
      <c r="G759" s="1" t="str">
        <f aca="false">Transactions!G759</f>
        <v>Dining</v>
      </c>
      <c r="H759" s="1" t="n">
        <f aca="false">IF(COUNTIFS($B$2:$B$1489,B759,$C$2:$C$1489,C759,$D$2:$D$1489,D759)&gt;6,1,0)</f>
        <v>0</v>
      </c>
      <c r="I759" s="1" t="n">
        <f aca="false">IF(AND(F759="Wire",E759&gt;=1000,MOD(E759,1000)=0),1,0)</f>
        <v>0</v>
      </c>
      <c r="J759" s="1" t="n">
        <f aca="false">IF(AND(F759="ATM",E759&gt;2000,D759&lt;=4),1,0)</f>
        <v>0</v>
      </c>
      <c r="K759" s="1" t="n">
        <f aca="false">IF(COUNTIF('SQL Findings'!$A$4:$A$18,B759)&gt;0,1,0)</f>
        <v>0</v>
      </c>
      <c r="L759" s="1" t="n">
        <f aca="false">SUM(H759:K759)</f>
        <v>0</v>
      </c>
      <c r="M759" s="1" t="str">
        <f aca="false">IF(L759&gt;=2,"High",IF(L759=1,"Medium","Low"))</f>
        <v>Low</v>
      </c>
    </row>
    <row r="760" customFormat="false" ht="15" hidden="false" customHeight="true" outlineLevel="0" collapsed="false">
      <c r="A760" s="1" t="str">
        <f aca="false">Transactions!A760</f>
        <v>TXN500504</v>
      </c>
      <c r="B760" s="1" t="str">
        <f aca="false">Transactions!B760</f>
        <v>ACC1022</v>
      </c>
      <c r="C760" s="1" t="str">
        <f aca="false">Transactions!I760</f>
        <v>2026-02-17</v>
      </c>
      <c r="D760" s="1" t="n">
        <f aca="false">Transactions!J760</f>
        <v>4</v>
      </c>
      <c r="E760" s="1" t="n">
        <f aca="false">Transactions!D760</f>
        <v>110.68</v>
      </c>
      <c r="F760" s="1" t="str">
        <f aca="false">Transactions!H760</f>
        <v>POS</v>
      </c>
      <c r="G760" s="1" t="str">
        <f aca="false">Transactions!G760</f>
        <v>Dining</v>
      </c>
      <c r="H760" s="1" t="n">
        <f aca="false">IF(COUNTIFS($B$2:$B$1489,B760,$C$2:$C$1489,C760,$D$2:$D$1489,D760)&gt;6,1,0)</f>
        <v>0</v>
      </c>
      <c r="I760" s="1" t="n">
        <f aca="false">IF(AND(F760="Wire",E760&gt;=1000,MOD(E760,1000)=0),1,0)</f>
        <v>0</v>
      </c>
      <c r="J760" s="1" t="n">
        <f aca="false">IF(AND(F760="ATM",E760&gt;2000,D760&lt;=4),1,0)</f>
        <v>0</v>
      </c>
      <c r="K760" s="1" t="n">
        <f aca="false">IF(COUNTIF('SQL Findings'!$A$4:$A$18,B760)&gt;0,1,0)</f>
        <v>0</v>
      </c>
      <c r="L760" s="1" t="n">
        <f aca="false">SUM(H760:K760)</f>
        <v>0</v>
      </c>
      <c r="M760" s="1" t="str">
        <f aca="false">IF(L760&gt;=2,"High",IF(L760=1,"Medium","Low"))</f>
        <v>Low</v>
      </c>
    </row>
    <row r="761" customFormat="false" ht="15" hidden="false" customHeight="true" outlineLevel="0" collapsed="false">
      <c r="A761" s="1" t="str">
        <f aca="false">Transactions!A761</f>
        <v>TXN500231</v>
      </c>
      <c r="B761" s="1" t="str">
        <f aca="false">Transactions!B761</f>
        <v>ACC1010</v>
      </c>
      <c r="C761" s="1" t="str">
        <f aca="false">Transactions!I761</f>
        <v>2026-02-17</v>
      </c>
      <c r="D761" s="1" t="n">
        <f aca="false">Transactions!J761</f>
        <v>5</v>
      </c>
      <c r="E761" s="1" t="n">
        <f aca="false">Transactions!D761</f>
        <v>34.56</v>
      </c>
      <c r="F761" s="1" t="str">
        <f aca="false">Transactions!H761</f>
        <v>POS</v>
      </c>
      <c r="G761" s="1" t="str">
        <f aca="false">Transactions!G761</f>
        <v>Online Marketplace</v>
      </c>
      <c r="H761" s="1" t="n">
        <f aca="false">IF(COUNTIFS($B$2:$B$1489,B761,$C$2:$C$1489,C761,$D$2:$D$1489,D761)&gt;6,1,0)</f>
        <v>0</v>
      </c>
      <c r="I761" s="1" t="n">
        <f aca="false">IF(AND(F761="Wire",E761&gt;=1000,MOD(E761,1000)=0),1,0)</f>
        <v>0</v>
      </c>
      <c r="J761" s="1" t="n">
        <f aca="false">IF(AND(F761="ATM",E761&gt;2000,D761&lt;=4),1,0)</f>
        <v>0</v>
      </c>
      <c r="K761" s="1" t="n">
        <f aca="false">IF(COUNTIF('SQL Findings'!$A$4:$A$18,B761)&gt;0,1,0)</f>
        <v>0</v>
      </c>
      <c r="L761" s="1" t="n">
        <f aca="false">SUM(H761:K761)</f>
        <v>0</v>
      </c>
      <c r="M761" s="1" t="str">
        <f aca="false">IF(L761&gt;=2,"High",IF(L761=1,"Medium","Low"))</f>
        <v>Low</v>
      </c>
    </row>
    <row r="762" customFormat="false" ht="15" hidden="false" customHeight="true" outlineLevel="0" collapsed="false">
      <c r="A762" s="1" t="str">
        <f aca="false">Transactions!A762</f>
        <v>TXN500270</v>
      </c>
      <c r="B762" s="1" t="str">
        <f aca="false">Transactions!B762</f>
        <v>ACC1011</v>
      </c>
      <c r="C762" s="1" t="str">
        <f aca="false">Transactions!I762</f>
        <v>2026-02-17</v>
      </c>
      <c r="D762" s="1" t="n">
        <f aca="false">Transactions!J762</f>
        <v>5</v>
      </c>
      <c r="E762" s="1" t="n">
        <f aca="false">Transactions!D762</f>
        <v>75.01</v>
      </c>
      <c r="F762" s="1" t="str">
        <f aca="false">Transactions!H762</f>
        <v>Online</v>
      </c>
      <c r="G762" s="1" t="str">
        <f aca="false">Transactions!G762</f>
        <v>Dining</v>
      </c>
      <c r="H762" s="1" t="n">
        <f aca="false">IF(COUNTIFS($B$2:$B$1489,B762,$C$2:$C$1489,C762,$D$2:$D$1489,D762)&gt;6,1,0)</f>
        <v>0</v>
      </c>
      <c r="I762" s="1" t="n">
        <f aca="false">IF(AND(F762="Wire",E762&gt;=1000,MOD(E762,1000)=0),1,0)</f>
        <v>0</v>
      </c>
      <c r="J762" s="1" t="n">
        <f aca="false">IF(AND(F762="ATM",E762&gt;2000,D762&lt;=4),1,0)</f>
        <v>0</v>
      </c>
      <c r="K762" s="1" t="n">
        <f aca="false">IF(COUNTIF('SQL Findings'!$A$4:$A$18,B762)&gt;0,1,0)</f>
        <v>0</v>
      </c>
      <c r="L762" s="1" t="n">
        <f aca="false">SUM(H762:K762)</f>
        <v>0</v>
      </c>
      <c r="M762" s="1" t="str">
        <f aca="false">IF(L762&gt;=2,"High",IF(L762=1,"Medium","Low"))</f>
        <v>Low</v>
      </c>
    </row>
    <row r="763" customFormat="false" ht="15" hidden="false" customHeight="true" outlineLevel="0" collapsed="false">
      <c r="A763" s="1" t="str">
        <f aca="false">Transactions!A763</f>
        <v>TXN500762</v>
      </c>
      <c r="B763" s="1" t="str">
        <f aca="false">Transactions!B763</f>
        <v>ACC1033</v>
      </c>
      <c r="C763" s="1" t="str">
        <f aca="false">Transactions!I763</f>
        <v>2026-02-17</v>
      </c>
      <c r="D763" s="1" t="n">
        <f aca="false">Transactions!J763</f>
        <v>6</v>
      </c>
      <c r="E763" s="1" t="n">
        <f aca="false">Transactions!D763</f>
        <v>74.43</v>
      </c>
      <c r="F763" s="1" t="str">
        <f aca="false">Transactions!H763</f>
        <v>Online</v>
      </c>
      <c r="G763" s="1" t="str">
        <f aca="false">Transactions!G763</f>
        <v>Utilities</v>
      </c>
      <c r="H763" s="1" t="n">
        <f aca="false">IF(COUNTIFS($B$2:$B$1489,B763,$C$2:$C$1489,C763,$D$2:$D$1489,D763)&gt;6,1,0)</f>
        <v>0</v>
      </c>
      <c r="I763" s="1" t="n">
        <f aca="false">IF(AND(F763="Wire",E763&gt;=1000,MOD(E763,1000)=0),1,0)</f>
        <v>0</v>
      </c>
      <c r="J763" s="1" t="n">
        <f aca="false">IF(AND(F763="ATM",E763&gt;2000,D763&lt;=4),1,0)</f>
        <v>0</v>
      </c>
      <c r="K763" s="1" t="n">
        <f aca="false">IF(COUNTIF('SQL Findings'!$A$4:$A$18,B763)&gt;0,1,0)</f>
        <v>0</v>
      </c>
      <c r="L763" s="1" t="n">
        <f aca="false">SUM(H763:K763)</f>
        <v>0</v>
      </c>
      <c r="M763" s="1" t="str">
        <f aca="false">IF(L763&gt;=2,"High",IF(L763=1,"Medium","Low"))</f>
        <v>Low</v>
      </c>
    </row>
    <row r="764" customFormat="false" ht="15" hidden="false" customHeight="true" outlineLevel="0" collapsed="false">
      <c r="A764" s="1" t="str">
        <f aca="false">Transactions!A764</f>
        <v>TXN500240</v>
      </c>
      <c r="B764" s="1" t="str">
        <f aca="false">Transactions!B764</f>
        <v>ACC1010</v>
      </c>
      <c r="C764" s="1" t="str">
        <f aca="false">Transactions!I764</f>
        <v>2026-02-17</v>
      </c>
      <c r="D764" s="1" t="n">
        <f aca="false">Transactions!J764</f>
        <v>7</v>
      </c>
      <c r="E764" s="1" t="n">
        <f aca="false">Transactions!D764</f>
        <v>143.62</v>
      </c>
      <c r="F764" s="1" t="str">
        <f aca="false">Transactions!H764</f>
        <v>Online</v>
      </c>
      <c r="G764" s="1" t="str">
        <f aca="false">Transactions!G764</f>
        <v>Dining</v>
      </c>
      <c r="H764" s="1" t="n">
        <f aca="false">IF(COUNTIFS($B$2:$B$1489,B764,$C$2:$C$1489,C764,$D$2:$D$1489,D764)&gt;6,1,0)</f>
        <v>0</v>
      </c>
      <c r="I764" s="1" t="n">
        <f aca="false">IF(AND(F764="Wire",E764&gt;=1000,MOD(E764,1000)=0),1,0)</f>
        <v>0</v>
      </c>
      <c r="J764" s="1" t="n">
        <f aca="false">IF(AND(F764="ATM",E764&gt;2000,D764&lt;=4),1,0)</f>
        <v>0</v>
      </c>
      <c r="K764" s="1" t="n">
        <f aca="false">IF(COUNTIF('SQL Findings'!$A$4:$A$18,B764)&gt;0,1,0)</f>
        <v>0</v>
      </c>
      <c r="L764" s="1" t="n">
        <f aca="false">SUM(H764:K764)</f>
        <v>0</v>
      </c>
      <c r="M764" s="1" t="str">
        <f aca="false">IF(L764&gt;=2,"High",IF(L764=1,"Medium","Low"))</f>
        <v>Low</v>
      </c>
    </row>
    <row r="765" customFormat="false" ht="15" hidden="false" customHeight="true" outlineLevel="0" collapsed="false">
      <c r="A765" s="1" t="str">
        <f aca="false">Transactions!A765</f>
        <v>TXN501058</v>
      </c>
      <c r="B765" s="1" t="str">
        <f aca="false">Transactions!B765</f>
        <v>ACC1046</v>
      </c>
      <c r="C765" s="1" t="str">
        <f aca="false">Transactions!I765</f>
        <v>2026-02-17</v>
      </c>
      <c r="D765" s="1" t="n">
        <f aca="false">Transactions!J765</f>
        <v>9</v>
      </c>
      <c r="E765" s="1" t="n">
        <f aca="false">Transactions!D765</f>
        <v>191.61</v>
      </c>
      <c r="F765" s="1" t="str">
        <f aca="false">Transactions!H765</f>
        <v>Online</v>
      </c>
      <c r="G765" s="1" t="str">
        <f aca="false">Transactions!G765</f>
        <v>Utilities</v>
      </c>
      <c r="H765" s="1" t="n">
        <f aca="false">IF(COUNTIFS($B$2:$B$1489,B765,$C$2:$C$1489,C765,$D$2:$D$1489,D765)&gt;6,1,0)</f>
        <v>0</v>
      </c>
      <c r="I765" s="1" t="n">
        <f aca="false">IF(AND(F765="Wire",E765&gt;=1000,MOD(E765,1000)=0),1,0)</f>
        <v>0</v>
      </c>
      <c r="J765" s="1" t="n">
        <f aca="false">IF(AND(F765="ATM",E765&gt;2000,D765&lt;=4),1,0)</f>
        <v>0</v>
      </c>
      <c r="K765" s="1" t="n">
        <f aca="false">IF(COUNTIF('SQL Findings'!$A$4:$A$18,B765)&gt;0,1,0)</f>
        <v>0</v>
      </c>
      <c r="L765" s="1" t="n">
        <f aca="false">SUM(H765:K765)</f>
        <v>0</v>
      </c>
      <c r="M765" s="1" t="str">
        <f aca="false">IF(L765&gt;=2,"High",IF(L765=1,"Medium","Low"))</f>
        <v>Low</v>
      </c>
    </row>
    <row r="766" customFormat="false" ht="15" hidden="false" customHeight="true" outlineLevel="0" collapsed="false">
      <c r="A766" s="1" t="str">
        <f aca="false">Transactions!A766</f>
        <v>TXN501388</v>
      </c>
      <c r="B766" s="1" t="str">
        <f aca="false">Transactions!B766</f>
        <v>ACC1002</v>
      </c>
      <c r="C766" s="1" t="str">
        <f aca="false">Transactions!I766</f>
        <v>2026-02-17</v>
      </c>
      <c r="D766" s="1" t="n">
        <f aca="false">Transactions!J766</f>
        <v>9</v>
      </c>
      <c r="E766" s="1" t="n">
        <f aca="false">Transactions!D766</f>
        <v>2511.72</v>
      </c>
      <c r="F766" s="1" t="str">
        <f aca="false">Transactions!H766</f>
        <v>Wire</v>
      </c>
      <c r="G766" s="1" t="str">
        <f aca="false">Transactions!G766</f>
        <v>Wire Transfer</v>
      </c>
      <c r="H766" s="1" t="n">
        <f aca="false">IF(COUNTIFS($B$2:$B$1489,B766,$C$2:$C$1489,C766,$D$2:$D$1489,D766)&gt;6,1,0)</f>
        <v>0</v>
      </c>
      <c r="I766" s="1" t="n">
        <f aca="false">IF(AND(F766="Wire",E766&gt;=1000,MOD(E766,1000)=0),1,0)</f>
        <v>0</v>
      </c>
      <c r="J766" s="1" t="n">
        <f aca="false">IF(AND(F766="ATM",E766&gt;2000,D766&lt;=4),1,0)</f>
        <v>0</v>
      </c>
      <c r="K766" s="1" t="n">
        <f aca="false">IF(COUNTIF('SQL Findings'!$A$4:$A$18,B766)&gt;0,1,0)</f>
        <v>1</v>
      </c>
      <c r="L766" s="1" t="n">
        <f aca="false">SUM(H766:K766)</f>
        <v>1</v>
      </c>
      <c r="M766" s="1" t="str">
        <f aca="false">IF(L766&gt;=2,"High",IF(L766=1,"Medium","Low"))</f>
        <v>Medium</v>
      </c>
    </row>
    <row r="767" customFormat="false" ht="15" hidden="false" customHeight="true" outlineLevel="0" collapsed="false">
      <c r="A767" s="1" t="str">
        <f aca="false">Transactions!A767</f>
        <v>TXN500002</v>
      </c>
      <c r="B767" s="1" t="str">
        <f aca="false">Transactions!B767</f>
        <v>ACC1000</v>
      </c>
      <c r="C767" s="1" t="str">
        <f aca="false">Transactions!I767</f>
        <v>2026-02-17</v>
      </c>
      <c r="D767" s="1" t="n">
        <f aca="false">Transactions!J767</f>
        <v>9</v>
      </c>
      <c r="E767" s="1" t="n">
        <f aca="false">Transactions!D767</f>
        <v>58.88</v>
      </c>
      <c r="F767" s="1" t="str">
        <f aca="false">Transactions!H767</f>
        <v>ATM</v>
      </c>
      <c r="G767" s="1" t="str">
        <f aca="false">Transactions!G767</f>
        <v>Utilities</v>
      </c>
      <c r="H767" s="1" t="n">
        <f aca="false">IF(COUNTIFS($B$2:$B$1489,B767,$C$2:$C$1489,C767,$D$2:$D$1489,D767)&gt;6,1,0)</f>
        <v>0</v>
      </c>
      <c r="I767" s="1" t="n">
        <f aca="false">IF(AND(F767="Wire",E767&gt;=1000,MOD(E767,1000)=0),1,0)</f>
        <v>0</v>
      </c>
      <c r="J767" s="1" t="n">
        <f aca="false">IF(AND(F767="ATM",E767&gt;2000,D767&lt;=4),1,0)</f>
        <v>0</v>
      </c>
      <c r="K767" s="1" t="n">
        <f aca="false">IF(COUNTIF('SQL Findings'!$A$4:$A$18,B767)&gt;0,1,0)</f>
        <v>1</v>
      </c>
      <c r="L767" s="1" t="n">
        <f aca="false">SUM(H767:K767)</f>
        <v>1</v>
      </c>
      <c r="M767" s="1" t="str">
        <f aca="false">IF(L767&gt;=2,"High",IF(L767=1,"Medium","Low"))</f>
        <v>Medium</v>
      </c>
    </row>
    <row r="768" customFormat="false" ht="15" hidden="false" customHeight="true" outlineLevel="0" collapsed="false">
      <c r="A768" s="1" t="str">
        <f aca="false">Transactions!A768</f>
        <v>TXN500359</v>
      </c>
      <c r="B768" s="1" t="str">
        <f aca="false">Transactions!B768</f>
        <v>ACC1015</v>
      </c>
      <c r="C768" s="1" t="str">
        <f aca="false">Transactions!I768</f>
        <v>2026-02-17</v>
      </c>
      <c r="D768" s="1" t="n">
        <f aca="false">Transactions!J768</f>
        <v>10</v>
      </c>
      <c r="E768" s="1" t="n">
        <f aca="false">Transactions!D768</f>
        <v>89.16</v>
      </c>
      <c r="F768" s="1" t="str">
        <f aca="false">Transactions!H768</f>
        <v>Online</v>
      </c>
      <c r="G768" s="1" t="str">
        <f aca="false">Transactions!G768</f>
        <v>Online Marketplace</v>
      </c>
      <c r="H768" s="1" t="n">
        <f aca="false">IF(COUNTIFS($B$2:$B$1489,B768,$C$2:$C$1489,C768,$D$2:$D$1489,D768)&gt;6,1,0)</f>
        <v>0</v>
      </c>
      <c r="I768" s="1" t="n">
        <f aca="false">IF(AND(F768="Wire",E768&gt;=1000,MOD(E768,1000)=0),1,0)</f>
        <v>0</v>
      </c>
      <c r="J768" s="1" t="n">
        <f aca="false">IF(AND(F768="ATM",E768&gt;2000,D768&lt;=4),1,0)</f>
        <v>0</v>
      </c>
      <c r="K768" s="1" t="n">
        <f aca="false">IF(COUNTIF('SQL Findings'!$A$4:$A$18,B768)&gt;0,1,0)</f>
        <v>1</v>
      </c>
      <c r="L768" s="1" t="n">
        <f aca="false">SUM(H768:K768)</f>
        <v>1</v>
      </c>
      <c r="M768" s="1" t="str">
        <f aca="false">IF(L768&gt;=2,"High",IF(L768=1,"Medium","Low"))</f>
        <v>Medium</v>
      </c>
    </row>
    <row r="769" customFormat="false" ht="15" hidden="false" customHeight="true" outlineLevel="0" collapsed="false">
      <c r="A769" s="1" t="str">
        <f aca="false">Transactions!A769</f>
        <v>TXN500580</v>
      </c>
      <c r="B769" s="1" t="str">
        <f aca="false">Transactions!B769</f>
        <v>ACC1025</v>
      </c>
      <c r="C769" s="1" t="str">
        <f aca="false">Transactions!I769</f>
        <v>2026-02-17</v>
      </c>
      <c r="D769" s="1" t="n">
        <f aca="false">Transactions!J769</f>
        <v>10</v>
      </c>
      <c r="E769" s="1" t="n">
        <f aca="false">Transactions!D769</f>
        <v>186.68</v>
      </c>
      <c r="F769" s="1" t="str">
        <f aca="false">Transactions!H769</f>
        <v>Online</v>
      </c>
      <c r="G769" s="1" t="str">
        <f aca="false">Transactions!G769</f>
        <v>Travel</v>
      </c>
      <c r="H769" s="1" t="n">
        <f aca="false">IF(COUNTIFS($B$2:$B$1489,B769,$C$2:$C$1489,C769,$D$2:$D$1489,D769)&gt;6,1,0)</f>
        <v>0</v>
      </c>
      <c r="I769" s="1" t="n">
        <f aca="false">IF(AND(F769="Wire",E769&gt;=1000,MOD(E769,1000)=0),1,0)</f>
        <v>0</v>
      </c>
      <c r="J769" s="1" t="n">
        <f aca="false">IF(AND(F769="ATM",E769&gt;2000,D769&lt;=4),1,0)</f>
        <v>0</v>
      </c>
      <c r="K769" s="1" t="n">
        <f aca="false">IF(COUNTIF('SQL Findings'!$A$4:$A$18,B769)&gt;0,1,0)</f>
        <v>0</v>
      </c>
      <c r="L769" s="1" t="n">
        <f aca="false">SUM(H769:K769)</f>
        <v>0</v>
      </c>
      <c r="M769" s="1" t="str">
        <f aca="false">IF(L769&gt;=2,"High",IF(L769=1,"Medium","Low"))</f>
        <v>Low</v>
      </c>
    </row>
    <row r="770" customFormat="false" ht="15" hidden="false" customHeight="true" outlineLevel="0" collapsed="false">
      <c r="A770" s="1" t="str">
        <f aca="false">Transactions!A770</f>
        <v>TXN501389</v>
      </c>
      <c r="B770" s="1" t="str">
        <f aca="false">Transactions!B770</f>
        <v>ACC1002</v>
      </c>
      <c r="C770" s="1" t="str">
        <f aca="false">Transactions!I770</f>
        <v>2026-02-17</v>
      </c>
      <c r="D770" s="1" t="n">
        <f aca="false">Transactions!J770</f>
        <v>10</v>
      </c>
      <c r="E770" s="1" t="n">
        <f aca="false">Transactions!D770</f>
        <v>2421.63</v>
      </c>
      <c r="F770" s="1" t="str">
        <f aca="false">Transactions!H770</f>
        <v>Wire</v>
      </c>
      <c r="G770" s="1" t="str">
        <f aca="false">Transactions!G770</f>
        <v>Wire Transfer</v>
      </c>
      <c r="H770" s="1" t="n">
        <f aca="false">IF(COUNTIFS($B$2:$B$1489,B770,$C$2:$C$1489,C770,$D$2:$D$1489,D770)&gt;6,1,0)</f>
        <v>0</v>
      </c>
      <c r="I770" s="1" t="n">
        <f aca="false">IF(AND(F770="Wire",E770&gt;=1000,MOD(E770,1000)=0),1,0)</f>
        <v>0</v>
      </c>
      <c r="J770" s="1" t="n">
        <f aca="false">IF(AND(F770="ATM",E770&gt;2000,D770&lt;=4),1,0)</f>
        <v>0</v>
      </c>
      <c r="K770" s="1" t="n">
        <f aca="false">IF(COUNTIF('SQL Findings'!$A$4:$A$18,B770)&gt;0,1,0)</f>
        <v>1</v>
      </c>
      <c r="L770" s="1" t="n">
        <f aca="false">SUM(H770:K770)</f>
        <v>1</v>
      </c>
      <c r="M770" s="1" t="str">
        <f aca="false">IF(L770&gt;=2,"High",IF(L770=1,"Medium","Low"))</f>
        <v>Medium</v>
      </c>
    </row>
    <row r="771" customFormat="false" ht="15" hidden="false" customHeight="true" outlineLevel="0" collapsed="false">
      <c r="A771" s="1" t="str">
        <f aca="false">Transactions!A771</f>
        <v>TXN500690</v>
      </c>
      <c r="B771" s="1" t="str">
        <f aca="false">Transactions!B771</f>
        <v>ACC1029</v>
      </c>
      <c r="C771" s="1" t="str">
        <f aca="false">Transactions!I771</f>
        <v>2026-02-17</v>
      </c>
      <c r="D771" s="1" t="n">
        <f aca="false">Transactions!J771</f>
        <v>11</v>
      </c>
      <c r="E771" s="1" t="n">
        <f aca="false">Transactions!D771</f>
        <v>99.47</v>
      </c>
      <c r="F771" s="1" t="str">
        <f aca="false">Transactions!H771</f>
        <v>ATM</v>
      </c>
      <c r="G771" s="1" t="str">
        <f aca="false">Transactions!G771</f>
        <v>Electronics</v>
      </c>
      <c r="H771" s="1" t="n">
        <f aca="false">IF(COUNTIFS($B$2:$B$1489,B771,$C$2:$C$1489,C771,$D$2:$D$1489,D771)&gt;6,1,0)</f>
        <v>0</v>
      </c>
      <c r="I771" s="1" t="n">
        <f aca="false">IF(AND(F771="Wire",E771&gt;=1000,MOD(E771,1000)=0),1,0)</f>
        <v>0</v>
      </c>
      <c r="J771" s="1" t="n">
        <f aca="false">IF(AND(F771="ATM",E771&gt;2000,D771&lt;=4),1,0)</f>
        <v>0</v>
      </c>
      <c r="K771" s="1" t="n">
        <f aca="false">IF(COUNTIF('SQL Findings'!$A$4:$A$18,B771)&gt;0,1,0)</f>
        <v>0</v>
      </c>
      <c r="L771" s="1" t="n">
        <f aca="false">SUM(H771:K771)</f>
        <v>0</v>
      </c>
      <c r="M771" s="1" t="str">
        <f aca="false">IF(L771&gt;=2,"High",IF(L771=1,"Medium","Low"))</f>
        <v>Low</v>
      </c>
    </row>
    <row r="772" customFormat="false" ht="15" hidden="false" customHeight="true" outlineLevel="0" collapsed="false">
      <c r="A772" s="1" t="str">
        <f aca="false">Transactions!A772</f>
        <v>TXN501390</v>
      </c>
      <c r="B772" s="1" t="str">
        <f aca="false">Transactions!B772</f>
        <v>ACC1002</v>
      </c>
      <c r="C772" s="1" t="str">
        <f aca="false">Transactions!I772</f>
        <v>2026-02-17</v>
      </c>
      <c r="D772" s="1" t="n">
        <f aca="false">Transactions!J772</f>
        <v>12</v>
      </c>
      <c r="E772" s="1" t="n">
        <f aca="false">Transactions!D772</f>
        <v>2763.4</v>
      </c>
      <c r="F772" s="1" t="str">
        <f aca="false">Transactions!H772</f>
        <v>Wire</v>
      </c>
      <c r="G772" s="1" t="str">
        <f aca="false">Transactions!G772</f>
        <v>Wire Transfer</v>
      </c>
      <c r="H772" s="1" t="n">
        <f aca="false">IF(COUNTIFS($B$2:$B$1489,B772,$C$2:$C$1489,C772,$D$2:$D$1489,D772)&gt;6,1,0)</f>
        <v>0</v>
      </c>
      <c r="I772" s="1" t="n">
        <f aca="false">IF(AND(F772="Wire",E772&gt;=1000,MOD(E772,1000)=0),1,0)</f>
        <v>0</v>
      </c>
      <c r="J772" s="1" t="n">
        <f aca="false">IF(AND(F772="ATM",E772&gt;2000,D772&lt;=4),1,0)</f>
        <v>0</v>
      </c>
      <c r="K772" s="1" t="n">
        <f aca="false">IF(COUNTIF('SQL Findings'!$A$4:$A$18,B772)&gt;0,1,0)</f>
        <v>1</v>
      </c>
      <c r="L772" s="1" t="n">
        <f aca="false">SUM(H772:K772)</f>
        <v>1</v>
      </c>
      <c r="M772" s="1" t="str">
        <f aca="false">IF(L772&gt;=2,"High",IF(L772=1,"Medium","Low"))</f>
        <v>Medium</v>
      </c>
    </row>
    <row r="773" customFormat="false" ht="15" hidden="false" customHeight="true" outlineLevel="0" collapsed="false">
      <c r="A773" s="1" t="str">
        <f aca="false">Transactions!A773</f>
        <v>TXN501013</v>
      </c>
      <c r="B773" s="1" t="str">
        <f aca="false">Transactions!B773</f>
        <v>ACC1044</v>
      </c>
      <c r="C773" s="1" t="str">
        <f aca="false">Transactions!I773</f>
        <v>2026-02-17</v>
      </c>
      <c r="D773" s="1" t="n">
        <f aca="false">Transactions!J773</f>
        <v>12</v>
      </c>
      <c r="E773" s="1" t="n">
        <f aca="false">Transactions!D773</f>
        <v>431.7</v>
      </c>
      <c r="F773" s="1" t="str">
        <f aca="false">Transactions!H773</f>
        <v>Online</v>
      </c>
      <c r="G773" s="1" t="str">
        <f aca="false">Transactions!G773</f>
        <v>Utilities</v>
      </c>
      <c r="H773" s="1" t="n">
        <f aca="false">IF(COUNTIFS($B$2:$B$1489,B773,$C$2:$C$1489,C773,$D$2:$D$1489,D773)&gt;6,1,0)</f>
        <v>0</v>
      </c>
      <c r="I773" s="1" t="n">
        <f aca="false">IF(AND(F773="Wire",E773&gt;=1000,MOD(E773,1000)=0),1,0)</f>
        <v>0</v>
      </c>
      <c r="J773" s="1" t="n">
        <f aca="false">IF(AND(F773="ATM",E773&gt;2000,D773&lt;=4),1,0)</f>
        <v>0</v>
      </c>
      <c r="K773" s="1" t="n">
        <f aca="false">IF(COUNTIF('SQL Findings'!$A$4:$A$18,B773)&gt;0,1,0)</f>
        <v>0</v>
      </c>
      <c r="L773" s="1" t="n">
        <f aca="false">SUM(H773:K773)</f>
        <v>0</v>
      </c>
      <c r="M773" s="1" t="str">
        <f aca="false">IF(L773&gt;=2,"High",IF(L773=1,"Medium","Low"))</f>
        <v>Low</v>
      </c>
    </row>
    <row r="774" customFormat="false" ht="15" hidden="false" customHeight="true" outlineLevel="0" collapsed="false">
      <c r="A774" s="1" t="str">
        <f aca="false">Transactions!A774</f>
        <v>TXN500931</v>
      </c>
      <c r="B774" s="1" t="str">
        <f aca="false">Transactions!B774</f>
        <v>ACC1040</v>
      </c>
      <c r="C774" s="1" t="str">
        <f aca="false">Transactions!I774</f>
        <v>2026-02-17</v>
      </c>
      <c r="D774" s="1" t="n">
        <f aca="false">Transactions!J774</f>
        <v>12</v>
      </c>
      <c r="E774" s="1" t="n">
        <f aca="false">Transactions!D774</f>
        <v>40.46</v>
      </c>
      <c r="F774" s="1" t="str">
        <f aca="false">Transactions!H774</f>
        <v>Online</v>
      </c>
      <c r="G774" s="1" t="str">
        <f aca="false">Transactions!G774</f>
        <v>Online Marketplace</v>
      </c>
      <c r="H774" s="1" t="n">
        <f aca="false">IF(COUNTIFS($B$2:$B$1489,B774,$C$2:$C$1489,C774,$D$2:$D$1489,D774)&gt;6,1,0)</f>
        <v>0</v>
      </c>
      <c r="I774" s="1" t="n">
        <f aca="false">IF(AND(F774="Wire",E774&gt;=1000,MOD(E774,1000)=0),1,0)</f>
        <v>0</v>
      </c>
      <c r="J774" s="1" t="n">
        <f aca="false">IF(AND(F774="ATM",E774&gt;2000,D774&lt;=4),1,0)</f>
        <v>0</v>
      </c>
      <c r="K774" s="1" t="n">
        <f aca="false">IF(COUNTIF('SQL Findings'!$A$4:$A$18,B774)&gt;0,1,0)</f>
        <v>1</v>
      </c>
      <c r="L774" s="1" t="n">
        <f aca="false">SUM(H774:K774)</f>
        <v>1</v>
      </c>
      <c r="M774" s="1" t="str">
        <f aca="false">IF(L774&gt;=2,"High",IF(L774=1,"Medium","Low"))</f>
        <v>Medium</v>
      </c>
    </row>
    <row r="775" customFormat="false" ht="15" hidden="false" customHeight="true" outlineLevel="0" collapsed="false">
      <c r="A775" s="1" t="str">
        <f aca="false">Transactions!A775</f>
        <v>TXN500682</v>
      </c>
      <c r="B775" s="1" t="str">
        <f aca="false">Transactions!B775</f>
        <v>ACC1029</v>
      </c>
      <c r="C775" s="1" t="str">
        <f aca="false">Transactions!I775</f>
        <v>2026-02-17</v>
      </c>
      <c r="D775" s="1" t="n">
        <f aca="false">Transactions!J775</f>
        <v>13</v>
      </c>
      <c r="E775" s="1" t="n">
        <f aca="false">Transactions!D775</f>
        <v>24.14</v>
      </c>
      <c r="F775" s="1" t="str">
        <f aca="false">Transactions!H775</f>
        <v>ATM</v>
      </c>
      <c r="G775" s="1" t="str">
        <f aca="false">Transactions!G775</f>
        <v>Dining</v>
      </c>
      <c r="H775" s="1" t="n">
        <f aca="false">IF(COUNTIFS($B$2:$B$1489,B775,$C$2:$C$1489,C775,$D$2:$D$1489,D775)&gt;6,1,0)</f>
        <v>0</v>
      </c>
      <c r="I775" s="1" t="n">
        <f aca="false">IF(AND(F775="Wire",E775&gt;=1000,MOD(E775,1000)=0),1,0)</f>
        <v>0</v>
      </c>
      <c r="J775" s="1" t="n">
        <f aca="false">IF(AND(F775="ATM",E775&gt;2000,D775&lt;=4),1,0)</f>
        <v>0</v>
      </c>
      <c r="K775" s="1" t="n">
        <f aca="false">IF(COUNTIF('SQL Findings'!$A$4:$A$18,B775)&gt;0,1,0)</f>
        <v>0</v>
      </c>
      <c r="L775" s="1" t="n">
        <f aca="false">SUM(H775:K775)</f>
        <v>0</v>
      </c>
      <c r="M775" s="1" t="str">
        <f aca="false">IF(L775&gt;=2,"High",IF(L775=1,"Medium","Low"))</f>
        <v>Low</v>
      </c>
    </row>
    <row r="776" customFormat="false" ht="15" hidden="false" customHeight="true" outlineLevel="0" collapsed="false">
      <c r="A776" s="1" t="str">
        <f aca="false">Transactions!A776</f>
        <v>TXN501048</v>
      </c>
      <c r="B776" s="1" t="str">
        <f aca="false">Transactions!B776</f>
        <v>ACC1045</v>
      </c>
      <c r="C776" s="1" t="str">
        <f aca="false">Transactions!I776</f>
        <v>2026-02-17</v>
      </c>
      <c r="D776" s="1" t="n">
        <f aca="false">Transactions!J776</f>
        <v>13</v>
      </c>
      <c r="E776" s="1" t="n">
        <f aca="false">Transactions!D776</f>
        <v>16.14</v>
      </c>
      <c r="F776" s="1" t="str">
        <f aca="false">Transactions!H776</f>
        <v>Online</v>
      </c>
      <c r="G776" s="1" t="str">
        <f aca="false">Transactions!G776</f>
        <v>Utilities</v>
      </c>
      <c r="H776" s="1" t="n">
        <f aca="false">IF(COUNTIFS($B$2:$B$1489,B776,$C$2:$C$1489,C776,$D$2:$D$1489,D776)&gt;6,1,0)</f>
        <v>0</v>
      </c>
      <c r="I776" s="1" t="n">
        <f aca="false">IF(AND(F776="Wire",E776&gt;=1000,MOD(E776,1000)=0),1,0)</f>
        <v>0</v>
      </c>
      <c r="J776" s="1" t="n">
        <f aca="false">IF(AND(F776="ATM",E776&gt;2000,D776&lt;=4),1,0)</f>
        <v>0</v>
      </c>
      <c r="K776" s="1" t="n">
        <f aca="false">IF(COUNTIF('SQL Findings'!$A$4:$A$18,B776)&gt;0,1,0)</f>
        <v>0</v>
      </c>
      <c r="L776" s="1" t="n">
        <f aca="false">SUM(H776:K776)</f>
        <v>0</v>
      </c>
      <c r="M776" s="1" t="str">
        <f aca="false">IF(L776&gt;=2,"High",IF(L776=1,"Medium","Low"))</f>
        <v>Low</v>
      </c>
    </row>
    <row r="777" customFormat="false" ht="15" hidden="false" customHeight="true" outlineLevel="0" collapsed="false">
      <c r="A777" s="1" t="str">
        <f aca="false">Transactions!A777</f>
        <v>TXN501391</v>
      </c>
      <c r="B777" s="1" t="str">
        <f aca="false">Transactions!B777</f>
        <v>ACC1002</v>
      </c>
      <c r="C777" s="1" t="str">
        <f aca="false">Transactions!I777</f>
        <v>2026-02-17</v>
      </c>
      <c r="D777" s="1" t="n">
        <f aca="false">Transactions!J777</f>
        <v>13</v>
      </c>
      <c r="E777" s="1" t="n">
        <f aca="false">Transactions!D777</f>
        <v>2782.74</v>
      </c>
      <c r="F777" s="1" t="str">
        <f aca="false">Transactions!H777</f>
        <v>Wire</v>
      </c>
      <c r="G777" s="1" t="str">
        <f aca="false">Transactions!G777</f>
        <v>Wire Transfer</v>
      </c>
      <c r="H777" s="1" t="n">
        <f aca="false">IF(COUNTIFS($B$2:$B$1489,B777,$C$2:$C$1489,C777,$D$2:$D$1489,D777)&gt;6,1,0)</f>
        <v>0</v>
      </c>
      <c r="I777" s="1" t="n">
        <f aca="false">IF(AND(F777="Wire",E777&gt;=1000,MOD(E777,1000)=0),1,0)</f>
        <v>0</v>
      </c>
      <c r="J777" s="1" t="n">
        <f aca="false">IF(AND(F777="ATM",E777&gt;2000,D777&lt;=4),1,0)</f>
        <v>0</v>
      </c>
      <c r="K777" s="1" t="n">
        <f aca="false">IF(COUNTIF('SQL Findings'!$A$4:$A$18,B777)&gt;0,1,0)</f>
        <v>1</v>
      </c>
      <c r="L777" s="1" t="n">
        <f aca="false">SUM(H777:K777)</f>
        <v>1</v>
      </c>
      <c r="M777" s="1" t="str">
        <f aca="false">IF(L777&gt;=2,"High",IF(L777=1,"Medium","Low"))</f>
        <v>Medium</v>
      </c>
    </row>
    <row r="778" customFormat="false" ht="15" hidden="false" customHeight="true" outlineLevel="0" collapsed="false">
      <c r="A778" s="1" t="str">
        <f aca="false">Transactions!A778</f>
        <v>TXN500328</v>
      </c>
      <c r="B778" s="1" t="str">
        <f aca="false">Transactions!B778</f>
        <v>ACC1014</v>
      </c>
      <c r="C778" s="1" t="str">
        <f aca="false">Transactions!I778</f>
        <v>2026-02-17</v>
      </c>
      <c r="D778" s="1" t="n">
        <f aca="false">Transactions!J778</f>
        <v>14</v>
      </c>
      <c r="E778" s="1" t="n">
        <f aca="false">Transactions!D778</f>
        <v>135.98</v>
      </c>
      <c r="F778" s="1" t="str">
        <f aca="false">Transactions!H778</f>
        <v>Online</v>
      </c>
      <c r="G778" s="1" t="str">
        <f aca="false">Transactions!G778</f>
        <v>Online Marketplace</v>
      </c>
      <c r="H778" s="1" t="n">
        <f aca="false">IF(COUNTIFS($B$2:$B$1489,B778,$C$2:$C$1489,C778,$D$2:$D$1489,D778)&gt;6,1,0)</f>
        <v>0</v>
      </c>
      <c r="I778" s="1" t="n">
        <f aca="false">IF(AND(F778="Wire",E778&gt;=1000,MOD(E778,1000)=0),1,0)</f>
        <v>0</v>
      </c>
      <c r="J778" s="1" t="n">
        <f aca="false">IF(AND(F778="ATM",E778&gt;2000,D778&lt;=4),1,0)</f>
        <v>0</v>
      </c>
      <c r="K778" s="1" t="n">
        <f aca="false">IF(COUNTIF('SQL Findings'!$A$4:$A$18,B778)&gt;0,1,0)</f>
        <v>1</v>
      </c>
      <c r="L778" s="1" t="n">
        <f aca="false">SUM(H778:K778)</f>
        <v>1</v>
      </c>
      <c r="M778" s="1" t="str">
        <f aca="false">IF(L778&gt;=2,"High",IF(L778=1,"Medium","Low"))</f>
        <v>Medium</v>
      </c>
    </row>
    <row r="779" customFormat="false" ht="15" hidden="false" customHeight="true" outlineLevel="0" collapsed="false">
      <c r="A779" s="1" t="str">
        <f aca="false">Transactions!A779</f>
        <v>TXN500237</v>
      </c>
      <c r="B779" s="1" t="str">
        <f aca="false">Transactions!B779</f>
        <v>ACC1010</v>
      </c>
      <c r="C779" s="1" t="str">
        <f aca="false">Transactions!I779</f>
        <v>2026-02-17</v>
      </c>
      <c r="D779" s="1" t="n">
        <f aca="false">Transactions!J779</f>
        <v>14</v>
      </c>
      <c r="E779" s="1" t="n">
        <f aca="false">Transactions!D779</f>
        <v>10.78</v>
      </c>
      <c r="F779" s="1" t="str">
        <f aca="false">Transactions!H779</f>
        <v>ATM</v>
      </c>
      <c r="G779" s="1" t="str">
        <f aca="false">Transactions!G779</f>
        <v>Wire Transfer</v>
      </c>
      <c r="H779" s="1" t="n">
        <f aca="false">IF(COUNTIFS($B$2:$B$1489,B779,$C$2:$C$1489,C779,$D$2:$D$1489,D779)&gt;6,1,0)</f>
        <v>0</v>
      </c>
      <c r="I779" s="1" t="n">
        <f aca="false">IF(AND(F779="Wire",E779&gt;=1000,MOD(E779,1000)=0),1,0)</f>
        <v>0</v>
      </c>
      <c r="J779" s="1" t="n">
        <f aca="false">IF(AND(F779="ATM",E779&gt;2000,D779&lt;=4),1,0)</f>
        <v>0</v>
      </c>
      <c r="K779" s="1" t="n">
        <f aca="false">IF(COUNTIF('SQL Findings'!$A$4:$A$18,B779)&gt;0,1,0)</f>
        <v>0</v>
      </c>
      <c r="L779" s="1" t="n">
        <f aca="false">SUM(H779:K779)</f>
        <v>0</v>
      </c>
      <c r="M779" s="1" t="str">
        <f aca="false">IF(L779&gt;=2,"High",IF(L779=1,"Medium","Low"))</f>
        <v>Low</v>
      </c>
    </row>
    <row r="780" customFormat="false" ht="15" hidden="false" customHeight="true" outlineLevel="0" collapsed="false">
      <c r="A780" s="1" t="str">
        <f aca="false">Transactions!A780</f>
        <v>TXN501392</v>
      </c>
      <c r="B780" s="1" t="str">
        <f aca="false">Transactions!B780</f>
        <v>ACC1002</v>
      </c>
      <c r="C780" s="1" t="str">
        <f aca="false">Transactions!I780</f>
        <v>2026-02-17</v>
      </c>
      <c r="D780" s="1" t="n">
        <f aca="false">Transactions!J780</f>
        <v>15</v>
      </c>
      <c r="E780" s="1" t="n">
        <f aca="false">Transactions!D780</f>
        <v>2746.84</v>
      </c>
      <c r="F780" s="1" t="str">
        <f aca="false">Transactions!H780</f>
        <v>Wire</v>
      </c>
      <c r="G780" s="1" t="str">
        <f aca="false">Transactions!G780</f>
        <v>Wire Transfer</v>
      </c>
      <c r="H780" s="1" t="n">
        <f aca="false">IF(COUNTIFS($B$2:$B$1489,B780,$C$2:$C$1489,C780,$D$2:$D$1489,D780)&gt;6,1,0)</f>
        <v>0</v>
      </c>
      <c r="I780" s="1" t="n">
        <f aca="false">IF(AND(F780="Wire",E780&gt;=1000,MOD(E780,1000)=0),1,0)</f>
        <v>0</v>
      </c>
      <c r="J780" s="1" t="n">
        <f aca="false">IF(AND(F780="ATM",E780&gt;2000,D780&lt;=4),1,0)</f>
        <v>0</v>
      </c>
      <c r="K780" s="1" t="n">
        <f aca="false">IF(COUNTIF('SQL Findings'!$A$4:$A$18,B780)&gt;0,1,0)</f>
        <v>1</v>
      </c>
      <c r="L780" s="1" t="n">
        <f aca="false">SUM(H780:K780)</f>
        <v>1</v>
      </c>
      <c r="M780" s="1" t="str">
        <f aca="false">IF(L780&gt;=2,"High",IF(L780=1,"Medium","Low"))</f>
        <v>Medium</v>
      </c>
    </row>
    <row r="781" customFormat="false" ht="15" hidden="false" customHeight="true" outlineLevel="0" collapsed="false">
      <c r="A781" s="1" t="str">
        <f aca="false">Transactions!A781</f>
        <v>TXN500793</v>
      </c>
      <c r="B781" s="1" t="str">
        <f aca="false">Transactions!B781</f>
        <v>ACC1034</v>
      </c>
      <c r="C781" s="1" t="str">
        <f aca="false">Transactions!I781</f>
        <v>2026-02-17</v>
      </c>
      <c r="D781" s="1" t="n">
        <f aca="false">Transactions!J781</f>
        <v>17</v>
      </c>
      <c r="E781" s="1" t="n">
        <f aca="false">Transactions!D781</f>
        <v>85.15</v>
      </c>
      <c r="F781" s="1" t="str">
        <f aca="false">Transactions!H781</f>
        <v>ATM</v>
      </c>
      <c r="G781" s="1" t="str">
        <f aca="false">Transactions!G781</f>
        <v>Wire Transfer</v>
      </c>
      <c r="H781" s="1" t="n">
        <f aca="false">IF(COUNTIFS($B$2:$B$1489,B781,$C$2:$C$1489,C781,$D$2:$D$1489,D781)&gt;6,1,0)</f>
        <v>0</v>
      </c>
      <c r="I781" s="1" t="n">
        <f aca="false">IF(AND(F781="Wire",E781&gt;=1000,MOD(E781,1000)=0),1,0)</f>
        <v>0</v>
      </c>
      <c r="J781" s="1" t="n">
        <f aca="false">IF(AND(F781="ATM",E781&gt;2000,D781&lt;=4),1,0)</f>
        <v>0</v>
      </c>
      <c r="K781" s="1" t="n">
        <f aca="false">IF(COUNTIF('SQL Findings'!$A$4:$A$18,B781)&gt;0,1,0)</f>
        <v>0</v>
      </c>
      <c r="L781" s="1" t="n">
        <f aca="false">SUM(H781:K781)</f>
        <v>0</v>
      </c>
      <c r="M781" s="1" t="str">
        <f aca="false">IF(L781&gt;=2,"High",IF(L781=1,"Medium","Low"))</f>
        <v>Low</v>
      </c>
    </row>
    <row r="782" customFormat="false" ht="15" hidden="false" customHeight="true" outlineLevel="0" collapsed="false">
      <c r="A782" s="1" t="str">
        <f aca="false">Transactions!A782</f>
        <v>TXN500641</v>
      </c>
      <c r="B782" s="1" t="str">
        <f aca="false">Transactions!B782</f>
        <v>ACC1028</v>
      </c>
      <c r="C782" s="1" t="str">
        <f aca="false">Transactions!I782</f>
        <v>2026-02-17</v>
      </c>
      <c r="D782" s="1" t="n">
        <f aca="false">Transactions!J782</f>
        <v>18</v>
      </c>
      <c r="E782" s="1" t="n">
        <f aca="false">Transactions!D782</f>
        <v>49.29</v>
      </c>
      <c r="F782" s="1" t="str">
        <f aca="false">Transactions!H782</f>
        <v>POS</v>
      </c>
      <c r="G782" s="1" t="str">
        <f aca="false">Transactions!G782</f>
        <v>Wire Transfer</v>
      </c>
      <c r="H782" s="1" t="n">
        <f aca="false">IF(COUNTIFS($B$2:$B$1489,B782,$C$2:$C$1489,C782,$D$2:$D$1489,D782)&gt;6,1,0)</f>
        <v>0</v>
      </c>
      <c r="I782" s="1" t="n">
        <f aca="false">IF(AND(F782="Wire",E782&gt;=1000,MOD(E782,1000)=0),1,0)</f>
        <v>0</v>
      </c>
      <c r="J782" s="1" t="n">
        <f aca="false">IF(AND(F782="ATM",E782&gt;2000,D782&lt;=4),1,0)</f>
        <v>0</v>
      </c>
      <c r="K782" s="1" t="n">
        <f aca="false">IF(COUNTIF('SQL Findings'!$A$4:$A$18,B782)&gt;0,1,0)</f>
        <v>0</v>
      </c>
      <c r="L782" s="1" t="n">
        <f aca="false">SUM(H782:K782)</f>
        <v>0</v>
      </c>
      <c r="M782" s="1" t="str">
        <f aca="false">IF(L782&gt;=2,"High",IF(L782=1,"Medium","Low"))</f>
        <v>Low</v>
      </c>
    </row>
    <row r="783" customFormat="false" ht="15" hidden="false" customHeight="true" outlineLevel="0" collapsed="false">
      <c r="A783" s="1" t="str">
        <f aca="false">Transactions!A783</f>
        <v>TXN501316</v>
      </c>
      <c r="B783" s="1" t="str">
        <f aca="false">Transactions!B783</f>
        <v>ACC1057</v>
      </c>
      <c r="C783" s="1" t="str">
        <f aca="false">Transactions!I783</f>
        <v>2026-02-17</v>
      </c>
      <c r="D783" s="1" t="n">
        <f aca="false">Transactions!J783</f>
        <v>19</v>
      </c>
      <c r="E783" s="1" t="n">
        <f aca="false">Transactions!D783</f>
        <v>20.48</v>
      </c>
      <c r="F783" s="1" t="str">
        <f aca="false">Transactions!H783</f>
        <v>ATM</v>
      </c>
      <c r="G783" s="1" t="str">
        <f aca="false">Transactions!G783</f>
        <v>Retail</v>
      </c>
      <c r="H783" s="1" t="n">
        <f aca="false">IF(COUNTIFS($B$2:$B$1489,B783,$C$2:$C$1489,C783,$D$2:$D$1489,D783)&gt;6,1,0)</f>
        <v>0</v>
      </c>
      <c r="I783" s="1" t="n">
        <f aca="false">IF(AND(F783="Wire",E783&gt;=1000,MOD(E783,1000)=0),1,0)</f>
        <v>0</v>
      </c>
      <c r="J783" s="1" t="n">
        <f aca="false">IF(AND(F783="ATM",E783&gt;2000,D783&lt;=4),1,0)</f>
        <v>0</v>
      </c>
      <c r="K783" s="1" t="n">
        <f aca="false">IF(COUNTIF('SQL Findings'!$A$4:$A$18,B783)&gt;0,1,0)</f>
        <v>1</v>
      </c>
      <c r="L783" s="1" t="n">
        <f aca="false">SUM(H783:K783)</f>
        <v>1</v>
      </c>
      <c r="M783" s="1" t="str">
        <f aca="false">IF(L783&gt;=2,"High",IF(L783=1,"Medium","Low"))</f>
        <v>Medium</v>
      </c>
    </row>
    <row r="784" customFormat="false" ht="15" hidden="false" customHeight="true" outlineLevel="0" collapsed="false">
      <c r="A784" s="1" t="str">
        <f aca="false">Transactions!A784</f>
        <v>TXN500311</v>
      </c>
      <c r="B784" s="1" t="str">
        <f aca="false">Transactions!B784</f>
        <v>ACC1013</v>
      </c>
      <c r="C784" s="1" t="str">
        <f aca="false">Transactions!I784</f>
        <v>2026-02-17</v>
      </c>
      <c r="D784" s="1" t="n">
        <f aca="false">Transactions!J784</f>
        <v>20</v>
      </c>
      <c r="E784" s="1" t="n">
        <f aca="false">Transactions!D784</f>
        <v>54.82</v>
      </c>
      <c r="F784" s="1" t="str">
        <f aca="false">Transactions!H784</f>
        <v>Online</v>
      </c>
      <c r="G784" s="1" t="str">
        <f aca="false">Transactions!G784</f>
        <v>Wire Transfer</v>
      </c>
      <c r="H784" s="1" t="n">
        <f aca="false">IF(COUNTIFS($B$2:$B$1489,B784,$C$2:$C$1489,C784,$D$2:$D$1489,D784)&gt;6,1,0)</f>
        <v>0</v>
      </c>
      <c r="I784" s="1" t="n">
        <f aca="false">IF(AND(F784="Wire",E784&gt;=1000,MOD(E784,1000)=0),1,0)</f>
        <v>0</v>
      </c>
      <c r="J784" s="1" t="n">
        <f aca="false">IF(AND(F784="ATM",E784&gt;2000,D784&lt;=4),1,0)</f>
        <v>0</v>
      </c>
      <c r="K784" s="1" t="n">
        <f aca="false">IF(COUNTIF('SQL Findings'!$A$4:$A$18,B784)&gt;0,1,0)</f>
        <v>0</v>
      </c>
      <c r="L784" s="1" t="n">
        <f aca="false">SUM(H784:K784)</f>
        <v>0</v>
      </c>
      <c r="M784" s="1" t="str">
        <f aca="false">IF(L784&gt;=2,"High",IF(L784=1,"Medium","Low"))</f>
        <v>Low</v>
      </c>
    </row>
    <row r="785" customFormat="false" ht="15" hidden="false" customHeight="true" outlineLevel="0" collapsed="false">
      <c r="A785" s="1" t="str">
        <f aca="false">Transactions!A785</f>
        <v>TXN500830</v>
      </c>
      <c r="B785" s="1" t="str">
        <f aca="false">Transactions!B785</f>
        <v>ACC1035</v>
      </c>
      <c r="C785" s="1" t="str">
        <f aca="false">Transactions!I785</f>
        <v>2026-02-17</v>
      </c>
      <c r="D785" s="1" t="n">
        <f aca="false">Transactions!J785</f>
        <v>21</v>
      </c>
      <c r="E785" s="1" t="n">
        <f aca="false">Transactions!D785</f>
        <v>51.75</v>
      </c>
      <c r="F785" s="1" t="str">
        <f aca="false">Transactions!H785</f>
        <v>ATM</v>
      </c>
      <c r="G785" s="1" t="str">
        <f aca="false">Transactions!G785</f>
        <v>Cash Withdrawal</v>
      </c>
      <c r="H785" s="1" t="n">
        <f aca="false">IF(COUNTIFS($B$2:$B$1489,B785,$C$2:$C$1489,C785,$D$2:$D$1489,D785)&gt;6,1,0)</f>
        <v>0</v>
      </c>
      <c r="I785" s="1" t="n">
        <f aca="false">IF(AND(F785="Wire",E785&gt;=1000,MOD(E785,1000)=0),1,0)</f>
        <v>0</v>
      </c>
      <c r="J785" s="1" t="n">
        <f aca="false">IF(AND(F785="ATM",E785&gt;2000,D785&lt;=4),1,0)</f>
        <v>0</v>
      </c>
      <c r="K785" s="1" t="n">
        <f aca="false">IF(COUNTIF('SQL Findings'!$A$4:$A$18,B785)&gt;0,1,0)</f>
        <v>0</v>
      </c>
      <c r="L785" s="1" t="n">
        <f aca="false">SUM(H785:K785)</f>
        <v>0</v>
      </c>
      <c r="M785" s="1" t="str">
        <f aca="false">IF(L785&gt;=2,"High",IF(L785=1,"Medium","Low"))</f>
        <v>Low</v>
      </c>
    </row>
    <row r="786" customFormat="false" ht="15" hidden="false" customHeight="true" outlineLevel="0" collapsed="false">
      <c r="A786" s="1" t="str">
        <f aca="false">Transactions!A786</f>
        <v>TXN501233</v>
      </c>
      <c r="B786" s="1" t="str">
        <f aca="false">Transactions!B786</f>
        <v>ACC1054</v>
      </c>
      <c r="C786" s="1" t="str">
        <f aca="false">Transactions!I786</f>
        <v>2026-02-18</v>
      </c>
      <c r="D786" s="1" t="n">
        <f aca="false">Transactions!J786</f>
        <v>2</v>
      </c>
      <c r="E786" s="1" t="n">
        <f aca="false">Transactions!D786</f>
        <v>61.59</v>
      </c>
      <c r="F786" s="1" t="str">
        <f aca="false">Transactions!H786</f>
        <v>ATM</v>
      </c>
      <c r="G786" s="1" t="str">
        <f aca="false">Transactions!G786</f>
        <v>Cash Withdrawal</v>
      </c>
      <c r="H786" s="1" t="n">
        <f aca="false">IF(COUNTIFS($B$2:$B$1489,B786,$C$2:$C$1489,C786,$D$2:$D$1489,D786)&gt;6,1,0)</f>
        <v>0</v>
      </c>
      <c r="I786" s="1" t="n">
        <f aca="false">IF(AND(F786="Wire",E786&gt;=1000,MOD(E786,1000)=0),1,0)</f>
        <v>0</v>
      </c>
      <c r="J786" s="1" t="n">
        <f aca="false">IF(AND(F786="ATM",E786&gt;2000,D786&lt;=4),1,0)</f>
        <v>0</v>
      </c>
      <c r="K786" s="1" t="n">
        <f aca="false">IF(COUNTIF('SQL Findings'!$A$4:$A$18,B786)&gt;0,1,0)</f>
        <v>0</v>
      </c>
      <c r="L786" s="1" t="n">
        <f aca="false">SUM(H786:K786)</f>
        <v>0</v>
      </c>
      <c r="M786" s="1" t="str">
        <f aca="false">IF(L786&gt;=2,"High",IF(L786=1,"Medium","Low"))</f>
        <v>Low</v>
      </c>
    </row>
    <row r="787" customFormat="false" ht="15" hidden="false" customHeight="true" outlineLevel="0" collapsed="false">
      <c r="A787" s="1" t="str">
        <f aca="false">Transactions!A787</f>
        <v>TXN500324</v>
      </c>
      <c r="B787" s="1" t="str">
        <f aca="false">Transactions!B787</f>
        <v>ACC1014</v>
      </c>
      <c r="C787" s="1" t="str">
        <f aca="false">Transactions!I787</f>
        <v>2026-02-18</v>
      </c>
      <c r="D787" s="1" t="n">
        <f aca="false">Transactions!J787</f>
        <v>6</v>
      </c>
      <c r="E787" s="1" t="n">
        <f aca="false">Transactions!D787</f>
        <v>438.41</v>
      </c>
      <c r="F787" s="1" t="str">
        <f aca="false">Transactions!H787</f>
        <v>ATM</v>
      </c>
      <c r="G787" s="1" t="str">
        <f aca="false">Transactions!G787</f>
        <v>Travel</v>
      </c>
      <c r="H787" s="1" t="n">
        <f aca="false">IF(COUNTIFS($B$2:$B$1489,B787,$C$2:$C$1489,C787,$D$2:$D$1489,D787)&gt;6,1,0)</f>
        <v>0</v>
      </c>
      <c r="I787" s="1" t="n">
        <f aca="false">IF(AND(F787="Wire",E787&gt;=1000,MOD(E787,1000)=0),1,0)</f>
        <v>0</v>
      </c>
      <c r="J787" s="1" t="n">
        <f aca="false">IF(AND(F787="ATM",E787&gt;2000,D787&lt;=4),1,0)</f>
        <v>0</v>
      </c>
      <c r="K787" s="1" t="n">
        <f aca="false">IF(COUNTIF('SQL Findings'!$A$4:$A$18,B787)&gt;0,1,0)</f>
        <v>1</v>
      </c>
      <c r="L787" s="1" t="n">
        <f aca="false">SUM(H787:K787)</f>
        <v>1</v>
      </c>
      <c r="M787" s="1" t="str">
        <f aca="false">IF(L787&gt;=2,"High",IF(L787=1,"Medium","Low"))</f>
        <v>Medium</v>
      </c>
    </row>
    <row r="788" customFormat="false" ht="15" hidden="false" customHeight="true" outlineLevel="0" collapsed="false">
      <c r="A788" s="1" t="str">
        <f aca="false">Transactions!A788</f>
        <v>TXN500557</v>
      </c>
      <c r="B788" s="1" t="str">
        <f aca="false">Transactions!B788</f>
        <v>ACC1024</v>
      </c>
      <c r="C788" s="1" t="str">
        <f aca="false">Transactions!I788</f>
        <v>2026-02-18</v>
      </c>
      <c r="D788" s="1" t="n">
        <f aca="false">Transactions!J788</f>
        <v>6</v>
      </c>
      <c r="E788" s="1" t="n">
        <f aca="false">Transactions!D788</f>
        <v>43</v>
      </c>
      <c r="F788" s="1" t="str">
        <f aca="false">Transactions!H788</f>
        <v>Online</v>
      </c>
      <c r="G788" s="1" t="str">
        <f aca="false">Transactions!G788</f>
        <v>Utilities</v>
      </c>
      <c r="H788" s="1" t="n">
        <f aca="false">IF(COUNTIFS($B$2:$B$1489,B788,$C$2:$C$1489,C788,$D$2:$D$1489,D788)&gt;6,1,0)</f>
        <v>0</v>
      </c>
      <c r="I788" s="1" t="n">
        <f aca="false">IF(AND(F788="Wire",E788&gt;=1000,MOD(E788,1000)=0),1,0)</f>
        <v>0</v>
      </c>
      <c r="J788" s="1" t="n">
        <f aca="false">IF(AND(F788="ATM",E788&gt;2000,D788&lt;=4),1,0)</f>
        <v>0</v>
      </c>
      <c r="K788" s="1" t="n">
        <f aca="false">IF(COUNTIF('SQL Findings'!$A$4:$A$18,B788)&gt;0,1,0)</f>
        <v>1</v>
      </c>
      <c r="L788" s="1" t="n">
        <f aca="false">SUM(H788:K788)</f>
        <v>1</v>
      </c>
      <c r="M788" s="1" t="str">
        <f aca="false">IF(L788&gt;=2,"High",IF(L788=1,"Medium","Low"))</f>
        <v>Medium</v>
      </c>
    </row>
    <row r="789" customFormat="false" ht="15" hidden="false" customHeight="true" outlineLevel="0" collapsed="false">
      <c r="A789" s="1" t="str">
        <f aca="false">Transactions!A789</f>
        <v>TXN500567</v>
      </c>
      <c r="B789" s="1" t="str">
        <f aca="false">Transactions!B789</f>
        <v>ACC1025</v>
      </c>
      <c r="C789" s="1" t="str">
        <f aca="false">Transactions!I789</f>
        <v>2026-02-18</v>
      </c>
      <c r="D789" s="1" t="n">
        <f aca="false">Transactions!J789</f>
        <v>8</v>
      </c>
      <c r="E789" s="1" t="n">
        <f aca="false">Transactions!D789</f>
        <v>10.65</v>
      </c>
      <c r="F789" s="1" t="str">
        <f aca="false">Transactions!H789</f>
        <v>Online</v>
      </c>
      <c r="G789" s="1" t="str">
        <f aca="false">Transactions!G789</f>
        <v>Wire Transfer</v>
      </c>
      <c r="H789" s="1" t="n">
        <f aca="false">IF(COUNTIFS($B$2:$B$1489,B789,$C$2:$C$1489,C789,$D$2:$D$1489,D789)&gt;6,1,0)</f>
        <v>0</v>
      </c>
      <c r="I789" s="1" t="n">
        <f aca="false">IF(AND(F789="Wire",E789&gt;=1000,MOD(E789,1000)=0),1,0)</f>
        <v>0</v>
      </c>
      <c r="J789" s="1" t="n">
        <f aca="false">IF(AND(F789="ATM",E789&gt;2000,D789&lt;=4),1,0)</f>
        <v>0</v>
      </c>
      <c r="K789" s="1" t="n">
        <f aca="false">IF(COUNTIF('SQL Findings'!$A$4:$A$18,B789)&gt;0,1,0)</f>
        <v>0</v>
      </c>
      <c r="L789" s="1" t="n">
        <f aca="false">SUM(H789:K789)</f>
        <v>0</v>
      </c>
      <c r="M789" s="1" t="str">
        <f aca="false">IF(L789&gt;=2,"High",IF(L789=1,"Medium","Low"))</f>
        <v>Low</v>
      </c>
    </row>
    <row r="790" customFormat="false" ht="15" hidden="false" customHeight="true" outlineLevel="0" collapsed="false">
      <c r="A790" s="1" t="str">
        <f aca="false">Transactions!A790</f>
        <v>TXN500997</v>
      </c>
      <c r="B790" s="1" t="str">
        <f aca="false">Transactions!B790</f>
        <v>ACC1043</v>
      </c>
      <c r="C790" s="1" t="str">
        <f aca="false">Transactions!I790</f>
        <v>2026-02-18</v>
      </c>
      <c r="D790" s="1" t="n">
        <f aca="false">Transactions!J790</f>
        <v>10</v>
      </c>
      <c r="E790" s="1" t="n">
        <f aca="false">Transactions!D790</f>
        <v>336.27</v>
      </c>
      <c r="F790" s="1" t="str">
        <f aca="false">Transactions!H790</f>
        <v>POS</v>
      </c>
      <c r="G790" s="1" t="str">
        <f aca="false">Transactions!G790</f>
        <v>Retail</v>
      </c>
      <c r="H790" s="1" t="n">
        <f aca="false">IF(COUNTIFS($B$2:$B$1489,B790,$C$2:$C$1489,C790,$D$2:$D$1489,D790)&gt;6,1,0)</f>
        <v>0</v>
      </c>
      <c r="I790" s="1" t="n">
        <f aca="false">IF(AND(F790="Wire",E790&gt;=1000,MOD(E790,1000)=0),1,0)</f>
        <v>0</v>
      </c>
      <c r="J790" s="1" t="n">
        <f aca="false">IF(AND(F790="ATM",E790&gt;2000,D790&lt;=4),1,0)</f>
        <v>0</v>
      </c>
      <c r="K790" s="1" t="n">
        <f aca="false">IF(COUNTIF('SQL Findings'!$A$4:$A$18,B790)&gt;0,1,0)</f>
        <v>0</v>
      </c>
      <c r="L790" s="1" t="n">
        <f aca="false">SUM(H790:K790)</f>
        <v>0</v>
      </c>
      <c r="M790" s="1" t="str">
        <f aca="false">IF(L790&gt;=2,"High",IF(L790=1,"Medium","Low"))</f>
        <v>Low</v>
      </c>
    </row>
    <row r="791" customFormat="false" ht="15" hidden="false" customHeight="true" outlineLevel="0" collapsed="false">
      <c r="A791" s="1" t="str">
        <f aca="false">Transactions!A791</f>
        <v>TXN500945</v>
      </c>
      <c r="B791" s="1" t="str">
        <f aca="false">Transactions!B791</f>
        <v>ACC1041</v>
      </c>
      <c r="C791" s="1" t="str">
        <f aca="false">Transactions!I791</f>
        <v>2026-02-18</v>
      </c>
      <c r="D791" s="1" t="n">
        <f aca="false">Transactions!J791</f>
        <v>10</v>
      </c>
      <c r="E791" s="1" t="n">
        <f aca="false">Transactions!D791</f>
        <v>351.42</v>
      </c>
      <c r="F791" s="1" t="str">
        <f aca="false">Transactions!H791</f>
        <v>Online</v>
      </c>
      <c r="G791" s="1" t="str">
        <f aca="false">Transactions!G791</f>
        <v>Retail</v>
      </c>
      <c r="H791" s="1" t="n">
        <f aca="false">IF(COUNTIFS($B$2:$B$1489,B791,$C$2:$C$1489,C791,$D$2:$D$1489,D791)&gt;6,1,0)</f>
        <v>0</v>
      </c>
      <c r="I791" s="1" t="n">
        <f aca="false">IF(AND(F791="Wire",E791&gt;=1000,MOD(E791,1000)=0),1,0)</f>
        <v>0</v>
      </c>
      <c r="J791" s="1" t="n">
        <f aca="false">IF(AND(F791="ATM",E791&gt;2000,D791&lt;=4),1,0)</f>
        <v>0</v>
      </c>
      <c r="K791" s="1" t="n">
        <f aca="false">IF(COUNTIF('SQL Findings'!$A$4:$A$18,B791)&gt;0,1,0)</f>
        <v>1</v>
      </c>
      <c r="L791" s="1" t="n">
        <f aca="false">SUM(H791:K791)</f>
        <v>1</v>
      </c>
      <c r="M791" s="1" t="str">
        <f aca="false">IF(L791&gt;=2,"High",IF(L791=1,"Medium","Low"))</f>
        <v>Medium</v>
      </c>
    </row>
    <row r="792" customFormat="false" ht="15" hidden="false" customHeight="true" outlineLevel="0" collapsed="false">
      <c r="A792" s="1" t="str">
        <f aca="false">Transactions!A792</f>
        <v>TXN500483</v>
      </c>
      <c r="B792" s="1" t="str">
        <f aca="false">Transactions!B792</f>
        <v>ACC1021</v>
      </c>
      <c r="C792" s="1" t="str">
        <f aca="false">Transactions!I792</f>
        <v>2026-02-18</v>
      </c>
      <c r="D792" s="1" t="n">
        <f aca="false">Transactions!J792</f>
        <v>10</v>
      </c>
      <c r="E792" s="1" t="n">
        <f aca="false">Transactions!D792</f>
        <v>15.71</v>
      </c>
      <c r="F792" s="1" t="str">
        <f aca="false">Transactions!H792</f>
        <v>ATM</v>
      </c>
      <c r="G792" s="1" t="str">
        <f aca="false">Transactions!G792</f>
        <v>Travel</v>
      </c>
      <c r="H792" s="1" t="n">
        <f aca="false">IF(COUNTIFS($B$2:$B$1489,B792,$C$2:$C$1489,C792,$D$2:$D$1489,D792)&gt;6,1,0)</f>
        <v>0</v>
      </c>
      <c r="I792" s="1" t="n">
        <f aca="false">IF(AND(F792="Wire",E792&gt;=1000,MOD(E792,1000)=0),1,0)</f>
        <v>0</v>
      </c>
      <c r="J792" s="1" t="n">
        <f aca="false">IF(AND(F792="ATM",E792&gt;2000,D792&lt;=4),1,0)</f>
        <v>0</v>
      </c>
      <c r="K792" s="1" t="n">
        <f aca="false">IF(COUNTIF('SQL Findings'!$A$4:$A$18,B792)&gt;0,1,0)</f>
        <v>0</v>
      </c>
      <c r="L792" s="1" t="n">
        <f aca="false">SUM(H792:K792)</f>
        <v>0</v>
      </c>
      <c r="M792" s="1" t="str">
        <f aca="false">IF(L792&gt;=2,"High",IF(L792=1,"Medium","Low"))</f>
        <v>Low</v>
      </c>
    </row>
    <row r="793" customFormat="false" ht="15" hidden="false" customHeight="true" outlineLevel="0" collapsed="false">
      <c r="A793" s="1" t="str">
        <f aca="false">Transactions!A793</f>
        <v>TXN500109</v>
      </c>
      <c r="B793" s="1" t="str">
        <f aca="false">Transactions!B793</f>
        <v>ACC1004</v>
      </c>
      <c r="C793" s="1" t="str">
        <f aca="false">Transactions!I793</f>
        <v>2026-02-18</v>
      </c>
      <c r="D793" s="1" t="n">
        <f aca="false">Transactions!J793</f>
        <v>11</v>
      </c>
      <c r="E793" s="1" t="n">
        <f aca="false">Transactions!D793</f>
        <v>84.08</v>
      </c>
      <c r="F793" s="1" t="str">
        <f aca="false">Transactions!H793</f>
        <v>Online</v>
      </c>
      <c r="G793" s="1" t="str">
        <f aca="false">Transactions!G793</f>
        <v>Utilities</v>
      </c>
      <c r="H793" s="1" t="n">
        <f aca="false">IF(COUNTIFS($B$2:$B$1489,B793,$C$2:$C$1489,C793,$D$2:$D$1489,D793)&gt;6,1,0)</f>
        <v>0</v>
      </c>
      <c r="I793" s="1" t="n">
        <f aca="false">IF(AND(F793="Wire",E793&gt;=1000,MOD(E793,1000)=0),1,0)</f>
        <v>0</v>
      </c>
      <c r="J793" s="1" t="n">
        <f aca="false">IF(AND(F793="ATM",E793&gt;2000,D793&lt;=4),1,0)</f>
        <v>0</v>
      </c>
      <c r="K793" s="1" t="n">
        <f aca="false">IF(COUNTIF('SQL Findings'!$A$4:$A$18,B793)&gt;0,1,0)</f>
        <v>1</v>
      </c>
      <c r="L793" s="1" t="n">
        <f aca="false">SUM(H793:K793)</f>
        <v>1</v>
      </c>
      <c r="M793" s="1" t="str">
        <f aca="false">IF(L793&gt;=2,"High",IF(L793=1,"Medium","Low"))</f>
        <v>Medium</v>
      </c>
    </row>
    <row r="794" customFormat="false" ht="15" hidden="false" customHeight="true" outlineLevel="0" collapsed="false">
      <c r="A794" s="1" t="str">
        <f aca="false">Transactions!A794</f>
        <v>TXN500156</v>
      </c>
      <c r="B794" s="1" t="str">
        <f aca="false">Transactions!B794</f>
        <v>ACC1006</v>
      </c>
      <c r="C794" s="1" t="str">
        <f aca="false">Transactions!I794</f>
        <v>2026-02-18</v>
      </c>
      <c r="D794" s="1" t="n">
        <f aca="false">Transactions!J794</f>
        <v>11</v>
      </c>
      <c r="E794" s="1" t="n">
        <f aca="false">Transactions!D794</f>
        <v>35.06</v>
      </c>
      <c r="F794" s="1" t="str">
        <f aca="false">Transactions!H794</f>
        <v>ATM</v>
      </c>
      <c r="G794" s="1" t="str">
        <f aca="false">Transactions!G794</f>
        <v>Utilities</v>
      </c>
      <c r="H794" s="1" t="n">
        <f aca="false">IF(COUNTIFS($B$2:$B$1489,B794,$C$2:$C$1489,C794,$D$2:$D$1489,D794)&gt;6,1,0)</f>
        <v>0</v>
      </c>
      <c r="I794" s="1" t="n">
        <f aca="false">IF(AND(F794="Wire",E794&gt;=1000,MOD(E794,1000)=0),1,0)</f>
        <v>0</v>
      </c>
      <c r="J794" s="1" t="n">
        <f aca="false">IF(AND(F794="ATM",E794&gt;2000,D794&lt;=4),1,0)</f>
        <v>0</v>
      </c>
      <c r="K794" s="1" t="n">
        <f aca="false">IF(COUNTIF('SQL Findings'!$A$4:$A$18,B794)&gt;0,1,0)</f>
        <v>0</v>
      </c>
      <c r="L794" s="1" t="n">
        <f aca="false">SUM(H794:K794)</f>
        <v>0</v>
      </c>
      <c r="M794" s="1" t="str">
        <f aca="false">IF(L794&gt;=2,"High",IF(L794=1,"Medium","Low"))</f>
        <v>Low</v>
      </c>
    </row>
    <row r="795" customFormat="false" ht="15" hidden="false" customHeight="true" outlineLevel="0" collapsed="false">
      <c r="A795" s="1" t="str">
        <f aca="false">Transactions!A795</f>
        <v>TXN501200</v>
      </c>
      <c r="B795" s="1" t="str">
        <f aca="false">Transactions!B795</f>
        <v>ACC1052</v>
      </c>
      <c r="C795" s="1" t="str">
        <f aca="false">Transactions!I795</f>
        <v>2026-02-18</v>
      </c>
      <c r="D795" s="1" t="n">
        <f aca="false">Transactions!J795</f>
        <v>12</v>
      </c>
      <c r="E795" s="1" t="n">
        <f aca="false">Transactions!D795</f>
        <v>227.63</v>
      </c>
      <c r="F795" s="1" t="str">
        <f aca="false">Transactions!H795</f>
        <v>Online</v>
      </c>
      <c r="G795" s="1" t="str">
        <f aca="false">Transactions!G795</f>
        <v>Dining</v>
      </c>
      <c r="H795" s="1" t="n">
        <f aca="false">IF(COUNTIFS($B$2:$B$1489,B795,$C$2:$C$1489,C795,$D$2:$D$1489,D795)&gt;6,1,0)</f>
        <v>0</v>
      </c>
      <c r="I795" s="1" t="n">
        <f aca="false">IF(AND(F795="Wire",E795&gt;=1000,MOD(E795,1000)=0),1,0)</f>
        <v>0</v>
      </c>
      <c r="J795" s="1" t="n">
        <f aca="false">IF(AND(F795="ATM",E795&gt;2000,D795&lt;=4),1,0)</f>
        <v>0</v>
      </c>
      <c r="K795" s="1" t="n">
        <f aca="false">IF(COUNTIF('SQL Findings'!$A$4:$A$18,B795)&gt;0,1,0)</f>
        <v>0</v>
      </c>
      <c r="L795" s="1" t="n">
        <f aca="false">SUM(H795:K795)</f>
        <v>0</v>
      </c>
      <c r="M795" s="1" t="str">
        <f aca="false">IF(L795&gt;=2,"High",IF(L795=1,"Medium","Low"))</f>
        <v>Low</v>
      </c>
    </row>
    <row r="796" customFormat="false" ht="15" hidden="false" customHeight="true" outlineLevel="0" collapsed="false">
      <c r="A796" s="1" t="str">
        <f aca="false">Transactions!A796</f>
        <v>TXN501191</v>
      </c>
      <c r="B796" s="1" t="str">
        <f aca="false">Transactions!B796</f>
        <v>ACC1052</v>
      </c>
      <c r="C796" s="1" t="str">
        <f aca="false">Transactions!I796</f>
        <v>2026-02-18</v>
      </c>
      <c r="D796" s="1" t="n">
        <f aca="false">Transactions!J796</f>
        <v>12</v>
      </c>
      <c r="E796" s="1" t="n">
        <f aca="false">Transactions!D796</f>
        <v>73.32</v>
      </c>
      <c r="F796" s="1" t="str">
        <f aca="false">Transactions!H796</f>
        <v>Online</v>
      </c>
      <c r="G796" s="1" t="str">
        <f aca="false">Transactions!G796</f>
        <v>Electronics</v>
      </c>
      <c r="H796" s="1" t="n">
        <f aca="false">IF(COUNTIFS($B$2:$B$1489,B796,$C$2:$C$1489,C796,$D$2:$D$1489,D796)&gt;6,1,0)</f>
        <v>0</v>
      </c>
      <c r="I796" s="1" t="n">
        <f aca="false">IF(AND(F796="Wire",E796&gt;=1000,MOD(E796,1000)=0),1,0)</f>
        <v>0</v>
      </c>
      <c r="J796" s="1" t="n">
        <f aca="false">IF(AND(F796="ATM",E796&gt;2000,D796&lt;=4),1,0)</f>
        <v>0</v>
      </c>
      <c r="K796" s="1" t="n">
        <f aca="false">IF(COUNTIF('SQL Findings'!$A$4:$A$18,B796)&gt;0,1,0)</f>
        <v>0</v>
      </c>
      <c r="L796" s="1" t="n">
        <f aca="false">SUM(H796:K796)</f>
        <v>0</v>
      </c>
      <c r="M796" s="1" t="str">
        <f aca="false">IF(L796&gt;=2,"High",IF(L796=1,"Medium","Low"))</f>
        <v>Low</v>
      </c>
    </row>
    <row r="797" customFormat="false" ht="15" hidden="false" customHeight="true" outlineLevel="0" collapsed="false">
      <c r="A797" s="1" t="str">
        <f aca="false">Transactions!A797</f>
        <v>TXN500711</v>
      </c>
      <c r="B797" s="1" t="str">
        <f aca="false">Transactions!B797</f>
        <v>ACC1030</v>
      </c>
      <c r="C797" s="1" t="str">
        <f aca="false">Transactions!I797</f>
        <v>2026-02-18</v>
      </c>
      <c r="D797" s="1" t="n">
        <f aca="false">Transactions!J797</f>
        <v>14</v>
      </c>
      <c r="E797" s="1" t="n">
        <f aca="false">Transactions!D797</f>
        <v>80.63</v>
      </c>
      <c r="F797" s="1" t="str">
        <f aca="false">Transactions!H797</f>
        <v>POS</v>
      </c>
      <c r="G797" s="1" t="str">
        <f aca="false">Transactions!G797</f>
        <v>Cash Withdrawal</v>
      </c>
      <c r="H797" s="1" t="n">
        <f aca="false">IF(COUNTIFS($B$2:$B$1489,B797,$C$2:$C$1489,C797,$D$2:$D$1489,D797)&gt;6,1,0)</f>
        <v>0</v>
      </c>
      <c r="I797" s="1" t="n">
        <f aca="false">IF(AND(F797="Wire",E797&gt;=1000,MOD(E797,1000)=0),1,0)</f>
        <v>0</v>
      </c>
      <c r="J797" s="1" t="n">
        <f aca="false">IF(AND(F797="ATM",E797&gt;2000,D797&lt;=4),1,0)</f>
        <v>0</v>
      </c>
      <c r="K797" s="1" t="n">
        <f aca="false">IF(COUNTIF('SQL Findings'!$A$4:$A$18,B797)&gt;0,1,0)</f>
        <v>1</v>
      </c>
      <c r="L797" s="1" t="n">
        <f aca="false">SUM(H797:K797)</f>
        <v>1</v>
      </c>
      <c r="M797" s="1" t="str">
        <f aca="false">IF(L797&gt;=2,"High",IF(L797=1,"Medium","Low"))</f>
        <v>Medium</v>
      </c>
    </row>
    <row r="798" customFormat="false" ht="15" hidden="false" customHeight="true" outlineLevel="0" collapsed="false">
      <c r="A798" s="1" t="str">
        <f aca="false">Transactions!A798</f>
        <v>TXN500087</v>
      </c>
      <c r="B798" s="1" t="str">
        <f aca="false">Transactions!B798</f>
        <v>ACC1003</v>
      </c>
      <c r="C798" s="1" t="str">
        <f aca="false">Transactions!I798</f>
        <v>2026-02-18</v>
      </c>
      <c r="D798" s="1" t="n">
        <f aca="false">Transactions!J798</f>
        <v>14</v>
      </c>
      <c r="E798" s="1" t="n">
        <f aca="false">Transactions!D798</f>
        <v>152</v>
      </c>
      <c r="F798" s="1" t="str">
        <f aca="false">Transactions!H798</f>
        <v>ATM</v>
      </c>
      <c r="G798" s="1" t="str">
        <f aca="false">Transactions!G798</f>
        <v>Travel</v>
      </c>
      <c r="H798" s="1" t="n">
        <f aca="false">IF(COUNTIFS($B$2:$B$1489,B798,$C$2:$C$1489,C798,$D$2:$D$1489,D798)&gt;6,1,0)</f>
        <v>0</v>
      </c>
      <c r="I798" s="1" t="n">
        <f aca="false">IF(AND(F798="Wire",E798&gt;=1000,MOD(E798,1000)=0),1,0)</f>
        <v>0</v>
      </c>
      <c r="J798" s="1" t="n">
        <f aca="false">IF(AND(F798="ATM",E798&gt;2000,D798&lt;=4),1,0)</f>
        <v>0</v>
      </c>
      <c r="K798" s="1" t="n">
        <f aca="false">IF(COUNTIF('SQL Findings'!$A$4:$A$18,B798)&gt;0,1,0)</f>
        <v>0</v>
      </c>
      <c r="L798" s="1" t="n">
        <f aca="false">SUM(H798:K798)</f>
        <v>0</v>
      </c>
      <c r="M798" s="1" t="str">
        <f aca="false">IF(L798&gt;=2,"High",IF(L798=1,"Medium","Low"))</f>
        <v>Low</v>
      </c>
    </row>
    <row r="799" customFormat="false" ht="15" hidden="false" customHeight="true" outlineLevel="0" collapsed="false">
      <c r="A799" s="1" t="str">
        <f aca="false">Transactions!A799</f>
        <v>TXN500487</v>
      </c>
      <c r="B799" s="1" t="str">
        <f aca="false">Transactions!B799</f>
        <v>ACC1021</v>
      </c>
      <c r="C799" s="1" t="str">
        <f aca="false">Transactions!I799</f>
        <v>2026-02-18</v>
      </c>
      <c r="D799" s="1" t="n">
        <f aca="false">Transactions!J799</f>
        <v>17</v>
      </c>
      <c r="E799" s="1" t="n">
        <f aca="false">Transactions!D799</f>
        <v>37.27</v>
      </c>
      <c r="F799" s="1" t="str">
        <f aca="false">Transactions!H799</f>
        <v>Online</v>
      </c>
      <c r="G799" s="1" t="str">
        <f aca="false">Transactions!G799</f>
        <v>Online Marketplace</v>
      </c>
      <c r="H799" s="1" t="n">
        <f aca="false">IF(COUNTIFS($B$2:$B$1489,B799,$C$2:$C$1489,C799,$D$2:$D$1489,D799)&gt;6,1,0)</f>
        <v>0</v>
      </c>
      <c r="I799" s="1" t="n">
        <f aca="false">IF(AND(F799="Wire",E799&gt;=1000,MOD(E799,1000)=0),1,0)</f>
        <v>0</v>
      </c>
      <c r="J799" s="1" t="n">
        <f aca="false">IF(AND(F799="ATM",E799&gt;2000,D799&lt;=4),1,0)</f>
        <v>0</v>
      </c>
      <c r="K799" s="1" t="n">
        <f aca="false">IF(COUNTIF('SQL Findings'!$A$4:$A$18,B799)&gt;0,1,0)</f>
        <v>0</v>
      </c>
      <c r="L799" s="1" t="n">
        <f aca="false">SUM(H799:K799)</f>
        <v>0</v>
      </c>
      <c r="M799" s="1" t="str">
        <f aca="false">IF(L799&gt;=2,"High",IF(L799=1,"Medium","Low"))</f>
        <v>Low</v>
      </c>
    </row>
    <row r="800" customFormat="false" ht="15" hidden="false" customHeight="true" outlineLevel="0" collapsed="false">
      <c r="A800" s="1" t="str">
        <f aca="false">Transactions!A800</f>
        <v>TXN500803</v>
      </c>
      <c r="B800" s="1" t="str">
        <f aca="false">Transactions!B800</f>
        <v>ACC1034</v>
      </c>
      <c r="C800" s="1" t="str">
        <f aca="false">Transactions!I800</f>
        <v>2026-02-18</v>
      </c>
      <c r="D800" s="1" t="n">
        <f aca="false">Transactions!J800</f>
        <v>17</v>
      </c>
      <c r="E800" s="1" t="n">
        <f aca="false">Transactions!D800</f>
        <v>72.71</v>
      </c>
      <c r="F800" s="1" t="str">
        <f aca="false">Transactions!H800</f>
        <v>POS</v>
      </c>
      <c r="G800" s="1" t="str">
        <f aca="false">Transactions!G800</f>
        <v>Utilities</v>
      </c>
      <c r="H800" s="1" t="n">
        <f aca="false">IF(COUNTIFS($B$2:$B$1489,B800,$C$2:$C$1489,C800,$D$2:$D$1489,D800)&gt;6,1,0)</f>
        <v>0</v>
      </c>
      <c r="I800" s="1" t="n">
        <f aca="false">IF(AND(F800="Wire",E800&gt;=1000,MOD(E800,1000)=0),1,0)</f>
        <v>0</v>
      </c>
      <c r="J800" s="1" t="n">
        <f aca="false">IF(AND(F800="ATM",E800&gt;2000,D800&lt;=4),1,0)</f>
        <v>0</v>
      </c>
      <c r="K800" s="1" t="n">
        <f aca="false">IF(COUNTIF('SQL Findings'!$A$4:$A$18,B800)&gt;0,1,0)</f>
        <v>0</v>
      </c>
      <c r="L800" s="1" t="n">
        <f aca="false">SUM(H800:K800)</f>
        <v>0</v>
      </c>
      <c r="M800" s="1" t="str">
        <f aca="false">IF(L800&gt;=2,"High",IF(L800=1,"Medium","Low"))</f>
        <v>Low</v>
      </c>
    </row>
    <row r="801" customFormat="false" ht="15" hidden="false" customHeight="true" outlineLevel="0" collapsed="false">
      <c r="A801" s="1" t="str">
        <f aca="false">Transactions!A801</f>
        <v>TXN500686</v>
      </c>
      <c r="B801" s="1" t="str">
        <f aca="false">Transactions!B801</f>
        <v>ACC1029</v>
      </c>
      <c r="C801" s="1" t="str">
        <f aca="false">Transactions!I801</f>
        <v>2026-02-18</v>
      </c>
      <c r="D801" s="1" t="n">
        <f aca="false">Transactions!J801</f>
        <v>17</v>
      </c>
      <c r="E801" s="1" t="n">
        <f aca="false">Transactions!D801</f>
        <v>126.68</v>
      </c>
      <c r="F801" s="1" t="str">
        <f aca="false">Transactions!H801</f>
        <v>POS</v>
      </c>
      <c r="G801" s="1" t="str">
        <f aca="false">Transactions!G801</f>
        <v>Utilities</v>
      </c>
      <c r="H801" s="1" t="n">
        <f aca="false">IF(COUNTIFS($B$2:$B$1489,B801,$C$2:$C$1489,C801,$D$2:$D$1489,D801)&gt;6,1,0)</f>
        <v>0</v>
      </c>
      <c r="I801" s="1" t="n">
        <f aca="false">IF(AND(F801="Wire",E801&gt;=1000,MOD(E801,1000)=0),1,0)</f>
        <v>0</v>
      </c>
      <c r="J801" s="1" t="n">
        <f aca="false">IF(AND(F801="ATM",E801&gt;2000,D801&lt;=4),1,0)</f>
        <v>0</v>
      </c>
      <c r="K801" s="1" t="n">
        <f aca="false">IF(COUNTIF('SQL Findings'!$A$4:$A$18,B801)&gt;0,1,0)</f>
        <v>0</v>
      </c>
      <c r="L801" s="1" t="n">
        <f aca="false">SUM(H801:K801)</f>
        <v>0</v>
      </c>
      <c r="M801" s="1" t="str">
        <f aca="false">IF(L801&gt;=2,"High",IF(L801=1,"Medium","Low"))</f>
        <v>Low</v>
      </c>
    </row>
    <row r="802" customFormat="false" ht="15" hidden="false" customHeight="true" outlineLevel="0" collapsed="false">
      <c r="A802" s="1" t="str">
        <f aca="false">Transactions!A802</f>
        <v>TXN500981</v>
      </c>
      <c r="B802" s="1" t="str">
        <f aca="false">Transactions!B802</f>
        <v>ACC1043</v>
      </c>
      <c r="C802" s="1" t="str">
        <f aca="false">Transactions!I802</f>
        <v>2026-02-18</v>
      </c>
      <c r="D802" s="1" t="n">
        <f aca="false">Transactions!J802</f>
        <v>22</v>
      </c>
      <c r="E802" s="1" t="n">
        <f aca="false">Transactions!D802</f>
        <v>135.26</v>
      </c>
      <c r="F802" s="1" t="str">
        <f aca="false">Transactions!H802</f>
        <v>Online</v>
      </c>
      <c r="G802" s="1" t="str">
        <f aca="false">Transactions!G802</f>
        <v>Wire Transfer</v>
      </c>
      <c r="H802" s="1" t="n">
        <f aca="false">IF(COUNTIFS($B$2:$B$1489,B802,$C$2:$C$1489,C802,$D$2:$D$1489,D802)&gt;6,1,0)</f>
        <v>0</v>
      </c>
      <c r="I802" s="1" t="n">
        <f aca="false">IF(AND(F802="Wire",E802&gt;=1000,MOD(E802,1000)=0),1,0)</f>
        <v>0</v>
      </c>
      <c r="J802" s="1" t="n">
        <f aca="false">IF(AND(F802="ATM",E802&gt;2000,D802&lt;=4),1,0)</f>
        <v>0</v>
      </c>
      <c r="K802" s="1" t="n">
        <f aca="false">IF(COUNTIF('SQL Findings'!$A$4:$A$18,B802)&gt;0,1,0)</f>
        <v>0</v>
      </c>
      <c r="L802" s="1" t="n">
        <f aca="false">SUM(H802:K802)</f>
        <v>0</v>
      </c>
      <c r="M802" s="1" t="str">
        <f aca="false">IF(L802&gt;=2,"High",IF(L802=1,"Medium","Low"))</f>
        <v>Low</v>
      </c>
    </row>
    <row r="803" customFormat="false" ht="15" hidden="false" customHeight="true" outlineLevel="0" collapsed="false">
      <c r="A803" s="1" t="str">
        <f aca="false">Transactions!A803</f>
        <v>TXN501289</v>
      </c>
      <c r="B803" s="1" t="str">
        <f aca="false">Transactions!B803</f>
        <v>ACC1056</v>
      </c>
      <c r="C803" s="1" t="str">
        <f aca="false">Transactions!I803</f>
        <v>2026-02-19</v>
      </c>
      <c r="D803" s="1" t="n">
        <f aca="false">Transactions!J803</f>
        <v>2</v>
      </c>
      <c r="E803" s="1" t="n">
        <f aca="false">Transactions!D803</f>
        <v>24.7</v>
      </c>
      <c r="F803" s="1" t="str">
        <f aca="false">Transactions!H803</f>
        <v>POS</v>
      </c>
      <c r="G803" s="1" t="str">
        <f aca="false">Transactions!G803</f>
        <v>Wire Transfer</v>
      </c>
      <c r="H803" s="1" t="n">
        <f aca="false">IF(COUNTIFS($B$2:$B$1489,B803,$C$2:$C$1489,C803,$D$2:$D$1489,D803)&gt;6,1,0)</f>
        <v>0</v>
      </c>
      <c r="I803" s="1" t="n">
        <f aca="false">IF(AND(F803="Wire",E803&gt;=1000,MOD(E803,1000)=0),1,0)</f>
        <v>0</v>
      </c>
      <c r="J803" s="1" t="n">
        <f aca="false">IF(AND(F803="ATM",E803&gt;2000,D803&lt;=4),1,0)</f>
        <v>0</v>
      </c>
      <c r="K803" s="1" t="n">
        <f aca="false">IF(COUNTIF('SQL Findings'!$A$4:$A$18,B803)&gt;0,1,0)</f>
        <v>0</v>
      </c>
      <c r="L803" s="1" t="n">
        <f aca="false">SUM(H803:K803)</f>
        <v>0</v>
      </c>
      <c r="M803" s="1" t="str">
        <f aca="false">IF(L803&gt;=2,"High",IF(L803=1,"Medium","Low"))</f>
        <v>Low</v>
      </c>
    </row>
    <row r="804" customFormat="false" ht="15" hidden="false" customHeight="true" outlineLevel="0" collapsed="false">
      <c r="A804" s="1" t="str">
        <f aca="false">Transactions!A804</f>
        <v>TXN500652</v>
      </c>
      <c r="B804" s="1" t="str">
        <f aca="false">Transactions!B804</f>
        <v>ACC1028</v>
      </c>
      <c r="C804" s="1" t="str">
        <f aca="false">Transactions!I804</f>
        <v>2026-02-19</v>
      </c>
      <c r="D804" s="1" t="n">
        <f aca="false">Transactions!J804</f>
        <v>5</v>
      </c>
      <c r="E804" s="1" t="n">
        <f aca="false">Transactions!D804</f>
        <v>183.81</v>
      </c>
      <c r="F804" s="1" t="str">
        <f aca="false">Transactions!H804</f>
        <v>ATM</v>
      </c>
      <c r="G804" s="1" t="str">
        <f aca="false">Transactions!G804</f>
        <v>Electronics</v>
      </c>
      <c r="H804" s="1" t="n">
        <f aca="false">IF(COUNTIFS($B$2:$B$1489,B804,$C$2:$C$1489,C804,$D$2:$D$1489,D804)&gt;6,1,0)</f>
        <v>0</v>
      </c>
      <c r="I804" s="1" t="n">
        <f aca="false">IF(AND(F804="Wire",E804&gt;=1000,MOD(E804,1000)=0),1,0)</f>
        <v>0</v>
      </c>
      <c r="J804" s="1" t="n">
        <f aca="false">IF(AND(F804="ATM",E804&gt;2000,D804&lt;=4),1,0)</f>
        <v>0</v>
      </c>
      <c r="K804" s="1" t="n">
        <f aca="false">IF(COUNTIF('SQL Findings'!$A$4:$A$18,B804)&gt;0,1,0)</f>
        <v>0</v>
      </c>
      <c r="L804" s="1" t="n">
        <f aca="false">SUM(H804:K804)</f>
        <v>0</v>
      </c>
      <c r="M804" s="1" t="str">
        <f aca="false">IF(L804&gt;=2,"High",IF(L804=1,"Medium","Low"))</f>
        <v>Low</v>
      </c>
    </row>
    <row r="805" customFormat="false" ht="15" hidden="false" customHeight="true" outlineLevel="0" collapsed="false">
      <c r="A805" s="1" t="str">
        <f aca="false">Transactions!A805</f>
        <v>TXN500042</v>
      </c>
      <c r="B805" s="1" t="str">
        <f aca="false">Transactions!B805</f>
        <v>ACC1001</v>
      </c>
      <c r="C805" s="1" t="str">
        <f aca="false">Transactions!I805</f>
        <v>2026-02-19</v>
      </c>
      <c r="D805" s="1" t="n">
        <f aca="false">Transactions!J805</f>
        <v>8</v>
      </c>
      <c r="E805" s="1" t="n">
        <f aca="false">Transactions!D805</f>
        <v>77.81</v>
      </c>
      <c r="F805" s="1" t="str">
        <f aca="false">Transactions!H805</f>
        <v>Online</v>
      </c>
      <c r="G805" s="1" t="str">
        <f aca="false">Transactions!G805</f>
        <v>Online Marketplace</v>
      </c>
      <c r="H805" s="1" t="n">
        <f aca="false">IF(COUNTIFS($B$2:$B$1489,B805,$C$2:$C$1489,C805,$D$2:$D$1489,D805)&gt;6,1,0)</f>
        <v>0</v>
      </c>
      <c r="I805" s="1" t="n">
        <f aca="false">IF(AND(F805="Wire",E805&gt;=1000,MOD(E805,1000)=0),1,0)</f>
        <v>0</v>
      </c>
      <c r="J805" s="1" t="n">
        <f aca="false">IF(AND(F805="ATM",E805&gt;2000,D805&lt;=4),1,0)</f>
        <v>0</v>
      </c>
      <c r="K805" s="1" t="n">
        <f aca="false">IF(COUNTIF('SQL Findings'!$A$4:$A$18,B805)&gt;0,1,0)</f>
        <v>1</v>
      </c>
      <c r="L805" s="1" t="n">
        <f aca="false">SUM(H805:K805)</f>
        <v>1</v>
      </c>
      <c r="M805" s="1" t="str">
        <f aca="false">IF(L805&gt;=2,"High",IF(L805=1,"Medium","Low"))</f>
        <v>Medium</v>
      </c>
    </row>
    <row r="806" customFormat="false" ht="15" hidden="false" customHeight="true" outlineLevel="0" collapsed="false">
      <c r="A806" s="1" t="str">
        <f aca="false">Transactions!A806</f>
        <v>TXN501371</v>
      </c>
      <c r="B806" s="1" t="str">
        <f aca="false">Transactions!B806</f>
        <v>ACC1059</v>
      </c>
      <c r="C806" s="1" t="str">
        <f aca="false">Transactions!I806</f>
        <v>2026-02-19</v>
      </c>
      <c r="D806" s="1" t="n">
        <f aca="false">Transactions!J806</f>
        <v>9</v>
      </c>
      <c r="E806" s="1" t="n">
        <f aca="false">Transactions!D806</f>
        <v>57.07</v>
      </c>
      <c r="F806" s="1" t="str">
        <f aca="false">Transactions!H806</f>
        <v>Online</v>
      </c>
      <c r="G806" s="1" t="str">
        <f aca="false">Transactions!G806</f>
        <v>Utilities</v>
      </c>
      <c r="H806" s="1" t="n">
        <f aca="false">IF(COUNTIFS($B$2:$B$1489,B806,$C$2:$C$1489,C806,$D$2:$D$1489,D806)&gt;6,1,0)</f>
        <v>0</v>
      </c>
      <c r="I806" s="1" t="n">
        <f aca="false">IF(AND(F806="Wire",E806&gt;=1000,MOD(E806,1000)=0),1,0)</f>
        <v>0</v>
      </c>
      <c r="J806" s="1" t="n">
        <f aca="false">IF(AND(F806="ATM",E806&gt;2000,D806&lt;=4),1,0)</f>
        <v>0</v>
      </c>
      <c r="K806" s="1" t="n">
        <f aca="false">IF(COUNTIF('SQL Findings'!$A$4:$A$18,B806)&gt;0,1,0)</f>
        <v>0</v>
      </c>
      <c r="L806" s="1" t="n">
        <f aca="false">SUM(H806:K806)</f>
        <v>0</v>
      </c>
      <c r="M806" s="1" t="str">
        <f aca="false">IF(L806&gt;=2,"High",IF(L806=1,"Medium","Low"))</f>
        <v>Low</v>
      </c>
    </row>
    <row r="807" customFormat="false" ht="15" hidden="false" customHeight="true" outlineLevel="0" collapsed="false">
      <c r="A807" s="1" t="str">
        <f aca="false">Transactions!A807</f>
        <v>TXN500550</v>
      </c>
      <c r="B807" s="1" t="str">
        <f aca="false">Transactions!B807</f>
        <v>ACC1024</v>
      </c>
      <c r="C807" s="1" t="str">
        <f aca="false">Transactions!I807</f>
        <v>2026-02-19</v>
      </c>
      <c r="D807" s="1" t="n">
        <f aca="false">Transactions!J807</f>
        <v>9</v>
      </c>
      <c r="E807" s="1" t="n">
        <f aca="false">Transactions!D807</f>
        <v>38.72</v>
      </c>
      <c r="F807" s="1" t="str">
        <f aca="false">Transactions!H807</f>
        <v>POS</v>
      </c>
      <c r="G807" s="1" t="str">
        <f aca="false">Transactions!G807</f>
        <v>Electronics</v>
      </c>
      <c r="H807" s="1" t="n">
        <f aca="false">IF(COUNTIFS($B$2:$B$1489,B807,$C$2:$C$1489,C807,$D$2:$D$1489,D807)&gt;6,1,0)</f>
        <v>0</v>
      </c>
      <c r="I807" s="1" t="n">
        <f aca="false">IF(AND(F807="Wire",E807&gt;=1000,MOD(E807,1000)=0),1,0)</f>
        <v>0</v>
      </c>
      <c r="J807" s="1" t="n">
        <f aca="false">IF(AND(F807="ATM",E807&gt;2000,D807&lt;=4),1,0)</f>
        <v>0</v>
      </c>
      <c r="K807" s="1" t="n">
        <f aca="false">IF(COUNTIF('SQL Findings'!$A$4:$A$18,B807)&gt;0,1,0)</f>
        <v>1</v>
      </c>
      <c r="L807" s="1" t="n">
        <f aca="false">SUM(H807:K807)</f>
        <v>1</v>
      </c>
      <c r="M807" s="1" t="str">
        <f aca="false">IF(L807&gt;=2,"High",IF(L807=1,"Medium","Low"))</f>
        <v>Medium</v>
      </c>
    </row>
    <row r="808" customFormat="false" ht="15" hidden="false" customHeight="true" outlineLevel="0" collapsed="false">
      <c r="A808" s="1" t="str">
        <f aca="false">Transactions!A808</f>
        <v>TXN500896</v>
      </c>
      <c r="B808" s="1" t="str">
        <f aca="false">Transactions!B808</f>
        <v>ACC1038</v>
      </c>
      <c r="C808" s="1" t="str">
        <f aca="false">Transactions!I808</f>
        <v>2026-02-19</v>
      </c>
      <c r="D808" s="1" t="n">
        <f aca="false">Transactions!J808</f>
        <v>10</v>
      </c>
      <c r="E808" s="1" t="n">
        <f aca="false">Transactions!D808</f>
        <v>119.56</v>
      </c>
      <c r="F808" s="1" t="str">
        <f aca="false">Transactions!H808</f>
        <v>Online</v>
      </c>
      <c r="G808" s="1" t="str">
        <f aca="false">Transactions!G808</f>
        <v>Dining</v>
      </c>
      <c r="H808" s="1" t="n">
        <f aca="false">IF(COUNTIFS($B$2:$B$1489,B808,$C$2:$C$1489,C808,$D$2:$D$1489,D808)&gt;6,1,0)</f>
        <v>0</v>
      </c>
      <c r="I808" s="1" t="n">
        <f aca="false">IF(AND(F808="Wire",E808&gt;=1000,MOD(E808,1000)=0),1,0)</f>
        <v>0</v>
      </c>
      <c r="J808" s="1" t="n">
        <f aca="false">IF(AND(F808="ATM",E808&gt;2000,D808&lt;=4),1,0)</f>
        <v>0</v>
      </c>
      <c r="K808" s="1" t="n">
        <f aca="false">IF(COUNTIF('SQL Findings'!$A$4:$A$18,B808)&gt;0,1,0)</f>
        <v>0</v>
      </c>
      <c r="L808" s="1" t="n">
        <f aca="false">SUM(H808:K808)</f>
        <v>0</v>
      </c>
      <c r="M808" s="1" t="str">
        <f aca="false">IF(L808&gt;=2,"High",IF(L808=1,"Medium","Low"))</f>
        <v>Low</v>
      </c>
    </row>
    <row r="809" customFormat="false" ht="15" hidden="false" customHeight="true" outlineLevel="0" collapsed="false">
      <c r="A809" s="1" t="str">
        <f aca="false">Transactions!A809</f>
        <v>TXN501214</v>
      </c>
      <c r="B809" s="1" t="str">
        <f aca="false">Transactions!B809</f>
        <v>ACC1053</v>
      </c>
      <c r="C809" s="1" t="str">
        <f aca="false">Transactions!I809</f>
        <v>2026-02-19</v>
      </c>
      <c r="D809" s="1" t="n">
        <f aca="false">Transactions!J809</f>
        <v>11</v>
      </c>
      <c r="E809" s="1" t="n">
        <f aca="false">Transactions!D809</f>
        <v>149.22</v>
      </c>
      <c r="F809" s="1" t="str">
        <f aca="false">Transactions!H809</f>
        <v>POS</v>
      </c>
      <c r="G809" s="1" t="str">
        <f aca="false">Transactions!G809</f>
        <v>Travel</v>
      </c>
      <c r="H809" s="1" t="n">
        <f aca="false">IF(COUNTIFS($B$2:$B$1489,B809,$C$2:$C$1489,C809,$D$2:$D$1489,D809)&gt;6,1,0)</f>
        <v>0</v>
      </c>
      <c r="I809" s="1" t="n">
        <f aca="false">IF(AND(F809="Wire",E809&gt;=1000,MOD(E809,1000)=0),1,0)</f>
        <v>0</v>
      </c>
      <c r="J809" s="1" t="n">
        <f aca="false">IF(AND(F809="ATM",E809&gt;2000,D809&lt;=4),1,0)</f>
        <v>0</v>
      </c>
      <c r="K809" s="1" t="n">
        <f aca="false">IF(COUNTIF('SQL Findings'!$A$4:$A$18,B809)&gt;0,1,0)</f>
        <v>0</v>
      </c>
      <c r="L809" s="1" t="n">
        <f aca="false">SUM(H809:K809)</f>
        <v>0</v>
      </c>
      <c r="M809" s="1" t="str">
        <f aca="false">IF(L809&gt;=2,"High",IF(L809=1,"Medium","Low"))</f>
        <v>Low</v>
      </c>
    </row>
    <row r="810" customFormat="false" ht="15" hidden="false" customHeight="true" outlineLevel="0" collapsed="false">
      <c r="A810" s="1" t="str">
        <f aca="false">Transactions!A810</f>
        <v>TXN500745</v>
      </c>
      <c r="B810" s="1" t="str">
        <f aca="false">Transactions!B810</f>
        <v>ACC1032</v>
      </c>
      <c r="C810" s="1" t="str">
        <f aca="false">Transactions!I810</f>
        <v>2026-02-19</v>
      </c>
      <c r="D810" s="1" t="n">
        <f aca="false">Transactions!J810</f>
        <v>11</v>
      </c>
      <c r="E810" s="1" t="n">
        <f aca="false">Transactions!D810</f>
        <v>106.26</v>
      </c>
      <c r="F810" s="1" t="str">
        <f aca="false">Transactions!H810</f>
        <v>Online</v>
      </c>
      <c r="G810" s="1" t="str">
        <f aca="false">Transactions!G810</f>
        <v>Travel</v>
      </c>
      <c r="H810" s="1" t="n">
        <f aca="false">IF(COUNTIFS($B$2:$B$1489,B810,$C$2:$C$1489,C810,$D$2:$D$1489,D810)&gt;6,1,0)</f>
        <v>0</v>
      </c>
      <c r="I810" s="1" t="n">
        <f aca="false">IF(AND(F810="Wire",E810&gt;=1000,MOD(E810,1000)=0),1,0)</f>
        <v>0</v>
      </c>
      <c r="J810" s="1" t="n">
        <f aca="false">IF(AND(F810="ATM",E810&gt;2000,D810&lt;=4),1,0)</f>
        <v>0</v>
      </c>
      <c r="K810" s="1" t="n">
        <f aca="false">IF(COUNTIF('SQL Findings'!$A$4:$A$18,B810)&gt;0,1,0)</f>
        <v>0</v>
      </c>
      <c r="L810" s="1" t="n">
        <f aca="false">SUM(H810:K810)</f>
        <v>0</v>
      </c>
      <c r="M810" s="1" t="str">
        <f aca="false">IF(L810&gt;=2,"High",IF(L810=1,"Medium","Low"))</f>
        <v>Low</v>
      </c>
    </row>
    <row r="811" customFormat="false" ht="15" hidden="false" customHeight="true" outlineLevel="0" collapsed="false">
      <c r="A811" s="1" t="str">
        <f aca="false">Transactions!A811</f>
        <v>TXN500833</v>
      </c>
      <c r="B811" s="1" t="str">
        <f aca="false">Transactions!B811</f>
        <v>ACC1035</v>
      </c>
      <c r="C811" s="1" t="str">
        <f aca="false">Transactions!I811</f>
        <v>2026-02-19</v>
      </c>
      <c r="D811" s="1" t="n">
        <f aca="false">Transactions!J811</f>
        <v>12</v>
      </c>
      <c r="E811" s="1" t="n">
        <f aca="false">Transactions!D811</f>
        <v>27.01</v>
      </c>
      <c r="F811" s="1" t="str">
        <f aca="false">Transactions!H811</f>
        <v>POS</v>
      </c>
      <c r="G811" s="1" t="str">
        <f aca="false">Transactions!G811</f>
        <v>Travel</v>
      </c>
      <c r="H811" s="1" t="n">
        <f aca="false">IF(COUNTIFS($B$2:$B$1489,B811,$C$2:$C$1489,C811,$D$2:$D$1489,D811)&gt;6,1,0)</f>
        <v>0</v>
      </c>
      <c r="I811" s="1" t="n">
        <f aca="false">IF(AND(F811="Wire",E811&gt;=1000,MOD(E811,1000)=0),1,0)</f>
        <v>0</v>
      </c>
      <c r="J811" s="1" t="n">
        <f aca="false">IF(AND(F811="ATM",E811&gt;2000,D811&lt;=4),1,0)</f>
        <v>0</v>
      </c>
      <c r="K811" s="1" t="n">
        <f aca="false">IF(COUNTIF('SQL Findings'!$A$4:$A$18,B811)&gt;0,1,0)</f>
        <v>0</v>
      </c>
      <c r="L811" s="1" t="n">
        <f aca="false">SUM(H811:K811)</f>
        <v>0</v>
      </c>
      <c r="M811" s="1" t="str">
        <f aca="false">IF(L811&gt;=2,"High",IF(L811=1,"Medium","Low"))</f>
        <v>Low</v>
      </c>
    </row>
    <row r="812" customFormat="false" ht="15" hidden="false" customHeight="true" outlineLevel="0" collapsed="false">
      <c r="A812" s="1" t="str">
        <f aca="false">Transactions!A812</f>
        <v>TXN500596</v>
      </c>
      <c r="B812" s="1" t="str">
        <f aca="false">Transactions!B812</f>
        <v>ACC1026</v>
      </c>
      <c r="C812" s="1" t="str">
        <f aca="false">Transactions!I812</f>
        <v>2026-02-19</v>
      </c>
      <c r="D812" s="1" t="n">
        <f aca="false">Transactions!J812</f>
        <v>13</v>
      </c>
      <c r="E812" s="1" t="n">
        <f aca="false">Transactions!D812</f>
        <v>42.14</v>
      </c>
      <c r="F812" s="1" t="str">
        <f aca="false">Transactions!H812</f>
        <v>Online</v>
      </c>
      <c r="G812" s="1" t="str">
        <f aca="false">Transactions!G812</f>
        <v>Electronics</v>
      </c>
      <c r="H812" s="1" t="n">
        <f aca="false">IF(COUNTIFS($B$2:$B$1489,B812,$C$2:$C$1489,C812,$D$2:$D$1489,D812)&gt;6,1,0)</f>
        <v>0</v>
      </c>
      <c r="I812" s="1" t="n">
        <f aca="false">IF(AND(F812="Wire",E812&gt;=1000,MOD(E812,1000)=0),1,0)</f>
        <v>0</v>
      </c>
      <c r="J812" s="1" t="n">
        <f aca="false">IF(AND(F812="ATM",E812&gt;2000,D812&lt;=4),1,0)</f>
        <v>0</v>
      </c>
      <c r="K812" s="1" t="n">
        <f aca="false">IF(COUNTIF('SQL Findings'!$A$4:$A$18,B812)&gt;0,1,0)</f>
        <v>0</v>
      </c>
      <c r="L812" s="1" t="n">
        <f aca="false">SUM(H812:K812)</f>
        <v>0</v>
      </c>
      <c r="M812" s="1" t="str">
        <f aca="false">IF(L812&gt;=2,"High",IF(L812=1,"Medium","Low"))</f>
        <v>Low</v>
      </c>
    </row>
    <row r="813" customFormat="false" ht="15" hidden="false" customHeight="true" outlineLevel="0" collapsed="false">
      <c r="A813" s="1" t="str">
        <f aca="false">Transactions!A813</f>
        <v>TXN500895</v>
      </c>
      <c r="B813" s="1" t="str">
        <f aca="false">Transactions!B813</f>
        <v>ACC1038</v>
      </c>
      <c r="C813" s="1" t="str">
        <f aca="false">Transactions!I813</f>
        <v>2026-02-19</v>
      </c>
      <c r="D813" s="1" t="n">
        <f aca="false">Transactions!J813</f>
        <v>14</v>
      </c>
      <c r="E813" s="1" t="n">
        <f aca="false">Transactions!D813</f>
        <v>231.35</v>
      </c>
      <c r="F813" s="1" t="str">
        <f aca="false">Transactions!H813</f>
        <v>ATM</v>
      </c>
      <c r="G813" s="1" t="str">
        <f aca="false">Transactions!G813</f>
        <v>Cash Withdrawal</v>
      </c>
      <c r="H813" s="1" t="n">
        <f aca="false">IF(COUNTIFS($B$2:$B$1489,B813,$C$2:$C$1489,C813,$D$2:$D$1489,D813)&gt;6,1,0)</f>
        <v>0</v>
      </c>
      <c r="I813" s="1" t="n">
        <f aca="false">IF(AND(F813="Wire",E813&gt;=1000,MOD(E813,1000)=0),1,0)</f>
        <v>0</v>
      </c>
      <c r="J813" s="1" t="n">
        <f aca="false">IF(AND(F813="ATM",E813&gt;2000,D813&lt;=4),1,0)</f>
        <v>0</v>
      </c>
      <c r="K813" s="1" t="n">
        <f aca="false">IF(COUNTIF('SQL Findings'!$A$4:$A$18,B813)&gt;0,1,0)</f>
        <v>0</v>
      </c>
      <c r="L813" s="1" t="n">
        <f aca="false">SUM(H813:K813)</f>
        <v>0</v>
      </c>
      <c r="M813" s="1" t="str">
        <f aca="false">IF(L813&gt;=2,"High",IF(L813=1,"Medium","Low"))</f>
        <v>Low</v>
      </c>
    </row>
    <row r="814" customFormat="false" ht="15" hidden="false" customHeight="true" outlineLevel="0" collapsed="false">
      <c r="A814" s="1" t="str">
        <f aca="false">Transactions!A814</f>
        <v>TXN500654</v>
      </c>
      <c r="B814" s="1" t="str">
        <f aca="false">Transactions!B814</f>
        <v>ACC1028</v>
      </c>
      <c r="C814" s="1" t="str">
        <f aca="false">Transactions!I814</f>
        <v>2026-02-19</v>
      </c>
      <c r="D814" s="1" t="n">
        <f aca="false">Transactions!J814</f>
        <v>17</v>
      </c>
      <c r="E814" s="1" t="n">
        <f aca="false">Transactions!D814</f>
        <v>24.63</v>
      </c>
      <c r="F814" s="1" t="str">
        <f aca="false">Transactions!H814</f>
        <v>Online</v>
      </c>
      <c r="G814" s="1" t="str">
        <f aca="false">Transactions!G814</f>
        <v>Wire Transfer</v>
      </c>
      <c r="H814" s="1" t="n">
        <f aca="false">IF(COUNTIFS($B$2:$B$1489,B814,$C$2:$C$1489,C814,$D$2:$D$1489,D814)&gt;6,1,0)</f>
        <v>0</v>
      </c>
      <c r="I814" s="1" t="n">
        <f aca="false">IF(AND(F814="Wire",E814&gt;=1000,MOD(E814,1000)=0),1,0)</f>
        <v>0</v>
      </c>
      <c r="J814" s="1" t="n">
        <f aca="false">IF(AND(F814="ATM",E814&gt;2000,D814&lt;=4),1,0)</f>
        <v>0</v>
      </c>
      <c r="K814" s="1" t="n">
        <f aca="false">IF(COUNTIF('SQL Findings'!$A$4:$A$18,B814)&gt;0,1,0)</f>
        <v>0</v>
      </c>
      <c r="L814" s="1" t="n">
        <f aca="false">SUM(H814:K814)</f>
        <v>0</v>
      </c>
      <c r="M814" s="1" t="str">
        <f aca="false">IF(L814&gt;=2,"High",IF(L814=1,"Medium","Low"))</f>
        <v>Low</v>
      </c>
    </row>
    <row r="815" customFormat="false" ht="15" hidden="false" customHeight="true" outlineLevel="0" collapsed="false">
      <c r="A815" s="1" t="str">
        <f aca="false">Transactions!A815</f>
        <v>TXN501022</v>
      </c>
      <c r="B815" s="1" t="str">
        <f aca="false">Transactions!B815</f>
        <v>ACC1044</v>
      </c>
      <c r="C815" s="1" t="str">
        <f aca="false">Transactions!I815</f>
        <v>2026-02-19</v>
      </c>
      <c r="D815" s="1" t="n">
        <f aca="false">Transactions!J815</f>
        <v>20</v>
      </c>
      <c r="E815" s="1" t="n">
        <f aca="false">Transactions!D815</f>
        <v>39.79</v>
      </c>
      <c r="F815" s="1" t="str">
        <f aca="false">Transactions!H815</f>
        <v>ATM</v>
      </c>
      <c r="G815" s="1" t="str">
        <f aca="false">Transactions!G815</f>
        <v>Utilities</v>
      </c>
      <c r="H815" s="1" t="n">
        <f aca="false">IF(COUNTIFS($B$2:$B$1489,B815,$C$2:$C$1489,C815,$D$2:$D$1489,D815)&gt;6,1,0)</f>
        <v>0</v>
      </c>
      <c r="I815" s="1" t="n">
        <f aca="false">IF(AND(F815="Wire",E815&gt;=1000,MOD(E815,1000)=0),1,0)</f>
        <v>0</v>
      </c>
      <c r="J815" s="1" t="n">
        <f aca="false">IF(AND(F815="ATM",E815&gt;2000,D815&lt;=4),1,0)</f>
        <v>0</v>
      </c>
      <c r="K815" s="1" t="n">
        <f aca="false">IF(COUNTIF('SQL Findings'!$A$4:$A$18,B815)&gt;0,1,0)</f>
        <v>0</v>
      </c>
      <c r="L815" s="1" t="n">
        <f aca="false">SUM(H815:K815)</f>
        <v>0</v>
      </c>
      <c r="M815" s="1" t="str">
        <f aca="false">IF(L815&gt;=2,"High",IF(L815=1,"Medium","Low"))</f>
        <v>Low</v>
      </c>
    </row>
    <row r="816" customFormat="false" ht="15" hidden="false" customHeight="true" outlineLevel="0" collapsed="false">
      <c r="A816" s="1" t="str">
        <f aca="false">Transactions!A816</f>
        <v>TXN500370</v>
      </c>
      <c r="B816" s="1" t="str">
        <f aca="false">Transactions!B816</f>
        <v>ACC1016</v>
      </c>
      <c r="C816" s="1" t="str">
        <f aca="false">Transactions!I816</f>
        <v>2026-02-19</v>
      </c>
      <c r="D816" s="1" t="n">
        <f aca="false">Transactions!J816</f>
        <v>21</v>
      </c>
      <c r="E816" s="1" t="n">
        <f aca="false">Transactions!D816</f>
        <v>33.26</v>
      </c>
      <c r="F816" s="1" t="str">
        <f aca="false">Transactions!H816</f>
        <v>ATM</v>
      </c>
      <c r="G816" s="1" t="str">
        <f aca="false">Transactions!G816</f>
        <v>Travel</v>
      </c>
      <c r="H816" s="1" t="n">
        <f aca="false">IF(COUNTIFS($B$2:$B$1489,B816,$C$2:$C$1489,C816,$D$2:$D$1489,D816)&gt;6,1,0)</f>
        <v>0</v>
      </c>
      <c r="I816" s="1" t="n">
        <f aca="false">IF(AND(F816="Wire",E816&gt;=1000,MOD(E816,1000)=0),1,0)</f>
        <v>0</v>
      </c>
      <c r="J816" s="1" t="n">
        <f aca="false">IF(AND(F816="ATM",E816&gt;2000,D816&lt;=4),1,0)</f>
        <v>0</v>
      </c>
      <c r="K816" s="1" t="n">
        <f aca="false">IF(COUNTIF('SQL Findings'!$A$4:$A$18,B816)&gt;0,1,0)</f>
        <v>0</v>
      </c>
      <c r="L816" s="1" t="n">
        <f aca="false">SUM(H816:K816)</f>
        <v>0</v>
      </c>
      <c r="M816" s="1" t="str">
        <f aca="false">IF(L816&gt;=2,"High",IF(L816=1,"Medium","Low"))</f>
        <v>Low</v>
      </c>
    </row>
    <row r="817" customFormat="false" ht="15" hidden="false" customHeight="true" outlineLevel="0" collapsed="false">
      <c r="A817" s="1" t="str">
        <f aca="false">Transactions!A817</f>
        <v>TXN501019</v>
      </c>
      <c r="B817" s="1" t="str">
        <f aca="false">Transactions!B817</f>
        <v>ACC1044</v>
      </c>
      <c r="C817" s="1" t="str">
        <f aca="false">Transactions!I817</f>
        <v>2026-02-19</v>
      </c>
      <c r="D817" s="1" t="n">
        <f aca="false">Transactions!J817</f>
        <v>22</v>
      </c>
      <c r="E817" s="1" t="n">
        <f aca="false">Transactions!D817</f>
        <v>49.98</v>
      </c>
      <c r="F817" s="1" t="str">
        <f aca="false">Transactions!H817</f>
        <v>POS</v>
      </c>
      <c r="G817" s="1" t="str">
        <f aca="false">Transactions!G817</f>
        <v>Electronics</v>
      </c>
      <c r="H817" s="1" t="n">
        <f aca="false">IF(COUNTIFS($B$2:$B$1489,B817,$C$2:$C$1489,C817,$D$2:$D$1489,D817)&gt;6,1,0)</f>
        <v>0</v>
      </c>
      <c r="I817" s="1" t="n">
        <f aca="false">IF(AND(F817="Wire",E817&gt;=1000,MOD(E817,1000)=0),1,0)</f>
        <v>0</v>
      </c>
      <c r="J817" s="1" t="n">
        <f aca="false">IF(AND(F817="ATM",E817&gt;2000,D817&lt;=4),1,0)</f>
        <v>0</v>
      </c>
      <c r="K817" s="1" t="n">
        <f aca="false">IF(COUNTIF('SQL Findings'!$A$4:$A$18,B817)&gt;0,1,0)</f>
        <v>0</v>
      </c>
      <c r="L817" s="1" t="n">
        <f aca="false">SUM(H817:K817)</f>
        <v>0</v>
      </c>
      <c r="M817" s="1" t="str">
        <f aca="false">IF(L817&gt;=2,"High",IF(L817=1,"Medium","Low"))</f>
        <v>Low</v>
      </c>
    </row>
    <row r="818" customFormat="false" ht="15" hidden="false" customHeight="true" outlineLevel="0" collapsed="false">
      <c r="A818" s="1" t="str">
        <f aca="false">Transactions!A818</f>
        <v>TXN500336</v>
      </c>
      <c r="B818" s="1" t="str">
        <f aca="false">Transactions!B818</f>
        <v>ACC1014</v>
      </c>
      <c r="C818" s="1" t="str">
        <f aca="false">Transactions!I818</f>
        <v>2026-02-19</v>
      </c>
      <c r="D818" s="1" t="n">
        <f aca="false">Transactions!J818</f>
        <v>23</v>
      </c>
      <c r="E818" s="1" t="n">
        <f aca="false">Transactions!D818</f>
        <v>58.42</v>
      </c>
      <c r="F818" s="1" t="str">
        <f aca="false">Transactions!H818</f>
        <v>POS</v>
      </c>
      <c r="G818" s="1" t="str">
        <f aca="false">Transactions!G818</f>
        <v>Dining</v>
      </c>
      <c r="H818" s="1" t="n">
        <f aca="false">IF(COUNTIFS($B$2:$B$1489,B818,$C$2:$C$1489,C818,$D$2:$D$1489,D818)&gt;6,1,0)</f>
        <v>0</v>
      </c>
      <c r="I818" s="1" t="n">
        <f aca="false">IF(AND(F818="Wire",E818&gt;=1000,MOD(E818,1000)=0),1,0)</f>
        <v>0</v>
      </c>
      <c r="J818" s="1" t="n">
        <f aca="false">IF(AND(F818="ATM",E818&gt;2000,D818&lt;=4),1,0)</f>
        <v>0</v>
      </c>
      <c r="K818" s="1" t="n">
        <f aca="false">IF(COUNTIF('SQL Findings'!$A$4:$A$18,B818)&gt;0,1,0)</f>
        <v>1</v>
      </c>
      <c r="L818" s="1" t="n">
        <f aca="false">SUM(H818:K818)</f>
        <v>1</v>
      </c>
      <c r="M818" s="1" t="str">
        <f aca="false">IF(L818&gt;=2,"High",IF(L818=1,"Medium","Low"))</f>
        <v>Medium</v>
      </c>
    </row>
    <row r="819" customFormat="false" ht="15" hidden="false" customHeight="true" outlineLevel="0" collapsed="false">
      <c r="A819" s="1" t="str">
        <f aca="false">Transactions!A819</f>
        <v>TXN500530</v>
      </c>
      <c r="B819" s="1" t="str">
        <f aca="false">Transactions!B819</f>
        <v>ACC1023</v>
      </c>
      <c r="C819" s="1" t="str">
        <f aca="false">Transactions!I819</f>
        <v>2026-02-20</v>
      </c>
      <c r="D819" s="1" t="n">
        <f aca="false">Transactions!J819</f>
        <v>3</v>
      </c>
      <c r="E819" s="1" t="n">
        <f aca="false">Transactions!D819</f>
        <v>29.55</v>
      </c>
      <c r="F819" s="1" t="str">
        <f aca="false">Transactions!H819</f>
        <v>ATM</v>
      </c>
      <c r="G819" s="1" t="str">
        <f aca="false">Transactions!G819</f>
        <v>Online Marketplace</v>
      </c>
      <c r="H819" s="1" t="n">
        <f aca="false">IF(COUNTIFS($B$2:$B$1489,B819,$C$2:$C$1489,C819,$D$2:$D$1489,D819)&gt;6,1,0)</f>
        <v>0</v>
      </c>
      <c r="I819" s="1" t="n">
        <f aca="false">IF(AND(F819="Wire",E819&gt;=1000,MOD(E819,1000)=0),1,0)</f>
        <v>0</v>
      </c>
      <c r="J819" s="1" t="n">
        <f aca="false">IF(AND(F819="ATM",E819&gt;2000,D819&lt;=4),1,0)</f>
        <v>0</v>
      </c>
      <c r="K819" s="1" t="n">
        <f aca="false">IF(COUNTIF('SQL Findings'!$A$4:$A$18,B819)&gt;0,1,0)</f>
        <v>0</v>
      </c>
      <c r="L819" s="1" t="n">
        <f aca="false">SUM(H819:K819)</f>
        <v>0</v>
      </c>
      <c r="M819" s="1" t="str">
        <f aca="false">IF(L819&gt;=2,"High",IF(L819=1,"Medium","Low"))</f>
        <v>Low</v>
      </c>
    </row>
    <row r="820" customFormat="false" ht="15" hidden="false" customHeight="true" outlineLevel="0" collapsed="false">
      <c r="A820" s="1" t="str">
        <f aca="false">Transactions!A820</f>
        <v>TXN501170</v>
      </c>
      <c r="B820" s="1" t="str">
        <f aca="false">Transactions!B820</f>
        <v>ACC1051</v>
      </c>
      <c r="C820" s="1" t="str">
        <f aca="false">Transactions!I820</f>
        <v>2026-02-20</v>
      </c>
      <c r="D820" s="1" t="n">
        <f aca="false">Transactions!J820</f>
        <v>6</v>
      </c>
      <c r="E820" s="1" t="n">
        <f aca="false">Transactions!D820</f>
        <v>143.75</v>
      </c>
      <c r="F820" s="1" t="str">
        <f aca="false">Transactions!H820</f>
        <v>Online</v>
      </c>
      <c r="G820" s="1" t="str">
        <f aca="false">Transactions!G820</f>
        <v>Electronics</v>
      </c>
      <c r="H820" s="1" t="n">
        <f aca="false">IF(COUNTIFS($B$2:$B$1489,B820,$C$2:$C$1489,C820,$D$2:$D$1489,D820)&gt;6,1,0)</f>
        <v>0</v>
      </c>
      <c r="I820" s="1" t="n">
        <f aca="false">IF(AND(F820="Wire",E820&gt;=1000,MOD(E820,1000)=0),1,0)</f>
        <v>0</v>
      </c>
      <c r="J820" s="1" t="n">
        <f aca="false">IF(AND(F820="ATM",E820&gt;2000,D820&lt;=4),1,0)</f>
        <v>0</v>
      </c>
      <c r="K820" s="1" t="n">
        <f aca="false">IF(COUNTIF('SQL Findings'!$A$4:$A$18,B820)&gt;0,1,0)</f>
        <v>0</v>
      </c>
      <c r="L820" s="1" t="n">
        <f aca="false">SUM(H820:K820)</f>
        <v>0</v>
      </c>
      <c r="M820" s="1" t="str">
        <f aca="false">IF(L820&gt;=2,"High",IF(L820=1,"Medium","Low"))</f>
        <v>Low</v>
      </c>
    </row>
    <row r="821" customFormat="false" ht="15" hidden="false" customHeight="true" outlineLevel="0" collapsed="false">
      <c r="A821" s="1" t="str">
        <f aca="false">Transactions!A821</f>
        <v>TXN501373</v>
      </c>
      <c r="B821" s="1" t="str">
        <f aca="false">Transactions!B821</f>
        <v>ACC1059</v>
      </c>
      <c r="C821" s="1" t="str">
        <f aca="false">Transactions!I821</f>
        <v>2026-02-20</v>
      </c>
      <c r="D821" s="1" t="n">
        <f aca="false">Transactions!J821</f>
        <v>6</v>
      </c>
      <c r="E821" s="1" t="n">
        <f aca="false">Transactions!D821</f>
        <v>19.4</v>
      </c>
      <c r="F821" s="1" t="str">
        <f aca="false">Transactions!H821</f>
        <v>POS</v>
      </c>
      <c r="G821" s="1" t="str">
        <f aca="false">Transactions!G821</f>
        <v>Electronics</v>
      </c>
      <c r="H821" s="1" t="n">
        <f aca="false">IF(COUNTIFS($B$2:$B$1489,B821,$C$2:$C$1489,C821,$D$2:$D$1489,D821)&gt;6,1,0)</f>
        <v>0</v>
      </c>
      <c r="I821" s="1" t="n">
        <f aca="false">IF(AND(F821="Wire",E821&gt;=1000,MOD(E821,1000)=0),1,0)</f>
        <v>0</v>
      </c>
      <c r="J821" s="1" t="n">
        <f aca="false">IF(AND(F821="ATM",E821&gt;2000,D821&lt;=4),1,0)</f>
        <v>0</v>
      </c>
      <c r="K821" s="1" t="n">
        <f aca="false">IF(COUNTIF('SQL Findings'!$A$4:$A$18,B821)&gt;0,1,0)</f>
        <v>0</v>
      </c>
      <c r="L821" s="1" t="n">
        <f aca="false">SUM(H821:K821)</f>
        <v>0</v>
      </c>
      <c r="M821" s="1" t="str">
        <f aca="false">IF(L821&gt;=2,"High",IF(L821=1,"Medium","Low"))</f>
        <v>Low</v>
      </c>
    </row>
    <row r="822" customFormat="false" ht="15" hidden="false" customHeight="true" outlineLevel="0" collapsed="false">
      <c r="A822" s="1" t="str">
        <f aca="false">Transactions!A822</f>
        <v>TXN501296</v>
      </c>
      <c r="B822" s="1" t="str">
        <f aca="false">Transactions!B822</f>
        <v>ACC1056</v>
      </c>
      <c r="C822" s="1" t="str">
        <f aca="false">Transactions!I822</f>
        <v>2026-02-20</v>
      </c>
      <c r="D822" s="1" t="n">
        <f aca="false">Transactions!J822</f>
        <v>6</v>
      </c>
      <c r="E822" s="1" t="n">
        <f aca="false">Transactions!D822</f>
        <v>61.01</v>
      </c>
      <c r="F822" s="1" t="str">
        <f aca="false">Transactions!H822</f>
        <v>Online</v>
      </c>
      <c r="G822" s="1" t="str">
        <f aca="false">Transactions!G822</f>
        <v>Cash Withdrawal</v>
      </c>
      <c r="H822" s="1" t="n">
        <f aca="false">IF(COUNTIFS($B$2:$B$1489,B822,$C$2:$C$1489,C822,$D$2:$D$1489,D822)&gt;6,1,0)</f>
        <v>0</v>
      </c>
      <c r="I822" s="1" t="n">
        <f aca="false">IF(AND(F822="Wire",E822&gt;=1000,MOD(E822,1000)=0),1,0)</f>
        <v>0</v>
      </c>
      <c r="J822" s="1" t="n">
        <f aca="false">IF(AND(F822="ATM",E822&gt;2000,D822&lt;=4),1,0)</f>
        <v>0</v>
      </c>
      <c r="K822" s="1" t="n">
        <f aca="false">IF(COUNTIF('SQL Findings'!$A$4:$A$18,B822)&gt;0,1,0)</f>
        <v>0</v>
      </c>
      <c r="L822" s="1" t="n">
        <f aca="false">SUM(H822:K822)</f>
        <v>0</v>
      </c>
      <c r="M822" s="1" t="str">
        <f aca="false">IF(L822&gt;=2,"High",IF(L822=1,"Medium","Low"))</f>
        <v>Low</v>
      </c>
    </row>
    <row r="823" customFormat="false" ht="15" hidden="false" customHeight="true" outlineLevel="0" collapsed="false">
      <c r="A823" s="1" t="str">
        <f aca="false">Transactions!A823</f>
        <v>TXN500970</v>
      </c>
      <c r="B823" s="1" t="str">
        <f aca="false">Transactions!B823</f>
        <v>ACC1042</v>
      </c>
      <c r="C823" s="1" t="str">
        <f aca="false">Transactions!I823</f>
        <v>2026-02-20</v>
      </c>
      <c r="D823" s="1" t="n">
        <f aca="false">Transactions!J823</f>
        <v>7</v>
      </c>
      <c r="E823" s="1" t="n">
        <f aca="false">Transactions!D823</f>
        <v>18.4</v>
      </c>
      <c r="F823" s="1" t="str">
        <f aca="false">Transactions!H823</f>
        <v>POS</v>
      </c>
      <c r="G823" s="1" t="str">
        <f aca="false">Transactions!G823</f>
        <v>Utilities</v>
      </c>
      <c r="H823" s="1" t="n">
        <f aca="false">IF(COUNTIFS($B$2:$B$1489,B823,$C$2:$C$1489,C823,$D$2:$D$1489,D823)&gt;6,1,0)</f>
        <v>0</v>
      </c>
      <c r="I823" s="1" t="n">
        <f aca="false">IF(AND(F823="Wire",E823&gt;=1000,MOD(E823,1000)=0),1,0)</f>
        <v>0</v>
      </c>
      <c r="J823" s="1" t="n">
        <f aca="false">IF(AND(F823="ATM",E823&gt;2000,D823&lt;=4),1,0)</f>
        <v>0</v>
      </c>
      <c r="K823" s="1" t="n">
        <f aca="false">IF(COUNTIF('SQL Findings'!$A$4:$A$18,B823)&gt;0,1,0)</f>
        <v>1</v>
      </c>
      <c r="L823" s="1" t="n">
        <f aca="false">SUM(H823:K823)</f>
        <v>1</v>
      </c>
      <c r="M823" s="1" t="str">
        <f aca="false">IF(L823&gt;=2,"High",IF(L823=1,"Medium","Low"))</f>
        <v>Medium</v>
      </c>
    </row>
    <row r="824" customFormat="false" ht="15" hidden="false" customHeight="true" outlineLevel="0" collapsed="false">
      <c r="A824" s="1" t="str">
        <f aca="false">Transactions!A824</f>
        <v>TXN500242</v>
      </c>
      <c r="B824" s="1" t="str">
        <f aca="false">Transactions!B824</f>
        <v>ACC1010</v>
      </c>
      <c r="C824" s="1" t="str">
        <f aca="false">Transactions!I824</f>
        <v>2026-02-20</v>
      </c>
      <c r="D824" s="1" t="n">
        <f aca="false">Transactions!J824</f>
        <v>8</v>
      </c>
      <c r="E824" s="1" t="n">
        <f aca="false">Transactions!D824</f>
        <v>60.14</v>
      </c>
      <c r="F824" s="1" t="str">
        <f aca="false">Transactions!H824</f>
        <v>POS</v>
      </c>
      <c r="G824" s="1" t="str">
        <f aca="false">Transactions!G824</f>
        <v>Online Marketplace</v>
      </c>
      <c r="H824" s="1" t="n">
        <f aca="false">IF(COUNTIFS($B$2:$B$1489,B824,$C$2:$C$1489,C824,$D$2:$D$1489,D824)&gt;6,1,0)</f>
        <v>0</v>
      </c>
      <c r="I824" s="1" t="n">
        <f aca="false">IF(AND(F824="Wire",E824&gt;=1000,MOD(E824,1000)=0),1,0)</f>
        <v>0</v>
      </c>
      <c r="J824" s="1" t="n">
        <f aca="false">IF(AND(F824="ATM",E824&gt;2000,D824&lt;=4),1,0)</f>
        <v>0</v>
      </c>
      <c r="K824" s="1" t="n">
        <f aca="false">IF(COUNTIF('SQL Findings'!$A$4:$A$18,B824)&gt;0,1,0)</f>
        <v>0</v>
      </c>
      <c r="L824" s="1" t="n">
        <f aca="false">SUM(H824:K824)</f>
        <v>0</v>
      </c>
      <c r="M824" s="1" t="str">
        <f aca="false">IF(L824&gt;=2,"High",IF(L824=1,"Medium","Low"))</f>
        <v>Low</v>
      </c>
    </row>
    <row r="825" customFormat="false" ht="15" hidden="false" customHeight="true" outlineLevel="0" collapsed="false">
      <c r="A825" s="1" t="str">
        <f aca="false">Transactions!A825</f>
        <v>TXN500760</v>
      </c>
      <c r="B825" s="1" t="str">
        <f aca="false">Transactions!B825</f>
        <v>ACC1033</v>
      </c>
      <c r="C825" s="1" t="str">
        <f aca="false">Transactions!I825</f>
        <v>2026-02-20</v>
      </c>
      <c r="D825" s="1" t="n">
        <f aca="false">Transactions!J825</f>
        <v>11</v>
      </c>
      <c r="E825" s="1" t="n">
        <f aca="false">Transactions!D825</f>
        <v>125.25</v>
      </c>
      <c r="F825" s="1" t="str">
        <f aca="false">Transactions!H825</f>
        <v>POS</v>
      </c>
      <c r="G825" s="1" t="str">
        <f aca="false">Transactions!G825</f>
        <v>Utilities</v>
      </c>
      <c r="H825" s="1" t="n">
        <f aca="false">IF(COUNTIFS($B$2:$B$1489,B825,$C$2:$C$1489,C825,$D$2:$D$1489,D825)&gt;6,1,0)</f>
        <v>0</v>
      </c>
      <c r="I825" s="1" t="n">
        <f aca="false">IF(AND(F825="Wire",E825&gt;=1000,MOD(E825,1000)=0),1,0)</f>
        <v>0</v>
      </c>
      <c r="J825" s="1" t="n">
        <f aca="false">IF(AND(F825="ATM",E825&gt;2000,D825&lt;=4),1,0)</f>
        <v>0</v>
      </c>
      <c r="K825" s="1" t="n">
        <f aca="false">IF(COUNTIF('SQL Findings'!$A$4:$A$18,B825)&gt;0,1,0)</f>
        <v>0</v>
      </c>
      <c r="L825" s="1" t="n">
        <f aca="false">SUM(H825:K825)</f>
        <v>0</v>
      </c>
      <c r="M825" s="1" t="str">
        <f aca="false">IF(L825&gt;=2,"High",IF(L825=1,"Medium","Low"))</f>
        <v>Low</v>
      </c>
    </row>
    <row r="826" customFormat="false" ht="15" hidden="false" customHeight="true" outlineLevel="0" collapsed="false">
      <c r="A826" s="1" t="str">
        <f aca="false">Transactions!A826</f>
        <v>TXN500701</v>
      </c>
      <c r="B826" s="1" t="str">
        <f aca="false">Transactions!B826</f>
        <v>ACC1030</v>
      </c>
      <c r="C826" s="1" t="str">
        <f aca="false">Transactions!I826</f>
        <v>2026-02-20</v>
      </c>
      <c r="D826" s="1" t="n">
        <f aca="false">Transactions!J826</f>
        <v>12</v>
      </c>
      <c r="E826" s="1" t="n">
        <f aca="false">Transactions!D826</f>
        <v>41.66</v>
      </c>
      <c r="F826" s="1" t="str">
        <f aca="false">Transactions!H826</f>
        <v>Online</v>
      </c>
      <c r="G826" s="1" t="str">
        <f aca="false">Transactions!G826</f>
        <v>Utilities</v>
      </c>
      <c r="H826" s="1" t="n">
        <f aca="false">IF(COUNTIFS($B$2:$B$1489,B826,$C$2:$C$1489,C826,$D$2:$D$1489,D826)&gt;6,1,0)</f>
        <v>0</v>
      </c>
      <c r="I826" s="1" t="n">
        <f aca="false">IF(AND(F826="Wire",E826&gt;=1000,MOD(E826,1000)=0),1,0)</f>
        <v>0</v>
      </c>
      <c r="J826" s="1" t="n">
        <f aca="false">IF(AND(F826="ATM",E826&gt;2000,D826&lt;=4),1,0)</f>
        <v>0</v>
      </c>
      <c r="K826" s="1" t="n">
        <f aca="false">IF(COUNTIF('SQL Findings'!$A$4:$A$18,B826)&gt;0,1,0)</f>
        <v>1</v>
      </c>
      <c r="L826" s="1" t="n">
        <f aca="false">SUM(H826:K826)</f>
        <v>1</v>
      </c>
      <c r="M826" s="1" t="str">
        <f aca="false">IF(L826&gt;=2,"High",IF(L826=1,"Medium","Low"))</f>
        <v>Medium</v>
      </c>
    </row>
    <row r="827" customFormat="false" ht="15" hidden="false" customHeight="true" outlineLevel="0" collapsed="false">
      <c r="A827" s="1" t="str">
        <f aca="false">Transactions!A827</f>
        <v>TXN501195</v>
      </c>
      <c r="B827" s="1" t="str">
        <f aca="false">Transactions!B827</f>
        <v>ACC1052</v>
      </c>
      <c r="C827" s="1" t="str">
        <f aca="false">Transactions!I827</f>
        <v>2026-02-20</v>
      </c>
      <c r="D827" s="1" t="n">
        <f aca="false">Transactions!J827</f>
        <v>15</v>
      </c>
      <c r="E827" s="1" t="n">
        <f aca="false">Transactions!D827</f>
        <v>15.9</v>
      </c>
      <c r="F827" s="1" t="str">
        <f aca="false">Transactions!H827</f>
        <v>ATM</v>
      </c>
      <c r="G827" s="1" t="str">
        <f aca="false">Transactions!G827</f>
        <v>Cash Withdrawal</v>
      </c>
      <c r="H827" s="1" t="n">
        <f aca="false">IF(COUNTIFS($B$2:$B$1489,B827,$C$2:$C$1489,C827,$D$2:$D$1489,D827)&gt;6,1,0)</f>
        <v>0</v>
      </c>
      <c r="I827" s="1" t="n">
        <f aca="false">IF(AND(F827="Wire",E827&gt;=1000,MOD(E827,1000)=0),1,0)</f>
        <v>0</v>
      </c>
      <c r="J827" s="1" t="n">
        <f aca="false">IF(AND(F827="ATM",E827&gt;2000,D827&lt;=4),1,0)</f>
        <v>0</v>
      </c>
      <c r="K827" s="1" t="n">
        <f aca="false">IF(COUNTIF('SQL Findings'!$A$4:$A$18,B827)&gt;0,1,0)</f>
        <v>0</v>
      </c>
      <c r="L827" s="1" t="n">
        <f aca="false">SUM(H827:K827)</f>
        <v>0</v>
      </c>
      <c r="M827" s="1" t="str">
        <f aca="false">IF(L827&gt;=2,"High",IF(L827=1,"Medium","Low"))</f>
        <v>Low</v>
      </c>
    </row>
    <row r="828" customFormat="false" ht="15" hidden="false" customHeight="true" outlineLevel="0" collapsed="false">
      <c r="A828" s="1" t="str">
        <f aca="false">Transactions!A828</f>
        <v>TXN501012</v>
      </c>
      <c r="B828" s="1" t="str">
        <f aca="false">Transactions!B828</f>
        <v>ACC1044</v>
      </c>
      <c r="C828" s="1" t="str">
        <f aca="false">Transactions!I828</f>
        <v>2026-02-20</v>
      </c>
      <c r="D828" s="1" t="n">
        <f aca="false">Transactions!J828</f>
        <v>16</v>
      </c>
      <c r="E828" s="1" t="n">
        <f aca="false">Transactions!D828</f>
        <v>79.67</v>
      </c>
      <c r="F828" s="1" t="str">
        <f aca="false">Transactions!H828</f>
        <v>POS</v>
      </c>
      <c r="G828" s="1" t="str">
        <f aca="false">Transactions!G828</f>
        <v>Online Marketplace</v>
      </c>
      <c r="H828" s="1" t="n">
        <f aca="false">IF(COUNTIFS($B$2:$B$1489,B828,$C$2:$C$1489,C828,$D$2:$D$1489,D828)&gt;6,1,0)</f>
        <v>0</v>
      </c>
      <c r="I828" s="1" t="n">
        <f aca="false">IF(AND(F828="Wire",E828&gt;=1000,MOD(E828,1000)=0),1,0)</f>
        <v>0</v>
      </c>
      <c r="J828" s="1" t="n">
        <f aca="false">IF(AND(F828="ATM",E828&gt;2000,D828&lt;=4),1,0)</f>
        <v>0</v>
      </c>
      <c r="K828" s="1" t="n">
        <f aca="false">IF(COUNTIF('SQL Findings'!$A$4:$A$18,B828)&gt;0,1,0)</f>
        <v>0</v>
      </c>
      <c r="L828" s="1" t="n">
        <f aca="false">SUM(H828:K828)</f>
        <v>0</v>
      </c>
      <c r="M828" s="1" t="str">
        <f aca="false">IF(L828&gt;=2,"High",IF(L828=1,"Medium","Low"))</f>
        <v>Low</v>
      </c>
    </row>
    <row r="829" customFormat="false" ht="15" hidden="false" customHeight="true" outlineLevel="0" collapsed="false">
      <c r="A829" s="1" t="str">
        <f aca="false">Transactions!A829</f>
        <v>TXN500288</v>
      </c>
      <c r="B829" s="1" t="str">
        <f aca="false">Transactions!B829</f>
        <v>ACC1012</v>
      </c>
      <c r="C829" s="1" t="str">
        <f aca="false">Transactions!I829</f>
        <v>2026-02-20</v>
      </c>
      <c r="D829" s="1" t="n">
        <f aca="false">Transactions!J829</f>
        <v>17</v>
      </c>
      <c r="E829" s="1" t="n">
        <f aca="false">Transactions!D829</f>
        <v>113.24</v>
      </c>
      <c r="F829" s="1" t="str">
        <f aca="false">Transactions!H829</f>
        <v>POS</v>
      </c>
      <c r="G829" s="1" t="str">
        <f aca="false">Transactions!G829</f>
        <v>Wire Transfer</v>
      </c>
      <c r="H829" s="1" t="n">
        <f aca="false">IF(COUNTIFS($B$2:$B$1489,B829,$C$2:$C$1489,C829,$D$2:$D$1489,D829)&gt;6,1,0)</f>
        <v>0</v>
      </c>
      <c r="I829" s="1" t="n">
        <f aca="false">IF(AND(F829="Wire",E829&gt;=1000,MOD(E829,1000)=0),1,0)</f>
        <v>0</v>
      </c>
      <c r="J829" s="1" t="n">
        <f aca="false">IF(AND(F829="ATM",E829&gt;2000,D829&lt;=4),1,0)</f>
        <v>0</v>
      </c>
      <c r="K829" s="1" t="n">
        <f aca="false">IF(COUNTIF('SQL Findings'!$A$4:$A$18,B829)&gt;0,1,0)</f>
        <v>0</v>
      </c>
      <c r="L829" s="1" t="n">
        <f aca="false">SUM(H829:K829)</f>
        <v>0</v>
      </c>
      <c r="M829" s="1" t="str">
        <f aca="false">IF(L829&gt;=2,"High",IF(L829=1,"Medium","Low"))</f>
        <v>Low</v>
      </c>
    </row>
    <row r="830" customFormat="false" ht="15" hidden="false" customHeight="true" outlineLevel="0" collapsed="false">
      <c r="A830" s="1" t="str">
        <f aca="false">Transactions!A830</f>
        <v>TXN500781</v>
      </c>
      <c r="B830" s="1" t="str">
        <f aca="false">Transactions!B830</f>
        <v>ACC1033</v>
      </c>
      <c r="C830" s="1" t="str">
        <f aca="false">Transactions!I830</f>
        <v>2026-02-20</v>
      </c>
      <c r="D830" s="1" t="n">
        <f aca="false">Transactions!J830</f>
        <v>18</v>
      </c>
      <c r="E830" s="1" t="n">
        <f aca="false">Transactions!D830</f>
        <v>78.25</v>
      </c>
      <c r="F830" s="1" t="str">
        <f aca="false">Transactions!H830</f>
        <v>POS</v>
      </c>
      <c r="G830" s="1" t="str">
        <f aca="false">Transactions!G830</f>
        <v>Dining</v>
      </c>
      <c r="H830" s="1" t="n">
        <f aca="false">IF(COUNTIFS($B$2:$B$1489,B830,$C$2:$C$1489,C830,$D$2:$D$1489,D830)&gt;6,1,0)</f>
        <v>0</v>
      </c>
      <c r="I830" s="1" t="n">
        <f aca="false">IF(AND(F830="Wire",E830&gt;=1000,MOD(E830,1000)=0),1,0)</f>
        <v>0</v>
      </c>
      <c r="J830" s="1" t="n">
        <f aca="false">IF(AND(F830="ATM",E830&gt;2000,D830&lt;=4),1,0)</f>
        <v>0</v>
      </c>
      <c r="K830" s="1" t="n">
        <f aca="false">IF(COUNTIF('SQL Findings'!$A$4:$A$18,B830)&gt;0,1,0)</f>
        <v>0</v>
      </c>
      <c r="L830" s="1" t="n">
        <f aca="false">SUM(H830:K830)</f>
        <v>0</v>
      </c>
      <c r="M830" s="1" t="str">
        <f aca="false">IF(L830&gt;=2,"High",IF(L830=1,"Medium","Low"))</f>
        <v>Low</v>
      </c>
    </row>
    <row r="831" customFormat="false" ht="15" hidden="false" customHeight="true" outlineLevel="0" collapsed="false">
      <c r="A831" s="1" t="str">
        <f aca="false">Transactions!A831</f>
        <v>TXN500897</v>
      </c>
      <c r="B831" s="1" t="str">
        <f aca="false">Transactions!B831</f>
        <v>ACC1038</v>
      </c>
      <c r="C831" s="1" t="str">
        <f aca="false">Transactions!I831</f>
        <v>2026-02-20</v>
      </c>
      <c r="D831" s="1" t="n">
        <f aca="false">Transactions!J831</f>
        <v>22</v>
      </c>
      <c r="E831" s="1" t="n">
        <f aca="false">Transactions!D831</f>
        <v>57.37</v>
      </c>
      <c r="F831" s="1" t="str">
        <f aca="false">Transactions!H831</f>
        <v>POS</v>
      </c>
      <c r="G831" s="1" t="str">
        <f aca="false">Transactions!G831</f>
        <v>Online Marketplace</v>
      </c>
      <c r="H831" s="1" t="n">
        <f aca="false">IF(COUNTIFS($B$2:$B$1489,B831,$C$2:$C$1489,C831,$D$2:$D$1489,D831)&gt;6,1,0)</f>
        <v>0</v>
      </c>
      <c r="I831" s="1" t="n">
        <f aca="false">IF(AND(F831="Wire",E831&gt;=1000,MOD(E831,1000)=0),1,0)</f>
        <v>0</v>
      </c>
      <c r="J831" s="1" t="n">
        <f aca="false">IF(AND(F831="ATM",E831&gt;2000,D831&lt;=4),1,0)</f>
        <v>0</v>
      </c>
      <c r="K831" s="1" t="n">
        <f aca="false">IF(COUNTIF('SQL Findings'!$A$4:$A$18,B831)&gt;0,1,0)</f>
        <v>0</v>
      </c>
      <c r="L831" s="1" t="n">
        <f aca="false">SUM(H831:K831)</f>
        <v>0</v>
      </c>
      <c r="M831" s="1" t="str">
        <f aca="false">IF(L831&gt;=2,"High",IF(L831=1,"Medium","Low"))</f>
        <v>Low</v>
      </c>
    </row>
    <row r="832" customFormat="false" ht="15" hidden="false" customHeight="true" outlineLevel="0" collapsed="false">
      <c r="A832" s="1" t="str">
        <f aca="false">Transactions!A832</f>
        <v>TXN500812</v>
      </c>
      <c r="B832" s="1" t="str">
        <f aca="false">Transactions!B832</f>
        <v>ACC1034</v>
      </c>
      <c r="C832" s="1" t="str">
        <f aca="false">Transactions!I832</f>
        <v>2026-02-21</v>
      </c>
      <c r="D832" s="1" t="n">
        <f aca="false">Transactions!J832</f>
        <v>10</v>
      </c>
      <c r="E832" s="1" t="n">
        <f aca="false">Transactions!D832</f>
        <v>44.89</v>
      </c>
      <c r="F832" s="1" t="str">
        <f aca="false">Transactions!H832</f>
        <v>Online</v>
      </c>
      <c r="G832" s="1" t="str">
        <f aca="false">Transactions!G832</f>
        <v>Dining</v>
      </c>
      <c r="H832" s="1" t="n">
        <f aca="false">IF(COUNTIFS($B$2:$B$1489,B832,$C$2:$C$1489,C832,$D$2:$D$1489,D832)&gt;6,1,0)</f>
        <v>0</v>
      </c>
      <c r="I832" s="1" t="n">
        <f aca="false">IF(AND(F832="Wire",E832&gt;=1000,MOD(E832,1000)=0),1,0)</f>
        <v>0</v>
      </c>
      <c r="J832" s="1" t="n">
        <f aca="false">IF(AND(F832="ATM",E832&gt;2000,D832&lt;=4),1,0)</f>
        <v>0</v>
      </c>
      <c r="K832" s="1" t="n">
        <f aca="false">IF(COUNTIF('SQL Findings'!$A$4:$A$18,B832)&gt;0,1,0)</f>
        <v>0</v>
      </c>
      <c r="L832" s="1" t="n">
        <f aca="false">SUM(H832:K832)</f>
        <v>0</v>
      </c>
      <c r="M832" s="1" t="str">
        <f aca="false">IF(L832&gt;=2,"High",IF(L832=1,"Medium","Low"))</f>
        <v>Low</v>
      </c>
    </row>
    <row r="833" customFormat="false" ht="15" hidden="false" customHeight="true" outlineLevel="0" collapsed="false">
      <c r="A833" s="1" t="str">
        <f aca="false">Transactions!A833</f>
        <v>TXN500261</v>
      </c>
      <c r="B833" s="1" t="str">
        <f aca="false">Transactions!B833</f>
        <v>ACC1011</v>
      </c>
      <c r="C833" s="1" t="str">
        <f aca="false">Transactions!I833</f>
        <v>2026-02-21</v>
      </c>
      <c r="D833" s="1" t="n">
        <f aca="false">Transactions!J833</f>
        <v>10</v>
      </c>
      <c r="E833" s="1" t="n">
        <f aca="false">Transactions!D833</f>
        <v>28.96</v>
      </c>
      <c r="F833" s="1" t="str">
        <f aca="false">Transactions!H833</f>
        <v>Online</v>
      </c>
      <c r="G833" s="1" t="str">
        <f aca="false">Transactions!G833</f>
        <v>Cash Withdrawal</v>
      </c>
      <c r="H833" s="1" t="n">
        <f aca="false">IF(COUNTIFS($B$2:$B$1489,B833,$C$2:$C$1489,C833,$D$2:$D$1489,D833)&gt;6,1,0)</f>
        <v>0</v>
      </c>
      <c r="I833" s="1" t="n">
        <f aca="false">IF(AND(F833="Wire",E833&gt;=1000,MOD(E833,1000)=0),1,0)</f>
        <v>0</v>
      </c>
      <c r="J833" s="1" t="n">
        <f aca="false">IF(AND(F833="ATM",E833&gt;2000,D833&lt;=4),1,0)</f>
        <v>0</v>
      </c>
      <c r="K833" s="1" t="n">
        <f aca="false">IF(COUNTIF('SQL Findings'!$A$4:$A$18,B833)&gt;0,1,0)</f>
        <v>0</v>
      </c>
      <c r="L833" s="1" t="n">
        <f aca="false">SUM(H833:K833)</f>
        <v>0</v>
      </c>
      <c r="M833" s="1" t="str">
        <f aca="false">IF(L833&gt;=2,"High",IF(L833=1,"Medium","Low"))</f>
        <v>Low</v>
      </c>
    </row>
    <row r="834" customFormat="false" ht="15" hidden="false" customHeight="true" outlineLevel="0" collapsed="false">
      <c r="A834" s="1" t="str">
        <f aca="false">Transactions!A834</f>
        <v>TXN500533</v>
      </c>
      <c r="B834" s="1" t="str">
        <f aca="false">Transactions!B834</f>
        <v>ACC1023</v>
      </c>
      <c r="C834" s="1" t="str">
        <f aca="false">Transactions!I834</f>
        <v>2026-02-21</v>
      </c>
      <c r="D834" s="1" t="n">
        <f aca="false">Transactions!J834</f>
        <v>10</v>
      </c>
      <c r="E834" s="1" t="n">
        <f aca="false">Transactions!D834</f>
        <v>62.84</v>
      </c>
      <c r="F834" s="1" t="str">
        <f aca="false">Transactions!H834</f>
        <v>POS</v>
      </c>
      <c r="G834" s="1" t="str">
        <f aca="false">Transactions!G834</f>
        <v>Online Marketplace</v>
      </c>
      <c r="H834" s="1" t="n">
        <f aca="false">IF(COUNTIFS($B$2:$B$1489,B834,$C$2:$C$1489,C834,$D$2:$D$1489,D834)&gt;6,1,0)</f>
        <v>0</v>
      </c>
      <c r="I834" s="1" t="n">
        <f aca="false">IF(AND(F834="Wire",E834&gt;=1000,MOD(E834,1000)=0),1,0)</f>
        <v>0</v>
      </c>
      <c r="J834" s="1" t="n">
        <f aca="false">IF(AND(F834="ATM",E834&gt;2000,D834&lt;=4),1,0)</f>
        <v>0</v>
      </c>
      <c r="K834" s="1" t="n">
        <f aca="false">IF(COUNTIF('SQL Findings'!$A$4:$A$18,B834)&gt;0,1,0)</f>
        <v>0</v>
      </c>
      <c r="L834" s="1" t="n">
        <f aca="false">SUM(H834:K834)</f>
        <v>0</v>
      </c>
      <c r="M834" s="1" t="str">
        <f aca="false">IF(L834&gt;=2,"High",IF(L834=1,"Medium","Low"))</f>
        <v>Low</v>
      </c>
    </row>
    <row r="835" customFormat="false" ht="15" hidden="false" customHeight="true" outlineLevel="0" collapsed="false">
      <c r="A835" s="1" t="str">
        <f aca="false">Transactions!A835</f>
        <v>TXN500878</v>
      </c>
      <c r="B835" s="1" t="str">
        <f aca="false">Transactions!B835</f>
        <v>ACC1038</v>
      </c>
      <c r="C835" s="1" t="str">
        <f aca="false">Transactions!I835</f>
        <v>2026-02-21</v>
      </c>
      <c r="D835" s="1" t="n">
        <f aca="false">Transactions!J835</f>
        <v>10</v>
      </c>
      <c r="E835" s="1" t="n">
        <f aca="false">Transactions!D835</f>
        <v>81.57</v>
      </c>
      <c r="F835" s="1" t="str">
        <f aca="false">Transactions!H835</f>
        <v>POS</v>
      </c>
      <c r="G835" s="1" t="str">
        <f aca="false">Transactions!G835</f>
        <v>Retail</v>
      </c>
      <c r="H835" s="1" t="n">
        <f aca="false">IF(COUNTIFS($B$2:$B$1489,B835,$C$2:$C$1489,C835,$D$2:$D$1489,D835)&gt;6,1,0)</f>
        <v>0</v>
      </c>
      <c r="I835" s="1" t="n">
        <f aca="false">IF(AND(F835="Wire",E835&gt;=1000,MOD(E835,1000)=0),1,0)</f>
        <v>0</v>
      </c>
      <c r="J835" s="1" t="n">
        <f aca="false">IF(AND(F835="ATM",E835&gt;2000,D835&lt;=4),1,0)</f>
        <v>0</v>
      </c>
      <c r="K835" s="1" t="n">
        <f aca="false">IF(COUNTIF('SQL Findings'!$A$4:$A$18,B835)&gt;0,1,0)</f>
        <v>0</v>
      </c>
      <c r="L835" s="1" t="n">
        <f aca="false">SUM(H835:K835)</f>
        <v>0</v>
      </c>
      <c r="M835" s="1" t="str">
        <f aca="false">IF(L835&gt;=2,"High",IF(L835=1,"Medium","Low"))</f>
        <v>Low</v>
      </c>
    </row>
    <row r="836" customFormat="false" ht="15" hidden="false" customHeight="true" outlineLevel="0" collapsed="false">
      <c r="A836" s="1" t="str">
        <f aca="false">Transactions!A836</f>
        <v>TXN500294</v>
      </c>
      <c r="B836" s="1" t="str">
        <f aca="false">Transactions!B836</f>
        <v>ACC1012</v>
      </c>
      <c r="C836" s="1" t="str">
        <f aca="false">Transactions!I836</f>
        <v>2026-02-21</v>
      </c>
      <c r="D836" s="1" t="n">
        <f aca="false">Transactions!J836</f>
        <v>12</v>
      </c>
      <c r="E836" s="1" t="n">
        <f aca="false">Transactions!D836</f>
        <v>143.26</v>
      </c>
      <c r="F836" s="1" t="str">
        <f aca="false">Transactions!H836</f>
        <v>ATM</v>
      </c>
      <c r="G836" s="1" t="str">
        <f aca="false">Transactions!G836</f>
        <v>Utilities</v>
      </c>
      <c r="H836" s="1" t="n">
        <f aca="false">IF(COUNTIFS($B$2:$B$1489,B836,$C$2:$C$1489,C836,$D$2:$D$1489,D836)&gt;6,1,0)</f>
        <v>0</v>
      </c>
      <c r="I836" s="1" t="n">
        <f aca="false">IF(AND(F836="Wire",E836&gt;=1000,MOD(E836,1000)=0),1,0)</f>
        <v>0</v>
      </c>
      <c r="J836" s="1" t="n">
        <f aca="false">IF(AND(F836="ATM",E836&gt;2000,D836&lt;=4),1,0)</f>
        <v>0</v>
      </c>
      <c r="K836" s="1" t="n">
        <f aca="false">IF(COUNTIF('SQL Findings'!$A$4:$A$18,B836)&gt;0,1,0)</f>
        <v>0</v>
      </c>
      <c r="L836" s="1" t="n">
        <f aca="false">SUM(H836:K836)</f>
        <v>0</v>
      </c>
      <c r="M836" s="1" t="str">
        <f aca="false">IF(L836&gt;=2,"High",IF(L836=1,"Medium","Low"))</f>
        <v>Low</v>
      </c>
    </row>
    <row r="837" customFormat="false" ht="15" hidden="false" customHeight="true" outlineLevel="0" collapsed="false">
      <c r="A837" s="1" t="str">
        <f aca="false">Transactions!A837</f>
        <v>TXN500574</v>
      </c>
      <c r="B837" s="1" t="str">
        <f aca="false">Transactions!B837</f>
        <v>ACC1025</v>
      </c>
      <c r="C837" s="1" t="str">
        <f aca="false">Transactions!I837</f>
        <v>2026-02-21</v>
      </c>
      <c r="D837" s="1" t="n">
        <f aca="false">Transactions!J837</f>
        <v>12</v>
      </c>
      <c r="E837" s="1" t="n">
        <f aca="false">Transactions!D837</f>
        <v>54.75</v>
      </c>
      <c r="F837" s="1" t="str">
        <f aca="false">Transactions!H837</f>
        <v>ATM</v>
      </c>
      <c r="G837" s="1" t="str">
        <f aca="false">Transactions!G837</f>
        <v>Wire Transfer</v>
      </c>
      <c r="H837" s="1" t="n">
        <f aca="false">IF(COUNTIFS($B$2:$B$1489,B837,$C$2:$C$1489,C837,$D$2:$D$1489,D837)&gt;6,1,0)</f>
        <v>0</v>
      </c>
      <c r="I837" s="1" t="n">
        <f aca="false">IF(AND(F837="Wire",E837&gt;=1000,MOD(E837,1000)=0),1,0)</f>
        <v>0</v>
      </c>
      <c r="J837" s="1" t="n">
        <f aca="false">IF(AND(F837="ATM",E837&gt;2000,D837&lt;=4),1,0)</f>
        <v>0</v>
      </c>
      <c r="K837" s="1" t="n">
        <f aca="false">IF(COUNTIF('SQL Findings'!$A$4:$A$18,B837)&gt;0,1,0)</f>
        <v>0</v>
      </c>
      <c r="L837" s="1" t="n">
        <f aca="false">SUM(H837:K837)</f>
        <v>0</v>
      </c>
      <c r="M837" s="1" t="str">
        <f aca="false">IF(L837&gt;=2,"High",IF(L837=1,"Medium","Low"))</f>
        <v>Low</v>
      </c>
    </row>
    <row r="838" customFormat="false" ht="15" hidden="false" customHeight="true" outlineLevel="0" collapsed="false">
      <c r="A838" s="1" t="str">
        <f aca="false">Transactions!A838</f>
        <v>TXN500991</v>
      </c>
      <c r="B838" s="1" t="str">
        <f aca="false">Transactions!B838</f>
        <v>ACC1043</v>
      </c>
      <c r="C838" s="1" t="str">
        <f aca="false">Transactions!I838</f>
        <v>2026-02-21</v>
      </c>
      <c r="D838" s="1" t="n">
        <f aca="false">Transactions!J838</f>
        <v>13</v>
      </c>
      <c r="E838" s="1" t="n">
        <f aca="false">Transactions!D838</f>
        <v>80.44</v>
      </c>
      <c r="F838" s="1" t="str">
        <f aca="false">Transactions!H838</f>
        <v>ATM</v>
      </c>
      <c r="G838" s="1" t="str">
        <f aca="false">Transactions!G838</f>
        <v>Retail</v>
      </c>
      <c r="H838" s="1" t="n">
        <f aca="false">IF(COUNTIFS($B$2:$B$1489,B838,$C$2:$C$1489,C838,$D$2:$D$1489,D838)&gt;6,1,0)</f>
        <v>0</v>
      </c>
      <c r="I838" s="1" t="n">
        <f aca="false">IF(AND(F838="Wire",E838&gt;=1000,MOD(E838,1000)=0),1,0)</f>
        <v>0</v>
      </c>
      <c r="J838" s="1" t="n">
        <f aca="false">IF(AND(F838="ATM",E838&gt;2000,D838&lt;=4),1,0)</f>
        <v>0</v>
      </c>
      <c r="K838" s="1" t="n">
        <f aca="false">IF(COUNTIF('SQL Findings'!$A$4:$A$18,B838)&gt;0,1,0)</f>
        <v>0</v>
      </c>
      <c r="L838" s="1" t="n">
        <f aca="false">SUM(H838:K838)</f>
        <v>0</v>
      </c>
      <c r="M838" s="1" t="str">
        <f aca="false">IF(L838&gt;=2,"High",IF(L838=1,"Medium","Low"))</f>
        <v>Low</v>
      </c>
    </row>
    <row r="839" customFormat="false" ht="15" hidden="false" customHeight="true" outlineLevel="0" collapsed="false">
      <c r="A839" s="1" t="str">
        <f aca="false">Transactions!A839</f>
        <v>TXN500589</v>
      </c>
      <c r="B839" s="1" t="str">
        <f aca="false">Transactions!B839</f>
        <v>ACC1026</v>
      </c>
      <c r="C839" s="1" t="str">
        <f aca="false">Transactions!I839</f>
        <v>2026-02-21</v>
      </c>
      <c r="D839" s="1" t="n">
        <f aca="false">Transactions!J839</f>
        <v>14</v>
      </c>
      <c r="E839" s="1" t="n">
        <f aca="false">Transactions!D839</f>
        <v>140.79</v>
      </c>
      <c r="F839" s="1" t="str">
        <f aca="false">Transactions!H839</f>
        <v>Online</v>
      </c>
      <c r="G839" s="1" t="str">
        <f aca="false">Transactions!G839</f>
        <v>Wire Transfer</v>
      </c>
      <c r="H839" s="1" t="n">
        <f aca="false">IF(COUNTIFS($B$2:$B$1489,B839,$C$2:$C$1489,C839,$D$2:$D$1489,D839)&gt;6,1,0)</f>
        <v>0</v>
      </c>
      <c r="I839" s="1" t="n">
        <f aca="false">IF(AND(F839="Wire",E839&gt;=1000,MOD(E839,1000)=0),1,0)</f>
        <v>0</v>
      </c>
      <c r="J839" s="1" t="n">
        <f aca="false">IF(AND(F839="ATM",E839&gt;2000,D839&lt;=4),1,0)</f>
        <v>0</v>
      </c>
      <c r="K839" s="1" t="n">
        <f aca="false">IF(COUNTIF('SQL Findings'!$A$4:$A$18,B839)&gt;0,1,0)</f>
        <v>0</v>
      </c>
      <c r="L839" s="1" t="n">
        <f aca="false">SUM(H839:K839)</f>
        <v>0</v>
      </c>
      <c r="M839" s="1" t="str">
        <f aca="false">IF(L839&gt;=2,"High",IF(L839=1,"Medium","Low"))</f>
        <v>Low</v>
      </c>
    </row>
    <row r="840" customFormat="false" ht="15" hidden="false" customHeight="true" outlineLevel="0" collapsed="false">
      <c r="A840" s="1" t="str">
        <f aca="false">Transactions!A840</f>
        <v>TXN500810</v>
      </c>
      <c r="B840" s="1" t="str">
        <f aca="false">Transactions!B840</f>
        <v>ACC1034</v>
      </c>
      <c r="C840" s="1" t="str">
        <f aca="false">Transactions!I840</f>
        <v>2026-02-21</v>
      </c>
      <c r="D840" s="1" t="n">
        <f aca="false">Transactions!J840</f>
        <v>14</v>
      </c>
      <c r="E840" s="1" t="n">
        <f aca="false">Transactions!D840</f>
        <v>29.81</v>
      </c>
      <c r="F840" s="1" t="str">
        <f aca="false">Transactions!H840</f>
        <v>ATM</v>
      </c>
      <c r="G840" s="1" t="str">
        <f aca="false">Transactions!G840</f>
        <v>Travel</v>
      </c>
      <c r="H840" s="1" t="n">
        <f aca="false">IF(COUNTIFS($B$2:$B$1489,B840,$C$2:$C$1489,C840,$D$2:$D$1489,D840)&gt;6,1,0)</f>
        <v>0</v>
      </c>
      <c r="I840" s="1" t="n">
        <f aca="false">IF(AND(F840="Wire",E840&gt;=1000,MOD(E840,1000)=0),1,0)</f>
        <v>0</v>
      </c>
      <c r="J840" s="1" t="n">
        <f aca="false">IF(AND(F840="ATM",E840&gt;2000,D840&lt;=4),1,0)</f>
        <v>0</v>
      </c>
      <c r="K840" s="1" t="n">
        <f aca="false">IF(COUNTIF('SQL Findings'!$A$4:$A$18,B840)&gt;0,1,0)</f>
        <v>0</v>
      </c>
      <c r="L840" s="1" t="n">
        <f aca="false">SUM(H840:K840)</f>
        <v>0</v>
      </c>
      <c r="M840" s="1" t="str">
        <f aca="false">IF(L840&gt;=2,"High",IF(L840=1,"Medium","Low"))</f>
        <v>Low</v>
      </c>
    </row>
    <row r="841" customFormat="false" ht="15" hidden="false" customHeight="true" outlineLevel="0" collapsed="false">
      <c r="A841" s="1" t="str">
        <f aca="false">Transactions!A841</f>
        <v>TXN500036</v>
      </c>
      <c r="B841" s="1" t="str">
        <f aca="false">Transactions!B841</f>
        <v>ACC1001</v>
      </c>
      <c r="C841" s="1" t="str">
        <f aca="false">Transactions!I841</f>
        <v>2026-02-21</v>
      </c>
      <c r="D841" s="1" t="n">
        <f aca="false">Transactions!J841</f>
        <v>15</v>
      </c>
      <c r="E841" s="1" t="n">
        <f aca="false">Transactions!D841</f>
        <v>22.23</v>
      </c>
      <c r="F841" s="1" t="str">
        <f aca="false">Transactions!H841</f>
        <v>POS</v>
      </c>
      <c r="G841" s="1" t="str">
        <f aca="false">Transactions!G841</f>
        <v>Electronics</v>
      </c>
      <c r="H841" s="1" t="n">
        <f aca="false">IF(COUNTIFS($B$2:$B$1489,B841,$C$2:$C$1489,C841,$D$2:$D$1489,D841)&gt;6,1,0)</f>
        <v>0</v>
      </c>
      <c r="I841" s="1" t="n">
        <f aca="false">IF(AND(F841="Wire",E841&gt;=1000,MOD(E841,1000)=0),1,0)</f>
        <v>0</v>
      </c>
      <c r="J841" s="1" t="n">
        <f aca="false">IF(AND(F841="ATM",E841&gt;2000,D841&lt;=4),1,0)</f>
        <v>0</v>
      </c>
      <c r="K841" s="1" t="n">
        <f aca="false">IF(COUNTIF('SQL Findings'!$A$4:$A$18,B841)&gt;0,1,0)</f>
        <v>1</v>
      </c>
      <c r="L841" s="1" t="n">
        <f aca="false">SUM(H841:K841)</f>
        <v>1</v>
      </c>
      <c r="M841" s="1" t="str">
        <f aca="false">IF(L841&gt;=2,"High",IF(L841=1,"Medium","Low"))</f>
        <v>Medium</v>
      </c>
    </row>
    <row r="842" customFormat="false" ht="15" hidden="false" customHeight="true" outlineLevel="0" collapsed="false">
      <c r="A842" s="1" t="str">
        <f aca="false">Transactions!A842</f>
        <v>TXN501219</v>
      </c>
      <c r="B842" s="1" t="str">
        <f aca="false">Transactions!B842</f>
        <v>ACC1053</v>
      </c>
      <c r="C842" s="1" t="str">
        <f aca="false">Transactions!I842</f>
        <v>2026-02-21</v>
      </c>
      <c r="D842" s="1" t="n">
        <f aca="false">Transactions!J842</f>
        <v>16</v>
      </c>
      <c r="E842" s="1" t="n">
        <f aca="false">Transactions!D842</f>
        <v>31.44</v>
      </c>
      <c r="F842" s="1" t="str">
        <f aca="false">Transactions!H842</f>
        <v>ATM</v>
      </c>
      <c r="G842" s="1" t="str">
        <f aca="false">Transactions!G842</f>
        <v>Wire Transfer</v>
      </c>
      <c r="H842" s="1" t="n">
        <f aca="false">IF(COUNTIFS($B$2:$B$1489,B842,$C$2:$C$1489,C842,$D$2:$D$1489,D842)&gt;6,1,0)</f>
        <v>0</v>
      </c>
      <c r="I842" s="1" t="n">
        <f aca="false">IF(AND(F842="Wire",E842&gt;=1000,MOD(E842,1000)=0),1,0)</f>
        <v>0</v>
      </c>
      <c r="J842" s="1" t="n">
        <f aca="false">IF(AND(F842="ATM",E842&gt;2000,D842&lt;=4),1,0)</f>
        <v>0</v>
      </c>
      <c r="K842" s="1" t="n">
        <f aca="false">IF(COUNTIF('SQL Findings'!$A$4:$A$18,B842)&gt;0,1,0)</f>
        <v>0</v>
      </c>
      <c r="L842" s="1" t="n">
        <f aca="false">SUM(H842:K842)</f>
        <v>0</v>
      </c>
      <c r="M842" s="1" t="str">
        <f aca="false">IF(L842&gt;=2,"High",IF(L842=1,"Medium","Low"))</f>
        <v>Low</v>
      </c>
    </row>
    <row r="843" customFormat="false" ht="15" hidden="false" customHeight="true" outlineLevel="0" collapsed="false">
      <c r="A843" s="1" t="str">
        <f aca="false">Transactions!A843</f>
        <v>TXN500875</v>
      </c>
      <c r="B843" s="1" t="str">
        <f aca="false">Transactions!B843</f>
        <v>ACC1038</v>
      </c>
      <c r="C843" s="1" t="str">
        <f aca="false">Transactions!I843</f>
        <v>2026-02-21</v>
      </c>
      <c r="D843" s="1" t="n">
        <f aca="false">Transactions!J843</f>
        <v>17</v>
      </c>
      <c r="E843" s="1" t="n">
        <f aca="false">Transactions!D843</f>
        <v>64.73</v>
      </c>
      <c r="F843" s="1" t="str">
        <f aca="false">Transactions!H843</f>
        <v>Online</v>
      </c>
      <c r="G843" s="1" t="str">
        <f aca="false">Transactions!G843</f>
        <v>Online Marketplace</v>
      </c>
      <c r="H843" s="1" t="n">
        <f aca="false">IF(COUNTIFS($B$2:$B$1489,B843,$C$2:$C$1489,C843,$D$2:$D$1489,D843)&gt;6,1,0)</f>
        <v>0</v>
      </c>
      <c r="I843" s="1" t="n">
        <f aca="false">IF(AND(F843="Wire",E843&gt;=1000,MOD(E843,1000)=0),1,0)</f>
        <v>0</v>
      </c>
      <c r="J843" s="1" t="n">
        <f aca="false">IF(AND(F843="ATM",E843&gt;2000,D843&lt;=4),1,0)</f>
        <v>0</v>
      </c>
      <c r="K843" s="1" t="n">
        <f aca="false">IF(COUNTIF('SQL Findings'!$A$4:$A$18,B843)&gt;0,1,0)</f>
        <v>0</v>
      </c>
      <c r="L843" s="1" t="n">
        <f aca="false">SUM(H843:K843)</f>
        <v>0</v>
      </c>
      <c r="M843" s="1" t="str">
        <f aca="false">IF(L843&gt;=2,"High",IF(L843=1,"Medium","Low"))</f>
        <v>Low</v>
      </c>
    </row>
    <row r="844" customFormat="false" ht="15" hidden="false" customHeight="true" outlineLevel="0" collapsed="false">
      <c r="A844" s="1" t="str">
        <f aca="false">Transactions!A844</f>
        <v>TXN500041</v>
      </c>
      <c r="B844" s="1" t="str">
        <f aca="false">Transactions!B844</f>
        <v>ACC1001</v>
      </c>
      <c r="C844" s="1" t="str">
        <f aca="false">Transactions!I844</f>
        <v>2026-02-21</v>
      </c>
      <c r="D844" s="1" t="n">
        <f aca="false">Transactions!J844</f>
        <v>19</v>
      </c>
      <c r="E844" s="1" t="n">
        <f aca="false">Transactions!D844</f>
        <v>129.62</v>
      </c>
      <c r="F844" s="1" t="str">
        <f aca="false">Transactions!H844</f>
        <v>POS</v>
      </c>
      <c r="G844" s="1" t="str">
        <f aca="false">Transactions!G844</f>
        <v>Wire Transfer</v>
      </c>
      <c r="H844" s="1" t="n">
        <f aca="false">IF(COUNTIFS($B$2:$B$1489,B844,$C$2:$C$1489,C844,$D$2:$D$1489,D844)&gt;6,1,0)</f>
        <v>0</v>
      </c>
      <c r="I844" s="1" t="n">
        <f aca="false">IF(AND(F844="Wire",E844&gt;=1000,MOD(E844,1000)=0),1,0)</f>
        <v>0</v>
      </c>
      <c r="J844" s="1" t="n">
        <f aca="false">IF(AND(F844="ATM",E844&gt;2000,D844&lt;=4),1,0)</f>
        <v>0</v>
      </c>
      <c r="K844" s="1" t="n">
        <f aca="false">IF(COUNTIF('SQL Findings'!$A$4:$A$18,B844)&gt;0,1,0)</f>
        <v>1</v>
      </c>
      <c r="L844" s="1" t="n">
        <f aca="false">SUM(H844:K844)</f>
        <v>1</v>
      </c>
      <c r="M844" s="1" t="str">
        <f aca="false">IF(L844&gt;=2,"High",IF(L844=1,"Medium","Low"))</f>
        <v>Medium</v>
      </c>
    </row>
    <row r="845" customFormat="false" ht="15" hidden="false" customHeight="true" outlineLevel="0" collapsed="false">
      <c r="A845" s="1" t="str">
        <f aca="false">Transactions!A845</f>
        <v>TXN500988</v>
      </c>
      <c r="B845" s="1" t="str">
        <f aca="false">Transactions!B845</f>
        <v>ACC1043</v>
      </c>
      <c r="C845" s="1" t="str">
        <f aca="false">Transactions!I845</f>
        <v>2026-02-22</v>
      </c>
      <c r="D845" s="1" t="n">
        <f aca="false">Transactions!J845</f>
        <v>1</v>
      </c>
      <c r="E845" s="1" t="n">
        <f aca="false">Transactions!D845</f>
        <v>146.88</v>
      </c>
      <c r="F845" s="1" t="str">
        <f aca="false">Transactions!H845</f>
        <v>ATM</v>
      </c>
      <c r="G845" s="1" t="str">
        <f aca="false">Transactions!G845</f>
        <v>Travel</v>
      </c>
      <c r="H845" s="1" t="n">
        <f aca="false">IF(COUNTIFS($B$2:$B$1489,B845,$C$2:$C$1489,C845,$D$2:$D$1489,D845)&gt;6,1,0)</f>
        <v>0</v>
      </c>
      <c r="I845" s="1" t="n">
        <f aca="false">IF(AND(F845="Wire",E845&gt;=1000,MOD(E845,1000)=0),1,0)</f>
        <v>0</v>
      </c>
      <c r="J845" s="1" t="n">
        <f aca="false">IF(AND(F845="ATM",E845&gt;2000,D845&lt;=4),1,0)</f>
        <v>0</v>
      </c>
      <c r="K845" s="1" t="n">
        <f aca="false">IF(COUNTIF('SQL Findings'!$A$4:$A$18,B845)&gt;0,1,0)</f>
        <v>0</v>
      </c>
      <c r="L845" s="1" t="n">
        <f aca="false">SUM(H845:K845)</f>
        <v>0</v>
      </c>
      <c r="M845" s="1" t="str">
        <f aca="false">IF(L845&gt;=2,"High",IF(L845=1,"Medium","Low"))</f>
        <v>Low</v>
      </c>
    </row>
    <row r="846" customFormat="false" ht="15" hidden="false" customHeight="true" outlineLevel="0" collapsed="false">
      <c r="A846" s="1" t="str">
        <f aca="false">Transactions!A846</f>
        <v>TXN500684</v>
      </c>
      <c r="B846" s="1" t="str">
        <f aca="false">Transactions!B846</f>
        <v>ACC1029</v>
      </c>
      <c r="C846" s="1" t="str">
        <f aca="false">Transactions!I846</f>
        <v>2026-02-22</v>
      </c>
      <c r="D846" s="1" t="n">
        <f aca="false">Transactions!J846</f>
        <v>1</v>
      </c>
      <c r="E846" s="1" t="n">
        <f aca="false">Transactions!D846</f>
        <v>103.59</v>
      </c>
      <c r="F846" s="1" t="str">
        <f aca="false">Transactions!H846</f>
        <v>ATM</v>
      </c>
      <c r="G846" s="1" t="str">
        <f aca="false">Transactions!G846</f>
        <v>Cash Withdrawal</v>
      </c>
      <c r="H846" s="1" t="n">
        <f aca="false">IF(COUNTIFS($B$2:$B$1489,B846,$C$2:$C$1489,C846,$D$2:$D$1489,D846)&gt;6,1,0)</f>
        <v>0</v>
      </c>
      <c r="I846" s="1" t="n">
        <f aca="false">IF(AND(F846="Wire",E846&gt;=1000,MOD(E846,1000)=0),1,0)</f>
        <v>0</v>
      </c>
      <c r="J846" s="1" t="n">
        <f aca="false">IF(AND(F846="ATM",E846&gt;2000,D846&lt;=4),1,0)</f>
        <v>0</v>
      </c>
      <c r="K846" s="1" t="n">
        <f aca="false">IF(COUNTIF('SQL Findings'!$A$4:$A$18,B846)&gt;0,1,0)</f>
        <v>0</v>
      </c>
      <c r="L846" s="1" t="n">
        <f aca="false">SUM(H846:K846)</f>
        <v>0</v>
      </c>
      <c r="M846" s="1" t="str">
        <f aca="false">IF(L846&gt;=2,"High",IF(L846=1,"Medium","Low"))</f>
        <v>Low</v>
      </c>
    </row>
    <row r="847" customFormat="false" ht="15" hidden="false" customHeight="true" outlineLevel="0" collapsed="false">
      <c r="A847" s="1" t="str">
        <f aca="false">Transactions!A847</f>
        <v>TXN501362</v>
      </c>
      <c r="B847" s="1" t="str">
        <f aca="false">Transactions!B847</f>
        <v>ACC1059</v>
      </c>
      <c r="C847" s="1" t="str">
        <f aca="false">Transactions!I847</f>
        <v>2026-02-22</v>
      </c>
      <c r="D847" s="1" t="n">
        <f aca="false">Transactions!J847</f>
        <v>4</v>
      </c>
      <c r="E847" s="1" t="n">
        <f aca="false">Transactions!D847</f>
        <v>112.32</v>
      </c>
      <c r="F847" s="1" t="str">
        <f aca="false">Transactions!H847</f>
        <v>Online</v>
      </c>
      <c r="G847" s="1" t="str">
        <f aca="false">Transactions!G847</f>
        <v>Online Marketplace</v>
      </c>
      <c r="H847" s="1" t="n">
        <f aca="false">IF(COUNTIFS($B$2:$B$1489,B847,$C$2:$C$1489,C847,$D$2:$D$1489,D847)&gt;6,1,0)</f>
        <v>0</v>
      </c>
      <c r="I847" s="1" t="n">
        <f aca="false">IF(AND(F847="Wire",E847&gt;=1000,MOD(E847,1000)=0),1,0)</f>
        <v>0</v>
      </c>
      <c r="J847" s="1" t="n">
        <f aca="false">IF(AND(F847="ATM",E847&gt;2000,D847&lt;=4),1,0)</f>
        <v>0</v>
      </c>
      <c r="K847" s="1" t="n">
        <f aca="false">IF(COUNTIF('SQL Findings'!$A$4:$A$18,B847)&gt;0,1,0)</f>
        <v>0</v>
      </c>
      <c r="L847" s="1" t="n">
        <f aca="false">SUM(H847:K847)</f>
        <v>0</v>
      </c>
      <c r="M847" s="1" t="str">
        <f aca="false">IF(L847&gt;=2,"High",IF(L847=1,"Medium","Low"))</f>
        <v>Low</v>
      </c>
    </row>
    <row r="848" customFormat="false" ht="15" hidden="false" customHeight="true" outlineLevel="0" collapsed="false">
      <c r="A848" s="1" t="str">
        <f aca="false">Transactions!A848</f>
        <v>TXN500522</v>
      </c>
      <c r="B848" s="1" t="str">
        <f aca="false">Transactions!B848</f>
        <v>ACC1023</v>
      </c>
      <c r="C848" s="1" t="str">
        <f aca="false">Transactions!I848</f>
        <v>2026-02-22</v>
      </c>
      <c r="D848" s="1" t="n">
        <f aca="false">Transactions!J848</f>
        <v>6</v>
      </c>
      <c r="E848" s="1" t="n">
        <f aca="false">Transactions!D848</f>
        <v>108.75</v>
      </c>
      <c r="F848" s="1" t="str">
        <f aca="false">Transactions!H848</f>
        <v>POS</v>
      </c>
      <c r="G848" s="1" t="str">
        <f aca="false">Transactions!G848</f>
        <v>Dining</v>
      </c>
      <c r="H848" s="1" t="n">
        <f aca="false">IF(COUNTIFS($B$2:$B$1489,B848,$C$2:$C$1489,C848,$D$2:$D$1489,D848)&gt;6,1,0)</f>
        <v>0</v>
      </c>
      <c r="I848" s="1" t="n">
        <f aca="false">IF(AND(F848="Wire",E848&gt;=1000,MOD(E848,1000)=0),1,0)</f>
        <v>0</v>
      </c>
      <c r="J848" s="1" t="n">
        <f aca="false">IF(AND(F848="ATM",E848&gt;2000,D848&lt;=4),1,0)</f>
        <v>0</v>
      </c>
      <c r="K848" s="1" t="n">
        <f aca="false">IF(COUNTIF('SQL Findings'!$A$4:$A$18,B848)&gt;0,1,0)</f>
        <v>0</v>
      </c>
      <c r="L848" s="1" t="n">
        <f aca="false">SUM(H848:K848)</f>
        <v>0</v>
      </c>
      <c r="M848" s="1" t="str">
        <f aca="false">IF(L848&gt;=2,"High",IF(L848=1,"Medium","Low"))</f>
        <v>Low</v>
      </c>
    </row>
    <row r="849" customFormat="false" ht="15" hidden="false" customHeight="true" outlineLevel="0" collapsed="false">
      <c r="A849" s="1" t="str">
        <f aca="false">Transactions!A849</f>
        <v>TXN501216</v>
      </c>
      <c r="B849" s="1" t="str">
        <f aca="false">Transactions!B849</f>
        <v>ACC1053</v>
      </c>
      <c r="C849" s="1" t="str">
        <f aca="false">Transactions!I849</f>
        <v>2026-02-22</v>
      </c>
      <c r="D849" s="1" t="n">
        <f aca="false">Transactions!J849</f>
        <v>7</v>
      </c>
      <c r="E849" s="1" t="n">
        <f aca="false">Transactions!D849</f>
        <v>204.99</v>
      </c>
      <c r="F849" s="1" t="str">
        <f aca="false">Transactions!H849</f>
        <v>POS</v>
      </c>
      <c r="G849" s="1" t="str">
        <f aca="false">Transactions!G849</f>
        <v>Dining</v>
      </c>
      <c r="H849" s="1" t="n">
        <f aca="false">IF(COUNTIFS($B$2:$B$1489,B849,$C$2:$C$1489,C849,$D$2:$D$1489,D849)&gt;6,1,0)</f>
        <v>0</v>
      </c>
      <c r="I849" s="1" t="n">
        <f aca="false">IF(AND(F849="Wire",E849&gt;=1000,MOD(E849,1000)=0),1,0)</f>
        <v>0</v>
      </c>
      <c r="J849" s="1" t="n">
        <f aca="false">IF(AND(F849="ATM",E849&gt;2000,D849&lt;=4),1,0)</f>
        <v>0</v>
      </c>
      <c r="K849" s="1" t="n">
        <f aca="false">IF(COUNTIF('SQL Findings'!$A$4:$A$18,B849)&gt;0,1,0)</f>
        <v>0</v>
      </c>
      <c r="L849" s="1" t="n">
        <f aca="false">SUM(H849:K849)</f>
        <v>0</v>
      </c>
      <c r="M849" s="1" t="str">
        <f aca="false">IF(L849&gt;=2,"High",IF(L849=1,"Medium","Low"))</f>
        <v>Low</v>
      </c>
    </row>
    <row r="850" customFormat="false" ht="15" hidden="false" customHeight="true" outlineLevel="0" collapsed="false">
      <c r="A850" s="1" t="str">
        <f aca="false">Transactions!A850</f>
        <v>TXN501227</v>
      </c>
      <c r="B850" s="1" t="str">
        <f aca="false">Transactions!B850</f>
        <v>ACC1054</v>
      </c>
      <c r="C850" s="1" t="str">
        <f aca="false">Transactions!I850</f>
        <v>2026-02-22</v>
      </c>
      <c r="D850" s="1" t="n">
        <f aca="false">Transactions!J850</f>
        <v>9</v>
      </c>
      <c r="E850" s="1" t="n">
        <f aca="false">Transactions!D850</f>
        <v>69.37</v>
      </c>
      <c r="F850" s="1" t="str">
        <f aca="false">Transactions!H850</f>
        <v>Online</v>
      </c>
      <c r="G850" s="1" t="str">
        <f aca="false">Transactions!G850</f>
        <v>Travel</v>
      </c>
      <c r="H850" s="1" t="n">
        <f aca="false">IF(COUNTIFS($B$2:$B$1489,B850,$C$2:$C$1489,C850,$D$2:$D$1489,D850)&gt;6,1,0)</f>
        <v>0</v>
      </c>
      <c r="I850" s="1" t="n">
        <f aca="false">IF(AND(F850="Wire",E850&gt;=1000,MOD(E850,1000)=0),1,0)</f>
        <v>0</v>
      </c>
      <c r="J850" s="1" t="n">
        <f aca="false">IF(AND(F850="ATM",E850&gt;2000,D850&lt;=4),1,0)</f>
        <v>0</v>
      </c>
      <c r="K850" s="1" t="n">
        <f aca="false">IF(COUNTIF('SQL Findings'!$A$4:$A$18,B850)&gt;0,1,0)</f>
        <v>0</v>
      </c>
      <c r="L850" s="1" t="n">
        <f aca="false">SUM(H850:K850)</f>
        <v>0</v>
      </c>
      <c r="M850" s="1" t="str">
        <f aca="false">IF(L850&gt;=2,"High",IF(L850=1,"Medium","Low"))</f>
        <v>Low</v>
      </c>
    </row>
    <row r="851" customFormat="false" ht="15" hidden="false" customHeight="true" outlineLevel="0" collapsed="false">
      <c r="A851" s="1" t="str">
        <f aca="false">Transactions!A851</f>
        <v>TXN500940</v>
      </c>
      <c r="B851" s="1" t="str">
        <f aca="false">Transactions!B851</f>
        <v>ACC1040</v>
      </c>
      <c r="C851" s="1" t="str">
        <f aca="false">Transactions!I851</f>
        <v>2026-02-22</v>
      </c>
      <c r="D851" s="1" t="n">
        <f aca="false">Transactions!J851</f>
        <v>10</v>
      </c>
      <c r="E851" s="1" t="n">
        <f aca="false">Transactions!D851</f>
        <v>40.14</v>
      </c>
      <c r="F851" s="1" t="str">
        <f aca="false">Transactions!H851</f>
        <v>Online</v>
      </c>
      <c r="G851" s="1" t="str">
        <f aca="false">Transactions!G851</f>
        <v>Wire Transfer</v>
      </c>
      <c r="H851" s="1" t="n">
        <f aca="false">IF(COUNTIFS($B$2:$B$1489,B851,$C$2:$C$1489,C851,$D$2:$D$1489,D851)&gt;6,1,0)</f>
        <v>0</v>
      </c>
      <c r="I851" s="1" t="n">
        <f aca="false">IF(AND(F851="Wire",E851&gt;=1000,MOD(E851,1000)=0),1,0)</f>
        <v>0</v>
      </c>
      <c r="J851" s="1" t="n">
        <f aca="false">IF(AND(F851="ATM",E851&gt;2000,D851&lt;=4),1,0)</f>
        <v>0</v>
      </c>
      <c r="K851" s="1" t="n">
        <f aca="false">IF(COUNTIF('SQL Findings'!$A$4:$A$18,B851)&gt;0,1,0)</f>
        <v>1</v>
      </c>
      <c r="L851" s="1" t="n">
        <f aca="false">SUM(H851:K851)</f>
        <v>1</v>
      </c>
      <c r="M851" s="1" t="str">
        <f aca="false">IF(L851&gt;=2,"High",IF(L851=1,"Medium","Low"))</f>
        <v>Medium</v>
      </c>
    </row>
    <row r="852" customFormat="false" ht="15" hidden="false" customHeight="true" outlineLevel="0" collapsed="false">
      <c r="A852" s="1" t="str">
        <f aca="false">Transactions!A852</f>
        <v>TXN501240</v>
      </c>
      <c r="B852" s="1" t="str">
        <f aca="false">Transactions!B852</f>
        <v>ACC1054</v>
      </c>
      <c r="C852" s="1" t="str">
        <f aca="false">Transactions!I852</f>
        <v>2026-02-22</v>
      </c>
      <c r="D852" s="1" t="n">
        <f aca="false">Transactions!J852</f>
        <v>11</v>
      </c>
      <c r="E852" s="1" t="n">
        <f aca="false">Transactions!D852</f>
        <v>288.75</v>
      </c>
      <c r="F852" s="1" t="str">
        <f aca="false">Transactions!H852</f>
        <v>POS</v>
      </c>
      <c r="G852" s="1" t="str">
        <f aca="false">Transactions!G852</f>
        <v>Retail</v>
      </c>
      <c r="H852" s="1" t="n">
        <f aca="false">IF(COUNTIFS($B$2:$B$1489,B852,$C$2:$C$1489,C852,$D$2:$D$1489,D852)&gt;6,1,0)</f>
        <v>0</v>
      </c>
      <c r="I852" s="1" t="n">
        <f aca="false">IF(AND(F852="Wire",E852&gt;=1000,MOD(E852,1000)=0),1,0)</f>
        <v>0</v>
      </c>
      <c r="J852" s="1" t="n">
        <f aca="false">IF(AND(F852="ATM",E852&gt;2000,D852&lt;=4),1,0)</f>
        <v>0</v>
      </c>
      <c r="K852" s="1" t="n">
        <f aca="false">IF(COUNTIF('SQL Findings'!$A$4:$A$18,B852)&gt;0,1,0)</f>
        <v>0</v>
      </c>
      <c r="L852" s="1" t="n">
        <f aca="false">SUM(H852:K852)</f>
        <v>0</v>
      </c>
      <c r="M852" s="1" t="str">
        <f aca="false">IF(L852&gt;=2,"High",IF(L852=1,"Medium","Low"))</f>
        <v>Low</v>
      </c>
    </row>
    <row r="853" customFormat="false" ht="15" hidden="false" customHeight="true" outlineLevel="0" collapsed="false">
      <c r="A853" s="1" t="str">
        <f aca="false">Transactions!A853</f>
        <v>TXN500139</v>
      </c>
      <c r="B853" s="1" t="str">
        <f aca="false">Transactions!B853</f>
        <v>ACC1006</v>
      </c>
      <c r="C853" s="1" t="str">
        <f aca="false">Transactions!I853</f>
        <v>2026-02-22</v>
      </c>
      <c r="D853" s="1" t="n">
        <f aca="false">Transactions!J853</f>
        <v>11</v>
      </c>
      <c r="E853" s="1" t="n">
        <f aca="false">Transactions!D853</f>
        <v>138.68</v>
      </c>
      <c r="F853" s="1" t="str">
        <f aca="false">Transactions!H853</f>
        <v>ATM</v>
      </c>
      <c r="G853" s="1" t="str">
        <f aca="false">Transactions!G853</f>
        <v>Dining</v>
      </c>
      <c r="H853" s="1" t="n">
        <f aca="false">IF(COUNTIFS($B$2:$B$1489,B853,$C$2:$C$1489,C853,$D$2:$D$1489,D853)&gt;6,1,0)</f>
        <v>0</v>
      </c>
      <c r="I853" s="1" t="n">
        <f aca="false">IF(AND(F853="Wire",E853&gt;=1000,MOD(E853,1000)=0),1,0)</f>
        <v>0</v>
      </c>
      <c r="J853" s="1" t="n">
        <f aca="false">IF(AND(F853="ATM",E853&gt;2000,D853&lt;=4),1,0)</f>
        <v>0</v>
      </c>
      <c r="K853" s="1" t="n">
        <f aca="false">IF(COUNTIF('SQL Findings'!$A$4:$A$18,B853)&gt;0,1,0)</f>
        <v>0</v>
      </c>
      <c r="L853" s="1" t="n">
        <f aca="false">SUM(H853:K853)</f>
        <v>0</v>
      </c>
      <c r="M853" s="1" t="str">
        <f aca="false">IF(L853&gt;=2,"High",IF(L853=1,"Medium","Low"))</f>
        <v>Low</v>
      </c>
    </row>
    <row r="854" customFormat="false" ht="15" hidden="false" customHeight="true" outlineLevel="0" collapsed="false">
      <c r="A854" s="1" t="str">
        <f aca="false">Transactions!A854</f>
        <v>TXN500800</v>
      </c>
      <c r="B854" s="1" t="str">
        <f aca="false">Transactions!B854</f>
        <v>ACC1034</v>
      </c>
      <c r="C854" s="1" t="str">
        <f aca="false">Transactions!I854</f>
        <v>2026-02-22</v>
      </c>
      <c r="D854" s="1" t="n">
        <f aca="false">Transactions!J854</f>
        <v>12</v>
      </c>
      <c r="E854" s="1" t="n">
        <f aca="false">Transactions!D854</f>
        <v>68.5</v>
      </c>
      <c r="F854" s="1" t="str">
        <f aca="false">Transactions!H854</f>
        <v>Online</v>
      </c>
      <c r="G854" s="1" t="str">
        <f aca="false">Transactions!G854</f>
        <v>Retail</v>
      </c>
      <c r="H854" s="1" t="n">
        <f aca="false">IF(COUNTIFS($B$2:$B$1489,B854,$C$2:$C$1489,C854,$D$2:$D$1489,D854)&gt;6,1,0)</f>
        <v>0</v>
      </c>
      <c r="I854" s="1" t="n">
        <f aca="false">IF(AND(F854="Wire",E854&gt;=1000,MOD(E854,1000)=0),1,0)</f>
        <v>0</v>
      </c>
      <c r="J854" s="1" t="n">
        <f aca="false">IF(AND(F854="ATM",E854&gt;2000,D854&lt;=4),1,0)</f>
        <v>0</v>
      </c>
      <c r="K854" s="1" t="n">
        <f aca="false">IF(COUNTIF('SQL Findings'!$A$4:$A$18,B854)&gt;0,1,0)</f>
        <v>0</v>
      </c>
      <c r="L854" s="1" t="n">
        <f aca="false">SUM(H854:K854)</f>
        <v>0</v>
      </c>
      <c r="M854" s="1" t="str">
        <f aca="false">IF(L854&gt;=2,"High",IF(L854=1,"Medium","Low"))</f>
        <v>Low</v>
      </c>
    </row>
    <row r="855" customFormat="false" ht="15" hidden="false" customHeight="true" outlineLevel="0" collapsed="false">
      <c r="A855" s="1" t="str">
        <f aca="false">Transactions!A855</f>
        <v>TXN501349</v>
      </c>
      <c r="B855" s="1" t="str">
        <f aca="false">Transactions!B855</f>
        <v>ACC1058</v>
      </c>
      <c r="C855" s="1" t="str">
        <f aca="false">Transactions!I855</f>
        <v>2026-02-22</v>
      </c>
      <c r="D855" s="1" t="n">
        <f aca="false">Transactions!J855</f>
        <v>16</v>
      </c>
      <c r="E855" s="1" t="n">
        <f aca="false">Transactions!D855</f>
        <v>19.49</v>
      </c>
      <c r="F855" s="1" t="str">
        <f aca="false">Transactions!H855</f>
        <v>ATM</v>
      </c>
      <c r="G855" s="1" t="str">
        <f aca="false">Transactions!G855</f>
        <v>Online Marketplace</v>
      </c>
      <c r="H855" s="1" t="n">
        <f aca="false">IF(COUNTIFS($B$2:$B$1489,B855,$C$2:$C$1489,C855,$D$2:$D$1489,D855)&gt;6,1,0)</f>
        <v>0</v>
      </c>
      <c r="I855" s="1" t="n">
        <f aca="false">IF(AND(F855="Wire",E855&gt;=1000,MOD(E855,1000)=0),1,0)</f>
        <v>0</v>
      </c>
      <c r="J855" s="1" t="n">
        <f aca="false">IF(AND(F855="ATM",E855&gt;2000,D855&lt;=4),1,0)</f>
        <v>0</v>
      </c>
      <c r="K855" s="1" t="n">
        <f aca="false">IF(COUNTIF('SQL Findings'!$A$4:$A$18,B855)&gt;0,1,0)</f>
        <v>0</v>
      </c>
      <c r="L855" s="1" t="n">
        <f aca="false">SUM(H855:K855)</f>
        <v>0</v>
      </c>
      <c r="M855" s="1" t="str">
        <f aca="false">IF(L855&gt;=2,"High",IF(L855=1,"Medium","Low"))</f>
        <v>Low</v>
      </c>
    </row>
    <row r="856" customFormat="false" ht="15" hidden="false" customHeight="true" outlineLevel="0" collapsed="false">
      <c r="A856" s="1" t="str">
        <f aca="false">Transactions!A856</f>
        <v>TXN500385</v>
      </c>
      <c r="B856" s="1" t="str">
        <f aca="false">Transactions!B856</f>
        <v>ACC1016</v>
      </c>
      <c r="C856" s="1" t="str">
        <f aca="false">Transactions!I856</f>
        <v>2026-02-22</v>
      </c>
      <c r="D856" s="1" t="n">
        <f aca="false">Transactions!J856</f>
        <v>16</v>
      </c>
      <c r="E856" s="1" t="n">
        <f aca="false">Transactions!D856</f>
        <v>33.68</v>
      </c>
      <c r="F856" s="1" t="str">
        <f aca="false">Transactions!H856</f>
        <v>POS</v>
      </c>
      <c r="G856" s="1" t="str">
        <f aca="false">Transactions!G856</f>
        <v>Electronics</v>
      </c>
      <c r="H856" s="1" t="n">
        <f aca="false">IF(COUNTIFS($B$2:$B$1489,B856,$C$2:$C$1489,C856,$D$2:$D$1489,D856)&gt;6,1,0)</f>
        <v>0</v>
      </c>
      <c r="I856" s="1" t="n">
        <f aca="false">IF(AND(F856="Wire",E856&gt;=1000,MOD(E856,1000)=0),1,0)</f>
        <v>0</v>
      </c>
      <c r="J856" s="1" t="n">
        <f aca="false">IF(AND(F856="ATM",E856&gt;2000,D856&lt;=4),1,0)</f>
        <v>0</v>
      </c>
      <c r="K856" s="1" t="n">
        <f aca="false">IF(COUNTIF('SQL Findings'!$A$4:$A$18,B856)&gt;0,1,0)</f>
        <v>0</v>
      </c>
      <c r="L856" s="1" t="n">
        <f aca="false">SUM(H856:K856)</f>
        <v>0</v>
      </c>
      <c r="M856" s="1" t="str">
        <f aca="false">IF(L856&gt;=2,"High",IF(L856=1,"Medium","Low"))</f>
        <v>Low</v>
      </c>
    </row>
    <row r="857" customFormat="false" ht="15" hidden="false" customHeight="true" outlineLevel="0" collapsed="false">
      <c r="A857" s="1" t="str">
        <f aca="false">Transactions!A857</f>
        <v>TXN501094</v>
      </c>
      <c r="B857" s="1" t="str">
        <f aca="false">Transactions!B857</f>
        <v>ACC1048</v>
      </c>
      <c r="C857" s="1" t="str">
        <f aca="false">Transactions!I857</f>
        <v>2026-02-22</v>
      </c>
      <c r="D857" s="1" t="n">
        <f aca="false">Transactions!J857</f>
        <v>18</v>
      </c>
      <c r="E857" s="1" t="n">
        <f aca="false">Transactions!D857</f>
        <v>69.88</v>
      </c>
      <c r="F857" s="1" t="str">
        <f aca="false">Transactions!H857</f>
        <v>POS</v>
      </c>
      <c r="G857" s="1" t="str">
        <f aca="false">Transactions!G857</f>
        <v>Wire Transfer</v>
      </c>
      <c r="H857" s="1" t="n">
        <f aca="false">IF(COUNTIFS($B$2:$B$1489,B857,$C$2:$C$1489,C857,$D$2:$D$1489,D857)&gt;6,1,0)</f>
        <v>0</v>
      </c>
      <c r="I857" s="1" t="n">
        <f aca="false">IF(AND(F857="Wire",E857&gt;=1000,MOD(E857,1000)=0),1,0)</f>
        <v>0</v>
      </c>
      <c r="J857" s="1" t="n">
        <f aca="false">IF(AND(F857="ATM",E857&gt;2000,D857&lt;=4),1,0)</f>
        <v>0</v>
      </c>
      <c r="K857" s="1" t="n">
        <f aca="false">IF(COUNTIF('SQL Findings'!$A$4:$A$18,B857)&gt;0,1,0)</f>
        <v>0</v>
      </c>
      <c r="L857" s="1" t="n">
        <f aca="false">SUM(H857:K857)</f>
        <v>0</v>
      </c>
      <c r="M857" s="1" t="str">
        <f aca="false">IF(L857&gt;=2,"High",IF(L857=1,"Medium","Low"))</f>
        <v>Low</v>
      </c>
    </row>
    <row r="858" customFormat="false" ht="15" hidden="false" customHeight="true" outlineLevel="0" collapsed="false">
      <c r="A858" s="1" t="str">
        <f aca="false">Transactions!A858</f>
        <v>TXN500714</v>
      </c>
      <c r="B858" s="1" t="str">
        <f aca="false">Transactions!B858</f>
        <v>ACC1030</v>
      </c>
      <c r="C858" s="1" t="str">
        <f aca="false">Transactions!I858</f>
        <v>2026-02-22</v>
      </c>
      <c r="D858" s="1" t="n">
        <f aca="false">Transactions!J858</f>
        <v>18</v>
      </c>
      <c r="E858" s="1" t="n">
        <f aca="false">Transactions!D858</f>
        <v>95.51</v>
      </c>
      <c r="F858" s="1" t="str">
        <f aca="false">Transactions!H858</f>
        <v>POS</v>
      </c>
      <c r="G858" s="1" t="str">
        <f aca="false">Transactions!G858</f>
        <v>Retail</v>
      </c>
      <c r="H858" s="1" t="n">
        <f aca="false">IF(COUNTIFS($B$2:$B$1489,B858,$C$2:$C$1489,C858,$D$2:$D$1489,D858)&gt;6,1,0)</f>
        <v>0</v>
      </c>
      <c r="I858" s="1" t="n">
        <f aca="false">IF(AND(F858="Wire",E858&gt;=1000,MOD(E858,1000)=0),1,0)</f>
        <v>0</v>
      </c>
      <c r="J858" s="1" t="n">
        <f aca="false">IF(AND(F858="ATM",E858&gt;2000,D858&lt;=4),1,0)</f>
        <v>0</v>
      </c>
      <c r="K858" s="1" t="n">
        <f aca="false">IF(COUNTIF('SQL Findings'!$A$4:$A$18,B858)&gt;0,1,0)</f>
        <v>1</v>
      </c>
      <c r="L858" s="1" t="n">
        <f aca="false">SUM(H858:K858)</f>
        <v>1</v>
      </c>
      <c r="M858" s="1" t="str">
        <f aca="false">IF(L858&gt;=2,"High",IF(L858=1,"Medium","Low"))</f>
        <v>Medium</v>
      </c>
    </row>
    <row r="859" customFormat="false" ht="15" hidden="false" customHeight="true" outlineLevel="0" collapsed="false">
      <c r="A859" s="1" t="str">
        <f aca="false">Transactions!A859</f>
        <v>TXN501265</v>
      </c>
      <c r="B859" s="1" t="str">
        <f aca="false">Transactions!B859</f>
        <v>ACC1055</v>
      </c>
      <c r="C859" s="1" t="str">
        <f aca="false">Transactions!I859</f>
        <v>2026-02-22</v>
      </c>
      <c r="D859" s="1" t="n">
        <f aca="false">Transactions!J859</f>
        <v>20</v>
      </c>
      <c r="E859" s="1" t="n">
        <f aca="false">Transactions!D859</f>
        <v>77.67</v>
      </c>
      <c r="F859" s="1" t="str">
        <f aca="false">Transactions!H859</f>
        <v>ATM</v>
      </c>
      <c r="G859" s="1" t="str">
        <f aca="false">Transactions!G859</f>
        <v>Utilities</v>
      </c>
      <c r="H859" s="1" t="n">
        <f aca="false">IF(COUNTIFS($B$2:$B$1489,B859,$C$2:$C$1489,C859,$D$2:$D$1489,D859)&gt;6,1,0)</f>
        <v>0</v>
      </c>
      <c r="I859" s="1" t="n">
        <f aca="false">IF(AND(F859="Wire",E859&gt;=1000,MOD(E859,1000)=0),1,0)</f>
        <v>0</v>
      </c>
      <c r="J859" s="1" t="n">
        <f aca="false">IF(AND(F859="ATM",E859&gt;2000,D859&lt;=4),1,0)</f>
        <v>0</v>
      </c>
      <c r="K859" s="1" t="n">
        <f aca="false">IF(COUNTIF('SQL Findings'!$A$4:$A$18,B859)&gt;0,1,0)</f>
        <v>1</v>
      </c>
      <c r="L859" s="1" t="n">
        <f aca="false">SUM(H859:K859)</f>
        <v>1</v>
      </c>
      <c r="M859" s="1" t="str">
        <f aca="false">IF(L859&gt;=2,"High",IF(L859=1,"Medium","Low"))</f>
        <v>Medium</v>
      </c>
    </row>
    <row r="860" customFormat="false" ht="15" hidden="false" customHeight="true" outlineLevel="0" collapsed="false">
      <c r="A860" s="1" t="str">
        <f aca="false">Transactions!A860</f>
        <v>TXN500619</v>
      </c>
      <c r="B860" s="1" t="str">
        <f aca="false">Transactions!B860</f>
        <v>ACC1027</v>
      </c>
      <c r="C860" s="1" t="str">
        <f aca="false">Transactions!I860</f>
        <v>2026-02-22</v>
      </c>
      <c r="D860" s="1" t="n">
        <f aca="false">Transactions!J860</f>
        <v>20</v>
      </c>
      <c r="E860" s="1" t="n">
        <f aca="false">Transactions!D860</f>
        <v>102.81</v>
      </c>
      <c r="F860" s="1" t="str">
        <f aca="false">Transactions!H860</f>
        <v>ATM</v>
      </c>
      <c r="G860" s="1" t="str">
        <f aca="false">Transactions!G860</f>
        <v>Travel</v>
      </c>
      <c r="H860" s="1" t="n">
        <f aca="false">IF(COUNTIFS($B$2:$B$1489,B860,$C$2:$C$1489,C860,$D$2:$D$1489,D860)&gt;6,1,0)</f>
        <v>0</v>
      </c>
      <c r="I860" s="1" t="n">
        <f aca="false">IF(AND(F860="Wire",E860&gt;=1000,MOD(E860,1000)=0),1,0)</f>
        <v>0</v>
      </c>
      <c r="J860" s="1" t="n">
        <f aca="false">IF(AND(F860="ATM",E860&gt;2000,D860&lt;=4),1,0)</f>
        <v>0</v>
      </c>
      <c r="K860" s="1" t="n">
        <f aca="false">IF(COUNTIF('SQL Findings'!$A$4:$A$18,B860)&gt;0,1,0)</f>
        <v>0</v>
      </c>
      <c r="L860" s="1" t="n">
        <f aca="false">SUM(H860:K860)</f>
        <v>0</v>
      </c>
      <c r="M860" s="1" t="str">
        <f aca="false">IF(L860&gt;=2,"High",IF(L860=1,"Medium","Low"))</f>
        <v>Low</v>
      </c>
    </row>
    <row r="861" customFormat="false" ht="15" hidden="false" customHeight="true" outlineLevel="0" collapsed="false">
      <c r="A861" s="1" t="str">
        <f aca="false">Transactions!A861</f>
        <v>TXN501039</v>
      </c>
      <c r="B861" s="1" t="str">
        <f aca="false">Transactions!B861</f>
        <v>ACC1045</v>
      </c>
      <c r="C861" s="1" t="str">
        <f aca="false">Transactions!I861</f>
        <v>2026-02-22</v>
      </c>
      <c r="D861" s="1" t="n">
        <f aca="false">Transactions!J861</f>
        <v>21</v>
      </c>
      <c r="E861" s="1" t="n">
        <f aca="false">Transactions!D861</f>
        <v>81.61</v>
      </c>
      <c r="F861" s="1" t="str">
        <f aca="false">Transactions!H861</f>
        <v>ATM</v>
      </c>
      <c r="G861" s="1" t="str">
        <f aca="false">Transactions!G861</f>
        <v>Retail</v>
      </c>
      <c r="H861" s="1" t="n">
        <f aca="false">IF(COUNTIFS($B$2:$B$1489,B861,$C$2:$C$1489,C861,$D$2:$D$1489,D861)&gt;6,1,0)</f>
        <v>0</v>
      </c>
      <c r="I861" s="1" t="n">
        <f aca="false">IF(AND(F861="Wire",E861&gt;=1000,MOD(E861,1000)=0),1,0)</f>
        <v>0</v>
      </c>
      <c r="J861" s="1" t="n">
        <f aca="false">IF(AND(F861="ATM",E861&gt;2000,D861&lt;=4),1,0)</f>
        <v>0</v>
      </c>
      <c r="K861" s="1" t="n">
        <f aca="false">IF(COUNTIF('SQL Findings'!$A$4:$A$18,B861)&gt;0,1,0)</f>
        <v>0</v>
      </c>
      <c r="L861" s="1" t="n">
        <f aca="false">SUM(H861:K861)</f>
        <v>0</v>
      </c>
      <c r="M861" s="1" t="str">
        <f aca="false">IF(L861&gt;=2,"High",IF(L861=1,"Medium","Low"))</f>
        <v>Low</v>
      </c>
    </row>
    <row r="862" customFormat="false" ht="15" hidden="false" customHeight="true" outlineLevel="0" collapsed="false">
      <c r="A862" s="1" t="str">
        <f aca="false">Transactions!A862</f>
        <v>TXN501208</v>
      </c>
      <c r="B862" s="1" t="str">
        <f aca="false">Transactions!B862</f>
        <v>ACC1053</v>
      </c>
      <c r="C862" s="1" t="str">
        <f aca="false">Transactions!I862</f>
        <v>2026-02-22</v>
      </c>
      <c r="D862" s="1" t="n">
        <f aca="false">Transactions!J862</f>
        <v>22</v>
      </c>
      <c r="E862" s="1" t="n">
        <f aca="false">Transactions!D862</f>
        <v>36.72</v>
      </c>
      <c r="F862" s="1" t="str">
        <f aca="false">Transactions!H862</f>
        <v>ATM</v>
      </c>
      <c r="G862" s="1" t="str">
        <f aca="false">Transactions!G862</f>
        <v>Online Marketplace</v>
      </c>
      <c r="H862" s="1" t="n">
        <f aca="false">IF(COUNTIFS($B$2:$B$1489,B862,$C$2:$C$1489,C862,$D$2:$D$1489,D862)&gt;6,1,0)</f>
        <v>0</v>
      </c>
      <c r="I862" s="1" t="n">
        <f aca="false">IF(AND(F862="Wire",E862&gt;=1000,MOD(E862,1000)=0),1,0)</f>
        <v>0</v>
      </c>
      <c r="J862" s="1" t="n">
        <f aca="false">IF(AND(F862="ATM",E862&gt;2000,D862&lt;=4),1,0)</f>
        <v>0</v>
      </c>
      <c r="K862" s="1" t="n">
        <f aca="false">IF(COUNTIF('SQL Findings'!$A$4:$A$18,B862)&gt;0,1,0)</f>
        <v>0</v>
      </c>
      <c r="L862" s="1" t="n">
        <f aca="false">SUM(H862:K862)</f>
        <v>0</v>
      </c>
      <c r="M862" s="1" t="str">
        <f aca="false">IF(L862&gt;=2,"High",IF(L862=1,"Medium","Low"))</f>
        <v>Low</v>
      </c>
    </row>
    <row r="863" customFormat="false" ht="15" hidden="false" customHeight="true" outlineLevel="0" collapsed="false">
      <c r="A863" s="1" t="str">
        <f aca="false">Transactions!A863</f>
        <v>TXN500502</v>
      </c>
      <c r="B863" s="1" t="str">
        <f aca="false">Transactions!B863</f>
        <v>ACC1022</v>
      </c>
      <c r="C863" s="1" t="str">
        <f aca="false">Transactions!I863</f>
        <v>2026-02-22</v>
      </c>
      <c r="D863" s="1" t="n">
        <f aca="false">Transactions!J863</f>
        <v>22</v>
      </c>
      <c r="E863" s="1" t="n">
        <f aca="false">Transactions!D863</f>
        <v>371.84</v>
      </c>
      <c r="F863" s="1" t="str">
        <f aca="false">Transactions!H863</f>
        <v>Online</v>
      </c>
      <c r="G863" s="1" t="str">
        <f aca="false">Transactions!G863</f>
        <v>Travel</v>
      </c>
      <c r="H863" s="1" t="n">
        <f aca="false">IF(COUNTIFS($B$2:$B$1489,B863,$C$2:$C$1489,C863,$D$2:$D$1489,D863)&gt;6,1,0)</f>
        <v>0</v>
      </c>
      <c r="I863" s="1" t="n">
        <f aca="false">IF(AND(F863="Wire",E863&gt;=1000,MOD(E863,1000)=0),1,0)</f>
        <v>0</v>
      </c>
      <c r="J863" s="1" t="n">
        <f aca="false">IF(AND(F863="ATM",E863&gt;2000,D863&lt;=4),1,0)</f>
        <v>0</v>
      </c>
      <c r="K863" s="1" t="n">
        <f aca="false">IF(COUNTIF('SQL Findings'!$A$4:$A$18,B863)&gt;0,1,0)</f>
        <v>0</v>
      </c>
      <c r="L863" s="1" t="n">
        <f aca="false">SUM(H863:K863)</f>
        <v>0</v>
      </c>
      <c r="M863" s="1" t="str">
        <f aca="false">IF(L863&gt;=2,"High",IF(L863=1,"Medium","Low"))</f>
        <v>Low</v>
      </c>
    </row>
    <row r="864" customFormat="false" ht="15" hidden="false" customHeight="true" outlineLevel="0" collapsed="false">
      <c r="A864" s="1" t="str">
        <f aca="false">Transactions!A864</f>
        <v>TXN500776</v>
      </c>
      <c r="B864" s="1" t="str">
        <f aca="false">Transactions!B864</f>
        <v>ACC1033</v>
      </c>
      <c r="C864" s="1" t="str">
        <f aca="false">Transactions!I864</f>
        <v>2026-02-23</v>
      </c>
      <c r="D864" s="1" t="n">
        <f aca="false">Transactions!J864</f>
        <v>6</v>
      </c>
      <c r="E864" s="1" t="n">
        <f aca="false">Transactions!D864</f>
        <v>16.23</v>
      </c>
      <c r="F864" s="1" t="str">
        <f aca="false">Transactions!H864</f>
        <v>POS</v>
      </c>
      <c r="G864" s="1" t="str">
        <f aca="false">Transactions!G864</f>
        <v>Electronics</v>
      </c>
      <c r="H864" s="1" t="n">
        <f aca="false">IF(COUNTIFS($B$2:$B$1489,B864,$C$2:$C$1489,C864,$D$2:$D$1489,D864)&gt;6,1,0)</f>
        <v>0</v>
      </c>
      <c r="I864" s="1" t="n">
        <f aca="false">IF(AND(F864="Wire",E864&gt;=1000,MOD(E864,1000)=0),1,0)</f>
        <v>0</v>
      </c>
      <c r="J864" s="1" t="n">
        <f aca="false">IF(AND(F864="ATM",E864&gt;2000,D864&lt;=4),1,0)</f>
        <v>0</v>
      </c>
      <c r="K864" s="1" t="n">
        <f aca="false">IF(COUNTIF('SQL Findings'!$A$4:$A$18,B864)&gt;0,1,0)</f>
        <v>0</v>
      </c>
      <c r="L864" s="1" t="n">
        <f aca="false">SUM(H864:K864)</f>
        <v>0</v>
      </c>
      <c r="M864" s="1" t="str">
        <f aca="false">IF(L864&gt;=2,"High",IF(L864=1,"Medium","Low"))</f>
        <v>Low</v>
      </c>
    </row>
    <row r="865" customFormat="false" ht="15" hidden="false" customHeight="true" outlineLevel="0" collapsed="false">
      <c r="A865" s="1" t="str">
        <f aca="false">Transactions!A865</f>
        <v>TXN500347</v>
      </c>
      <c r="B865" s="1" t="str">
        <f aca="false">Transactions!B865</f>
        <v>ACC1015</v>
      </c>
      <c r="C865" s="1" t="str">
        <f aca="false">Transactions!I865</f>
        <v>2026-02-23</v>
      </c>
      <c r="D865" s="1" t="n">
        <f aca="false">Transactions!J865</f>
        <v>6</v>
      </c>
      <c r="E865" s="1" t="n">
        <f aca="false">Transactions!D865</f>
        <v>18.11</v>
      </c>
      <c r="F865" s="1" t="str">
        <f aca="false">Transactions!H865</f>
        <v>ATM</v>
      </c>
      <c r="G865" s="1" t="str">
        <f aca="false">Transactions!G865</f>
        <v>Electronics</v>
      </c>
      <c r="H865" s="1" t="n">
        <f aca="false">IF(COUNTIFS($B$2:$B$1489,B865,$C$2:$C$1489,C865,$D$2:$D$1489,D865)&gt;6,1,0)</f>
        <v>0</v>
      </c>
      <c r="I865" s="1" t="n">
        <f aca="false">IF(AND(F865="Wire",E865&gt;=1000,MOD(E865,1000)=0),1,0)</f>
        <v>0</v>
      </c>
      <c r="J865" s="1" t="n">
        <f aca="false">IF(AND(F865="ATM",E865&gt;2000,D865&lt;=4),1,0)</f>
        <v>0</v>
      </c>
      <c r="K865" s="1" t="n">
        <f aca="false">IF(COUNTIF('SQL Findings'!$A$4:$A$18,B865)&gt;0,1,0)</f>
        <v>1</v>
      </c>
      <c r="L865" s="1" t="n">
        <f aca="false">SUM(H865:K865)</f>
        <v>1</v>
      </c>
      <c r="M865" s="1" t="str">
        <f aca="false">IF(L865&gt;=2,"High",IF(L865=1,"Medium","Low"))</f>
        <v>Medium</v>
      </c>
    </row>
    <row r="866" customFormat="false" ht="15" hidden="false" customHeight="true" outlineLevel="0" collapsed="false">
      <c r="A866" s="1" t="str">
        <f aca="false">Transactions!A866</f>
        <v>TXN500406</v>
      </c>
      <c r="B866" s="1" t="str">
        <f aca="false">Transactions!B866</f>
        <v>ACC1017</v>
      </c>
      <c r="C866" s="1" t="str">
        <f aca="false">Transactions!I866</f>
        <v>2026-02-23</v>
      </c>
      <c r="D866" s="1" t="n">
        <f aca="false">Transactions!J866</f>
        <v>7</v>
      </c>
      <c r="E866" s="1" t="n">
        <f aca="false">Transactions!D866</f>
        <v>116.81</v>
      </c>
      <c r="F866" s="1" t="str">
        <f aca="false">Transactions!H866</f>
        <v>Online</v>
      </c>
      <c r="G866" s="1" t="str">
        <f aca="false">Transactions!G866</f>
        <v>Travel</v>
      </c>
      <c r="H866" s="1" t="n">
        <f aca="false">IF(COUNTIFS($B$2:$B$1489,B866,$C$2:$C$1489,C866,$D$2:$D$1489,D866)&gt;6,1,0)</f>
        <v>0</v>
      </c>
      <c r="I866" s="1" t="n">
        <f aca="false">IF(AND(F866="Wire",E866&gt;=1000,MOD(E866,1000)=0),1,0)</f>
        <v>0</v>
      </c>
      <c r="J866" s="1" t="n">
        <f aca="false">IF(AND(F866="ATM",E866&gt;2000,D866&lt;=4),1,0)</f>
        <v>0</v>
      </c>
      <c r="K866" s="1" t="n">
        <f aca="false">IF(COUNTIF('SQL Findings'!$A$4:$A$18,B866)&gt;0,1,0)</f>
        <v>0</v>
      </c>
      <c r="L866" s="1" t="n">
        <f aca="false">SUM(H866:K866)</f>
        <v>0</v>
      </c>
      <c r="M866" s="1" t="str">
        <f aca="false">IF(L866&gt;=2,"High",IF(L866=1,"Medium","Low"))</f>
        <v>Low</v>
      </c>
    </row>
    <row r="867" customFormat="false" ht="15" hidden="false" customHeight="true" outlineLevel="0" collapsed="false">
      <c r="A867" s="1" t="str">
        <f aca="false">Transactions!A867</f>
        <v>TXN500118</v>
      </c>
      <c r="B867" s="1" t="str">
        <f aca="false">Transactions!B867</f>
        <v>ACC1004</v>
      </c>
      <c r="C867" s="1" t="str">
        <f aca="false">Transactions!I867</f>
        <v>2026-02-23</v>
      </c>
      <c r="D867" s="1" t="n">
        <f aca="false">Transactions!J867</f>
        <v>8</v>
      </c>
      <c r="E867" s="1" t="n">
        <f aca="false">Transactions!D867</f>
        <v>23.29</v>
      </c>
      <c r="F867" s="1" t="str">
        <f aca="false">Transactions!H867</f>
        <v>POS</v>
      </c>
      <c r="G867" s="1" t="str">
        <f aca="false">Transactions!G867</f>
        <v>Online Marketplace</v>
      </c>
      <c r="H867" s="1" t="n">
        <f aca="false">IF(COUNTIFS($B$2:$B$1489,B867,$C$2:$C$1489,C867,$D$2:$D$1489,D867)&gt;6,1,0)</f>
        <v>0</v>
      </c>
      <c r="I867" s="1" t="n">
        <f aca="false">IF(AND(F867="Wire",E867&gt;=1000,MOD(E867,1000)=0),1,0)</f>
        <v>0</v>
      </c>
      <c r="J867" s="1" t="n">
        <f aca="false">IF(AND(F867="ATM",E867&gt;2000,D867&lt;=4),1,0)</f>
        <v>0</v>
      </c>
      <c r="K867" s="1" t="n">
        <f aca="false">IF(COUNTIF('SQL Findings'!$A$4:$A$18,B867)&gt;0,1,0)</f>
        <v>1</v>
      </c>
      <c r="L867" s="1" t="n">
        <f aca="false">SUM(H867:K867)</f>
        <v>1</v>
      </c>
      <c r="M867" s="1" t="str">
        <f aca="false">IF(L867&gt;=2,"High",IF(L867=1,"Medium","Low"))</f>
        <v>Medium</v>
      </c>
    </row>
    <row r="868" customFormat="false" ht="15" hidden="false" customHeight="true" outlineLevel="0" collapsed="false">
      <c r="A868" s="1" t="str">
        <f aca="false">Transactions!A868</f>
        <v>TXN500559</v>
      </c>
      <c r="B868" s="1" t="str">
        <f aca="false">Transactions!B868</f>
        <v>ACC1024</v>
      </c>
      <c r="C868" s="1" t="str">
        <f aca="false">Transactions!I868</f>
        <v>2026-02-23</v>
      </c>
      <c r="D868" s="1" t="n">
        <f aca="false">Transactions!J868</f>
        <v>8</v>
      </c>
      <c r="E868" s="1" t="n">
        <f aca="false">Transactions!D868</f>
        <v>95.11</v>
      </c>
      <c r="F868" s="1" t="str">
        <f aca="false">Transactions!H868</f>
        <v>Online</v>
      </c>
      <c r="G868" s="1" t="str">
        <f aca="false">Transactions!G868</f>
        <v>Electronics</v>
      </c>
      <c r="H868" s="1" t="n">
        <f aca="false">IF(COUNTIFS($B$2:$B$1489,B868,$C$2:$C$1489,C868,$D$2:$D$1489,D868)&gt;6,1,0)</f>
        <v>0</v>
      </c>
      <c r="I868" s="1" t="n">
        <f aca="false">IF(AND(F868="Wire",E868&gt;=1000,MOD(E868,1000)=0),1,0)</f>
        <v>0</v>
      </c>
      <c r="J868" s="1" t="n">
        <f aca="false">IF(AND(F868="ATM",E868&gt;2000,D868&lt;=4),1,0)</f>
        <v>0</v>
      </c>
      <c r="K868" s="1" t="n">
        <f aca="false">IF(COUNTIF('SQL Findings'!$A$4:$A$18,B868)&gt;0,1,0)</f>
        <v>1</v>
      </c>
      <c r="L868" s="1" t="n">
        <f aca="false">SUM(H868:K868)</f>
        <v>1</v>
      </c>
      <c r="M868" s="1" t="str">
        <f aca="false">IF(L868&gt;=2,"High",IF(L868=1,"Medium","Low"))</f>
        <v>Medium</v>
      </c>
    </row>
    <row r="869" customFormat="false" ht="15" hidden="false" customHeight="true" outlineLevel="0" collapsed="false">
      <c r="A869" s="1" t="str">
        <f aca="false">Transactions!A869</f>
        <v>TXN500622</v>
      </c>
      <c r="B869" s="1" t="str">
        <f aca="false">Transactions!B869</f>
        <v>ACC1027</v>
      </c>
      <c r="C869" s="1" t="str">
        <f aca="false">Transactions!I869</f>
        <v>2026-02-23</v>
      </c>
      <c r="D869" s="1" t="n">
        <f aca="false">Transactions!J869</f>
        <v>10</v>
      </c>
      <c r="E869" s="1" t="n">
        <f aca="false">Transactions!D869</f>
        <v>101.93</v>
      </c>
      <c r="F869" s="1" t="str">
        <f aca="false">Transactions!H869</f>
        <v>Online</v>
      </c>
      <c r="G869" s="1" t="str">
        <f aca="false">Transactions!G869</f>
        <v>Electronics</v>
      </c>
      <c r="H869" s="1" t="n">
        <f aca="false">IF(COUNTIFS($B$2:$B$1489,B869,$C$2:$C$1489,C869,$D$2:$D$1489,D869)&gt;6,1,0)</f>
        <v>0</v>
      </c>
      <c r="I869" s="1" t="n">
        <f aca="false">IF(AND(F869="Wire",E869&gt;=1000,MOD(E869,1000)=0),1,0)</f>
        <v>0</v>
      </c>
      <c r="J869" s="1" t="n">
        <f aca="false">IF(AND(F869="ATM",E869&gt;2000,D869&lt;=4),1,0)</f>
        <v>0</v>
      </c>
      <c r="K869" s="1" t="n">
        <f aca="false">IF(COUNTIF('SQL Findings'!$A$4:$A$18,B869)&gt;0,1,0)</f>
        <v>0</v>
      </c>
      <c r="L869" s="1" t="n">
        <f aca="false">SUM(H869:K869)</f>
        <v>0</v>
      </c>
      <c r="M869" s="1" t="str">
        <f aca="false">IF(L869&gt;=2,"High",IF(L869=1,"Medium","Low"))</f>
        <v>Low</v>
      </c>
    </row>
    <row r="870" customFormat="false" ht="15" hidden="false" customHeight="true" outlineLevel="0" collapsed="false">
      <c r="A870" s="1" t="str">
        <f aca="false">Transactions!A870</f>
        <v>TXN500499</v>
      </c>
      <c r="B870" s="1" t="str">
        <f aca="false">Transactions!B870</f>
        <v>ACC1022</v>
      </c>
      <c r="C870" s="1" t="str">
        <f aca="false">Transactions!I870</f>
        <v>2026-02-23</v>
      </c>
      <c r="D870" s="1" t="n">
        <f aca="false">Transactions!J870</f>
        <v>10</v>
      </c>
      <c r="E870" s="1" t="n">
        <f aca="false">Transactions!D870</f>
        <v>30.32</v>
      </c>
      <c r="F870" s="1" t="str">
        <f aca="false">Transactions!H870</f>
        <v>POS</v>
      </c>
      <c r="G870" s="1" t="str">
        <f aca="false">Transactions!G870</f>
        <v>Wire Transfer</v>
      </c>
      <c r="H870" s="1" t="n">
        <f aca="false">IF(COUNTIFS($B$2:$B$1489,B870,$C$2:$C$1489,C870,$D$2:$D$1489,D870)&gt;6,1,0)</f>
        <v>0</v>
      </c>
      <c r="I870" s="1" t="n">
        <f aca="false">IF(AND(F870="Wire",E870&gt;=1000,MOD(E870,1000)=0),1,0)</f>
        <v>0</v>
      </c>
      <c r="J870" s="1" t="n">
        <f aca="false">IF(AND(F870="ATM",E870&gt;2000,D870&lt;=4),1,0)</f>
        <v>0</v>
      </c>
      <c r="K870" s="1" t="n">
        <f aca="false">IF(COUNTIF('SQL Findings'!$A$4:$A$18,B870)&gt;0,1,0)</f>
        <v>0</v>
      </c>
      <c r="L870" s="1" t="n">
        <f aca="false">SUM(H870:K870)</f>
        <v>0</v>
      </c>
      <c r="M870" s="1" t="str">
        <f aca="false">IF(L870&gt;=2,"High",IF(L870=1,"Medium","Low"))</f>
        <v>Low</v>
      </c>
    </row>
    <row r="871" customFormat="false" ht="15" hidden="false" customHeight="true" outlineLevel="0" collapsed="false">
      <c r="A871" s="1" t="str">
        <f aca="false">Transactions!A871</f>
        <v>TXN500108</v>
      </c>
      <c r="B871" s="1" t="str">
        <f aca="false">Transactions!B871</f>
        <v>ACC1004</v>
      </c>
      <c r="C871" s="1" t="str">
        <f aca="false">Transactions!I871</f>
        <v>2026-02-23</v>
      </c>
      <c r="D871" s="1" t="n">
        <f aca="false">Transactions!J871</f>
        <v>10</v>
      </c>
      <c r="E871" s="1" t="n">
        <f aca="false">Transactions!D871</f>
        <v>78.03</v>
      </c>
      <c r="F871" s="1" t="str">
        <f aca="false">Transactions!H871</f>
        <v>ATM</v>
      </c>
      <c r="G871" s="1" t="str">
        <f aca="false">Transactions!G871</f>
        <v>Retail</v>
      </c>
      <c r="H871" s="1" t="n">
        <f aca="false">IF(COUNTIFS($B$2:$B$1489,B871,$C$2:$C$1489,C871,$D$2:$D$1489,D871)&gt;6,1,0)</f>
        <v>0</v>
      </c>
      <c r="I871" s="1" t="n">
        <f aca="false">IF(AND(F871="Wire",E871&gt;=1000,MOD(E871,1000)=0),1,0)</f>
        <v>0</v>
      </c>
      <c r="J871" s="1" t="n">
        <f aca="false">IF(AND(F871="ATM",E871&gt;2000,D871&lt;=4),1,0)</f>
        <v>0</v>
      </c>
      <c r="K871" s="1" t="n">
        <f aca="false">IF(COUNTIF('SQL Findings'!$A$4:$A$18,B871)&gt;0,1,0)</f>
        <v>1</v>
      </c>
      <c r="L871" s="1" t="n">
        <f aca="false">SUM(H871:K871)</f>
        <v>1</v>
      </c>
      <c r="M871" s="1" t="str">
        <f aca="false">IF(L871&gt;=2,"High",IF(L871=1,"Medium","Low"))</f>
        <v>Medium</v>
      </c>
    </row>
    <row r="872" customFormat="false" ht="15" hidden="false" customHeight="true" outlineLevel="0" collapsed="false">
      <c r="A872" s="1" t="str">
        <f aca="false">Transactions!A872</f>
        <v>TXN500110</v>
      </c>
      <c r="B872" s="1" t="str">
        <f aca="false">Transactions!B872</f>
        <v>ACC1004</v>
      </c>
      <c r="C872" s="1" t="str">
        <f aca="false">Transactions!I872</f>
        <v>2026-02-23</v>
      </c>
      <c r="D872" s="1" t="n">
        <f aca="false">Transactions!J872</f>
        <v>12</v>
      </c>
      <c r="E872" s="1" t="n">
        <f aca="false">Transactions!D872</f>
        <v>62.36</v>
      </c>
      <c r="F872" s="1" t="str">
        <f aca="false">Transactions!H872</f>
        <v>Online</v>
      </c>
      <c r="G872" s="1" t="str">
        <f aca="false">Transactions!G872</f>
        <v>Dining</v>
      </c>
      <c r="H872" s="1" t="n">
        <f aca="false">IF(COUNTIFS($B$2:$B$1489,B872,$C$2:$C$1489,C872,$D$2:$D$1489,D872)&gt;6,1,0)</f>
        <v>0</v>
      </c>
      <c r="I872" s="1" t="n">
        <f aca="false">IF(AND(F872="Wire",E872&gt;=1000,MOD(E872,1000)=0),1,0)</f>
        <v>0</v>
      </c>
      <c r="J872" s="1" t="n">
        <f aca="false">IF(AND(F872="ATM",E872&gt;2000,D872&lt;=4),1,0)</f>
        <v>0</v>
      </c>
      <c r="K872" s="1" t="n">
        <f aca="false">IF(COUNTIF('SQL Findings'!$A$4:$A$18,B872)&gt;0,1,0)</f>
        <v>1</v>
      </c>
      <c r="L872" s="1" t="n">
        <f aca="false">SUM(H872:K872)</f>
        <v>1</v>
      </c>
      <c r="M872" s="1" t="str">
        <f aca="false">IF(L872&gt;=2,"High",IF(L872=1,"Medium","Low"))</f>
        <v>Medium</v>
      </c>
    </row>
    <row r="873" customFormat="false" ht="15" hidden="false" customHeight="true" outlineLevel="0" collapsed="false">
      <c r="A873" s="1" t="str">
        <f aca="false">Transactions!A873</f>
        <v>TXN500397</v>
      </c>
      <c r="B873" s="1" t="str">
        <f aca="false">Transactions!B873</f>
        <v>ACC1017</v>
      </c>
      <c r="C873" s="1" t="str">
        <f aca="false">Transactions!I873</f>
        <v>2026-02-23</v>
      </c>
      <c r="D873" s="1" t="n">
        <f aca="false">Transactions!J873</f>
        <v>13</v>
      </c>
      <c r="E873" s="1" t="n">
        <f aca="false">Transactions!D873</f>
        <v>14.27</v>
      </c>
      <c r="F873" s="1" t="str">
        <f aca="false">Transactions!H873</f>
        <v>ATM</v>
      </c>
      <c r="G873" s="1" t="str">
        <f aca="false">Transactions!G873</f>
        <v>Online Marketplace</v>
      </c>
      <c r="H873" s="1" t="n">
        <f aca="false">IF(COUNTIFS($B$2:$B$1489,B873,$C$2:$C$1489,C873,$D$2:$D$1489,D873)&gt;6,1,0)</f>
        <v>0</v>
      </c>
      <c r="I873" s="1" t="n">
        <f aca="false">IF(AND(F873="Wire",E873&gt;=1000,MOD(E873,1000)=0),1,0)</f>
        <v>0</v>
      </c>
      <c r="J873" s="1" t="n">
        <f aca="false">IF(AND(F873="ATM",E873&gt;2000,D873&lt;=4),1,0)</f>
        <v>0</v>
      </c>
      <c r="K873" s="1" t="n">
        <f aca="false">IF(COUNTIF('SQL Findings'!$A$4:$A$18,B873)&gt;0,1,0)</f>
        <v>0</v>
      </c>
      <c r="L873" s="1" t="n">
        <f aca="false">SUM(H873:K873)</f>
        <v>0</v>
      </c>
      <c r="M873" s="1" t="str">
        <f aca="false">IF(L873&gt;=2,"High",IF(L873=1,"Medium","Low"))</f>
        <v>Low</v>
      </c>
    </row>
    <row r="874" customFormat="false" ht="15" hidden="false" customHeight="true" outlineLevel="0" collapsed="false">
      <c r="A874" s="1" t="str">
        <f aca="false">Transactions!A874</f>
        <v>TXN501428</v>
      </c>
      <c r="B874" s="1" t="str">
        <f aca="false">Transactions!B874</f>
        <v>ACC1056</v>
      </c>
      <c r="C874" s="1" t="str">
        <f aca="false">Transactions!I874</f>
        <v>2026-02-23</v>
      </c>
      <c r="D874" s="1" t="n">
        <f aca="false">Transactions!J874</f>
        <v>14</v>
      </c>
      <c r="E874" s="1" t="n">
        <f aca="false">Transactions!D874</f>
        <v>248.6</v>
      </c>
      <c r="F874" s="1" t="str">
        <f aca="false">Transactions!H874</f>
        <v>Online</v>
      </c>
      <c r="G874" s="1" t="str">
        <f aca="false">Transactions!G874</f>
        <v>Online Marketplace</v>
      </c>
      <c r="H874" s="1" t="n">
        <f aca="false">IF(COUNTIFS($B$2:$B$1489,B874,$C$2:$C$1489,C874,$D$2:$D$1489,D874)&gt;6,1,0)</f>
        <v>1</v>
      </c>
      <c r="I874" s="1" t="n">
        <f aca="false">IF(AND(F874="Wire",E874&gt;=1000,MOD(E874,1000)=0),1,0)</f>
        <v>0</v>
      </c>
      <c r="J874" s="1" t="n">
        <f aca="false">IF(AND(F874="ATM",E874&gt;2000,D874&lt;=4),1,0)</f>
        <v>0</v>
      </c>
      <c r="K874" s="1" t="n">
        <f aca="false">IF(COUNTIF('SQL Findings'!$A$4:$A$18,B874)&gt;0,1,0)</f>
        <v>0</v>
      </c>
      <c r="L874" s="1" t="n">
        <f aca="false">SUM(H874:K874)</f>
        <v>1</v>
      </c>
      <c r="M874" s="1" t="str">
        <f aca="false">IF(L874&gt;=2,"High",IF(L874=1,"Medium","Low"))</f>
        <v>Medium</v>
      </c>
    </row>
    <row r="875" customFormat="false" ht="15" hidden="false" customHeight="true" outlineLevel="0" collapsed="false">
      <c r="A875" s="1" t="str">
        <f aca="false">Transactions!A875</f>
        <v>TXN501429</v>
      </c>
      <c r="B875" s="1" t="str">
        <f aca="false">Transactions!B875</f>
        <v>ACC1056</v>
      </c>
      <c r="C875" s="1" t="str">
        <f aca="false">Transactions!I875</f>
        <v>2026-02-23</v>
      </c>
      <c r="D875" s="1" t="n">
        <f aca="false">Transactions!J875</f>
        <v>14</v>
      </c>
      <c r="E875" s="1" t="n">
        <f aca="false">Transactions!D875</f>
        <v>587.44</v>
      </c>
      <c r="F875" s="1" t="str">
        <f aca="false">Transactions!H875</f>
        <v>Online</v>
      </c>
      <c r="G875" s="1" t="str">
        <f aca="false">Transactions!G875</f>
        <v>Online Marketplace</v>
      </c>
      <c r="H875" s="1" t="n">
        <f aca="false">IF(COUNTIFS($B$2:$B$1489,B875,$C$2:$C$1489,C875,$D$2:$D$1489,D875)&gt;6,1,0)</f>
        <v>1</v>
      </c>
      <c r="I875" s="1" t="n">
        <f aca="false">IF(AND(F875="Wire",E875&gt;=1000,MOD(E875,1000)=0),1,0)</f>
        <v>0</v>
      </c>
      <c r="J875" s="1" t="n">
        <f aca="false">IF(AND(F875="ATM",E875&gt;2000,D875&lt;=4),1,0)</f>
        <v>0</v>
      </c>
      <c r="K875" s="1" t="n">
        <f aca="false">IF(COUNTIF('SQL Findings'!$A$4:$A$18,B875)&gt;0,1,0)</f>
        <v>0</v>
      </c>
      <c r="L875" s="1" t="n">
        <f aca="false">SUM(H875:K875)</f>
        <v>1</v>
      </c>
      <c r="M875" s="1" t="str">
        <f aca="false">IF(L875&gt;=2,"High",IF(L875=1,"Medium","Low"))</f>
        <v>Medium</v>
      </c>
    </row>
    <row r="876" customFormat="false" ht="15" hidden="false" customHeight="true" outlineLevel="0" collapsed="false">
      <c r="A876" s="1" t="str">
        <f aca="false">Transactions!A876</f>
        <v>TXN501430</v>
      </c>
      <c r="B876" s="1" t="str">
        <f aca="false">Transactions!B876</f>
        <v>ACC1056</v>
      </c>
      <c r="C876" s="1" t="str">
        <f aca="false">Transactions!I876</f>
        <v>2026-02-23</v>
      </c>
      <c r="D876" s="1" t="n">
        <f aca="false">Transactions!J876</f>
        <v>14</v>
      </c>
      <c r="E876" s="1" t="n">
        <f aca="false">Transactions!D876</f>
        <v>379.5</v>
      </c>
      <c r="F876" s="1" t="str">
        <f aca="false">Transactions!H876</f>
        <v>Online</v>
      </c>
      <c r="G876" s="1" t="str">
        <f aca="false">Transactions!G876</f>
        <v>Online Marketplace</v>
      </c>
      <c r="H876" s="1" t="n">
        <f aca="false">IF(COUNTIFS($B$2:$B$1489,B876,$C$2:$C$1489,C876,$D$2:$D$1489,D876)&gt;6,1,0)</f>
        <v>1</v>
      </c>
      <c r="I876" s="1" t="n">
        <f aca="false">IF(AND(F876="Wire",E876&gt;=1000,MOD(E876,1000)=0),1,0)</f>
        <v>0</v>
      </c>
      <c r="J876" s="1" t="n">
        <f aca="false">IF(AND(F876="ATM",E876&gt;2000,D876&lt;=4),1,0)</f>
        <v>0</v>
      </c>
      <c r="K876" s="1" t="n">
        <f aca="false">IF(COUNTIF('SQL Findings'!$A$4:$A$18,B876)&gt;0,1,0)</f>
        <v>0</v>
      </c>
      <c r="L876" s="1" t="n">
        <f aca="false">SUM(H876:K876)</f>
        <v>1</v>
      </c>
      <c r="M876" s="1" t="str">
        <f aca="false">IF(L876&gt;=2,"High",IF(L876=1,"Medium","Low"))</f>
        <v>Medium</v>
      </c>
    </row>
    <row r="877" customFormat="false" ht="15" hidden="false" customHeight="true" outlineLevel="0" collapsed="false">
      <c r="A877" s="1" t="str">
        <f aca="false">Transactions!A877</f>
        <v>TXN501431</v>
      </c>
      <c r="B877" s="1" t="str">
        <f aca="false">Transactions!B877</f>
        <v>ACC1056</v>
      </c>
      <c r="C877" s="1" t="str">
        <f aca="false">Transactions!I877</f>
        <v>2026-02-23</v>
      </c>
      <c r="D877" s="1" t="n">
        <f aca="false">Transactions!J877</f>
        <v>14</v>
      </c>
      <c r="E877" s="1" t="n">
        <f aca="false">Transactions!D877</f>
        <v>151.41</v>
      </c>
      <c r="F877" s="1" t="str">
        <f aca="false">Transactions!H877</f>
        <v>Online</v>
      </c>
      <c r="G877" s="1" t="str">
        <f aca="false">Transactions!G877</f>
        <v>Online Marketplace</v>
      </c>
      <c r="H877" s="1" t="n">
        <f aca="false">IF(COUNTIFS($B$2:$B$1489,B877,$C$2:$C$1489,C877,$D$2:$D$1489,D877)&gt;6,1,0)</f>
        <v>1</v>
      </c>
      <c r="I877" s="1" t="n">
        <f aca="false">IF(AND(F877="Wire",E877&gt;=1000,MOD(E877,1000)=0),1,0)</f>
        <v>0</v>
      </c>
      <c r="J877" s="1" t="n">
        <f aca="false">IF(AND(F877="ATM",E877&gt;2000,D877&lt;=4),1,0)</f>
        <v>0</v>
      </c>
      <c r="K877" s="1" t="n">
        <f aca="false">IF(COUNTIF('SQL Findings'!$A$4:$A$18,B877)&gt;0,1,0)</f>
        <v>0</v>
      </c>
      <c r="L877" s="1" t="n">
        <f aca="false">SUM(H877:K877)</f>
        <v>1</v>
      </c>
      <c r="M877" s="1" t="str">
        <f aca="false">IF(L877&gt;=2,"High",IF(L877=1,"Medium","Low"))</f>
        <v>Medium</v>
      </c>
    </row>
    <row r="878" customFormat="false" ht="15" hidden="false" customHeight="true" outlineLevel="0" collapsed="false">
      <c r="A878" s="1" t="str">
        <f aca="false">Transactions!A878</f>
        <v>TXN501432</v>
      </c>
      <c r="B878" s="1" t="str">
        <f aca="false">Transactions!B878</f>
        <v>ACC1056</v>
      </c>
      <c r="C878" s="1" t="str">
        <f aca="false">Transactions!I878</f>
        <v>2026-02-23</v>
      </c>
      <c r="D878" s="1" t="n">
        <f aca="false">Transactions!J878</f>
        <v>14</v>
      </c>
      <c r="E878" s="1" t="n">
        <f aca="false">Transactions!D878</f>
        <v>514.94</v>
      </c>
      <c r="F878" s="1" t="str">
        <f aca="false">Transactions!H878</f>
        <v>Online</v>
      </c>
      <c r="G878" s="1" t="str">
        <f aca="false">Transactions!G878</f>
        <v>Online Marketplace</v>
      </c>
      <c r="H878" s="1" t="n">
        <f aca="false">IF(COUNTIFS($B$2:$B$1489,B878,$C$2:$C$1489,C878,$D$2:$D$1489,D878)&gt;6,1,0)</f>
        <v>1</v>
      </c>
      <c r="I878" s="1" t="n">
        <f aca="false">IF(AND(F878="Wire",E878&gt;=1000,MOD(E878,1000)=0),1,0)</f>
        <v>0</v>
      </c>
      <c r="J878" s="1" t="n">
        <f aca="false">IF(AND(F878="ATM",E878&gt;2000,D878&lt;=4),1,0)</f>
        <v>0</v>
      </c>
      <c r="K878" s="1" t="n">
        <f aca="false">IF(COUNTIF('SQL Findings'!$A$4:$A$18,B878)&gt;0,1,0)</f>
        <v>0</v>
      </c>
      <c r="L878" s="1" t="n">
        <f aca="false">SUM(H878:K878)</f>
        <v>1</v>
      </c>
      <c r="M878" s="1" t="str">
        <f aca="false">IF(L878&gt;=2,"High",IF(L878=1,"Medium","Low"))</f>
        <v>Medium</v>
      </c>
    </row>
    <row r="879" customFormat="false" ht="15" hidden="false" customHeight="true" outlineLevel="0" collapsed="false">
      <c r="A879" s="1" t="str">
        <f aca="false">Transactions!A879</f>
        <v>TXN501433</v>
      </c>
      <c r="B879" s="1" t="str">
        <f aca="false">Transactions!B879</f>
        <v>ACC1056</v>
      </c>
      <c r="C879" s="1" t="str">
        <f aca="false">Transactions!I879</f>
        <v>2026-02-23</v>
      </c>
      <c r="D879" s="1" t="n">
        <f aca="false">Transactions!J879</f>
        <v>14</v>
      </c>
      <c r="E879" s="1" t="n">
        <f aca="false">Transactions!D879</f>
        <v>492.41</v>
      </c>
      <c r="F879" s="1" t="str">
        <f aca="false">Transactions!H879</f>
        <v>Online</v>
      </c>
      <c r="G879" s="1" t="str">
        <f aca="false">Transactions!G879</f>
        <v>Online Marketplace</v>
      </c>
      <c r="H879" s="1" t="n">
        <f aca="false">IF(COUNTIFS($B$2:$B$1489,B879,$C$2:$C$1489,C879,$D$2:$D$1489,D879)&gt;6,1,0)</f>
        <v>1</v>
      </c>
      <c r="I879" s="1" t="n">
        <f aca="false">IF(AND(F879="Wire",E879&gt;=1000,MOD(E879,1000)=0),1,0)</f>
        <v>0</v>
      </c>
      <c r="J879" s="1" t="n">
        <f aca="false">IF(AND(F879="ATM",E879&gt;2000,D879&lt;=4),1,0)</f>
        <v>0</v>
      </c>
      <c r="K879" s="1" t="n">
        <f aca="false">IF(COUNTIF('SQL Findings'!$A$4:$A$18,B879)&gt;0,1,0)</f>
        <v>0</v>
      </c>
      <c r="L879" s="1" t="n">
        <f aca="false">SUM(H879:K879)</f>
        <v>1</v>
      </c>
      <c r="M879" s="1" t="str">
        <f aca="false">IF(L879&gt;=2,"High",IF(L879=1,"Medium","Low"))</f>
        <v>Medium</v>
      </c>
    </row>
    <row r="880" customFormat="false" ht="15" hidden="false" customHeight="true" outlineLevel="0" collapsed="false">
      <c r="A880" s="1" t="str">
        <f aca="false">Transactions!A880</f>
        <v>TXN501434</v>
      </c>
      <c r="B880" s="1" t="str">
        <f aca="false">Transactions!B880</f>
        <v>ACC1056</v>
      </c>
      <c r="C880" s="1" t="str">
        <f aca="false">Transactions!I880</f>
        <v>2026-02-23</v>
      </c>
      <c r="D880" s="1" t="n">
        <f aca="false">Transactions!J880</f>
        <v>14</v>
      </c>
      <c r="E880" s="1" t="n">
        <f aca="false">Transactions!D880</f>
        <v>477.4</v>
      </c>
      <c r="F880" s="1" t="str">
        <f aca="false">Transactions!H880</f>
        <v>Online</v>
      </c>
      <c r="G880" s="1" t="str">
        <f aca="false">Transactions!G880</f>
        <v>Online Marketplace</v>
      </c>
      <c r="H880" s="1" t="n">
        <f aca="false">IF(COUNTIFS($B$2:$B$1489,B880,$C$2:$C$1489,C880,$D$2:$D$1489,D880)&gt;6,1,0)</f>
        <v>1</v>
      </c>
      <c r="I880" s="1" t="n">
        <f aca="false">IF(AND(F880="Wire",E880&gt;=1000,MOD(E880,1000)=0),1,0)</f>
        <v>0</v>
      </c>
      <c r="J880" s="1" t="n">
        <f aca="false">IF(AND(F880="ATM",E880&gt;2000,D880&lt;=4),1,0)</f>
        <v>0</v>
      </c>
      <c r="K880" s="1" t="n">
        <f aca="false">IF(COUNTIF('SQL Findings'!$A$4:$A$18,B880)&gt;0,1,0)</f>
        <v>0</v>
      </c>
      <c r="L880" s="1" t="n">
        <f aca="false">SUM(H880:K880)</f>
        <v>1</v>
      </c>
      <c r="M880" s="1" t="str">
        <f aca="false">IF(L880&gt;=2,"High",IF(L880=1,"Medium","Low"))</f>
        <v>Medium</v>
      </c>
    </row>
    <row r="881" customFormat="false" ht="15" hidden="false" customHeight="true" outlineLevel="0" collapsed="false">
      <c r="A881" s="1" t="str">
        <f aca="false">Transactions!A881</f>
        <v>TXN501435</v>
      </c>
      <c r="B881" s="1" t="str">
        <f aca="false">Transactions!B881</f>
        <v>ACC1056</v>
      </c>
      <c r="C881" s="1" t="str">
        <f aca="false">Transactions!I881</f>
        <v>2026-02-23</v>
      </c>
      <c r="D881" s="1" t="n">
        <f aca="false">Transactions!J881</f>
        <v>14</v>
      </c>
      <c r="E881" s="1" t="n">
        <f aca="false">Transactions!D881</f>
        <v>388.4</v>
      </c>
      <c r="F881" s="1" t="str">
        <f aca="false">Transactions!H881</f>
        <v>Online</v>
      </c>
      <c r="G881" s="1" t="str">
        <f aca="false">Transactions!G881</f>
        <v>Online Marketplace</v>
      </c>
      <c r="H881" s="1" t="n">
        <f aca="false">IF(COUNTIFS($B$2:$B$1489,B881,$C$2:$C$1489,C881,$D$2:$D$1489,D881)&gt;6,1,0)</f>
        <v>1</v>
      </c>
      <c r="I881" s="1" t="n">
        <f aca="false">IF(AND(F881="Wire",E881&gt;=1000,MOD(E881,1000)=0),1,0)</f>
        <v>0</v>
      </c>
      <c r="J881" s="1" t="n">
        <f aca="false">IF(AND(F881="ATM",E881&gt;2000,D881&lt;=4),1,0)</f>
        <v>0</v>
      </c>
      <c r="K881" s="1" t="n">
        <f aca="false">IF(COUNTIF('SQL Findings'!$A$4:$A$18,B881)&gt;0,1,0)</f>
        <v>0</v>
      </c>
      <c r="L881" s="1" t="n">
        <f aca="false">SUM(H881:K881)</f>
        <v>1</v>
      </c>
      <c r="M881" s="1" t="str">
        <f aca="false">IF(L881&gt;=2,"High",IF(L881=1,"Medium","Low"))</f>
        <v>Medium</v>
      </c>
    </row>
    <row r="882" customFormat="false" ht="15" hidden="false" customHeight="true" outlineLevel="0" collapsed="false">
      <c r="A882" s="1" t="str">
        <f aca="false">Transactions!A882</f>
        <v>TXN500343</v>
      </c>
      <c r="B882" s="1" t="str">
        <f aca="false">Transactions!B882</f>
        <v>ACC1015</v>
      </c>
      <c r="C882" s="1" t="str">
        <f aca="false">Transactions!I882</f>
        <v>2026-02-23</v>
      </c>
      <c r="D882" s="1" t="n">
        <f aca="false">Transactions!J882</f>
        <v>14</v>
      </c>
      <c r="E882" s="1" t="n">
        <f aca="false">Transactions!D882</f>
        <v>83.14</v>
      </c>
      <c r="F882" s="1" t="str">
        <f aca="false">Transactions!H882</f>
        <v>POS</v>
      </c>
      <c r="G882" s="1" t="str">
        <f aca="false">Transactions!G882</f>
        <v>Online Marketplace</v>
      </c>
      <c r="H882" s="1" t="n">
        <f aca="false">IF(COUNTIFS($B$2:$B$1489,B882,$C$2:$C$1489,C882,$D$2:$D$1489,D882)&gt;6,1,0)</f>
        <v>0</v>
      </c>
      <c r="I882" s="1" t="n">
        <f aca="false">IF(AND(F882="Wire",E882&gt;=1000,MOD(E882,1000)=0),1,0)</f>
        <v>0</v>
      </c>
      <c r="J882" s="1" t="n">
        <f aca="false">IF(AND(F882="ATM",E882&gt;2000,D882&lt;=4),1,0)</f>
        <v>0</v>
      </c>
      <c r="K882" s="1" t="n">
        <f aca="false">IF(COUNTIF('SQL Findings'!$A$4:$A$18,B882)&gt;0,1,0)</f>
        <v>1</v>
      </c>
      <c r="L882" s="1" t="n">
        <f aca="false">SUM(H882:K882)</f>
        <v>1</v>
      </c>
      <c r="M882" s="1" t="str">
        <f aca="false">IF(L882&gt;=2,"High",IF(L882=1,"Medium","Low"))</f>
        <v>Medium</v>
      </c>
    </row>
    <row r="883" customFormat="false" ht="15" hidden="false" customHeight="true" outlineLevel="0" collapsed="false">
      <c r="A883" s="1" t="str">
        <f aca="false">Transactions!A883</f>
        <v>TXN501436</v>
      </c>
      <c r="B883" s="1" t="str">
        <f aca="false">Transactions!B883</f>
        <v>ACC1056</v>
      </c>
      <c r="C883" s="1" t="str">
        <f aca="false">Transactions!I883</f>
        <v>2026-02-23</v>
      </c>
      <c r="D883" s="1" t="n">
        <f aca="false">Transactions!J883</f>
        <v>14</v>
      </c>
      <c r="E883" s="1" t="n">
        <f aca="false">Transactions!D883</f>
        <v>254.46</v>
      </c>
      <c r="F883" s="1" t="str">
        <f aca="false">Transactions!H883</f>
        <v>Online</v>
      </c>
      <c r="G883" s="1" t="str">
        <f aca="false">Transactions!G883</f>
        <v>Online Marketplace</v>
      </c>
      <c r="H883" s="1" t="n">
        <f aca="false">IF(COUNTIFS($B$2:$B$1489,B883,$C$2:$C$1489,C883,$D$2:$D$1489,D883)&gt;6,1,0)</f>
        <v>1</v>
      </c>
      <c r="I883" s="1" t="n">
        <f aca="false">IF(AND(F883="Wire",E883&gt;=1000,MOD(E883,1000)=0),1,0)</f>
        <v>0</v>
      </c>
      <c r="J883" s="1" t="n">
        <f aca="false">IF(AND(F883="ATM",E883&gt;2000,D883&lt;=4),1,0)</f>
        <v>0</v>
      </c>
      <c r="K883" s="1" t="n">
        <f aca="false">IF(COUNTIF('SQL Findings'!$A$4:$A$18,B883)&gt;0,1,0)</f>
        <v>0</v>
      </c>
      <c r="L883" s="1" t="n">
        <f aca="false">SUM(H883:K883)</f>
        <v>1</v>
      </c>
      <c r="M883" s="1" t="str">
        <f aca="false">IF(L883&gt;=2,"High",IF(L883=1,"Medium","Low"))</f>
        <v>Medium</v>
      </c>
    </row>
    <row r="884" customFormat="false" ht="15" hidden="false" customHeight="true" outlineLevel="0" collapsed="false">
      <c r="A884" s="1" t="str">
        <f aca="false">Transactions!A884</f>
        <v>TXN501437</v>
      </c>
      <c r="B884" s="1" t="str">
        <f aca="false">Transactions!B884</f>
        <v>ACC1056</v>
      </c>
      <c r="C884" s="1" t="str">
        <f aca="false">Transactions!I884</f>
        <v>2026-02-23</v>
      </c>
      <c r="D884" s="1" t="n">
        <f aca="false">Transactions!J884</f>
        <v>14</v>
      </c>
      <c r="E884" s="1" t="n">
        <f aca="false">Transactions!D884</f>
        <v>142.79</v>
      </c>
      <c r="F884" s="1" t="str">
        <f aca="false">Transactions!H884</f>
        <v>Online</v>
      </c>
      <c r="G884" s="1" t="str">
        <f aca="false">Transactions!G884</f>
        <v>Online Marketplace</v>
      </c>
      <c r="H884" s="1" t="n">
        <f aca="false">IF(COUNTIFS($B$2:$B$1489,B884,$C$2:$C$1489,C884,$D$2:$D$1489,D884)&gt;6,1,0)</f>
        <v>1</v>
      </c>
      <c r="I884" s="1" t="n">
        <f aca="false">IF(AND(F884="Wire",E884&gt;=1000,MOD(E884,1000)=0),1,0)</f>
        <v>0</v>
      </c>
      <c r="J884" s="1" t="n">
        <f aca="false">IF(AND(F884="ATM",E884&gt;2000,D884&lt;=4),1,0)</f>
        <v>0</v>
      </c>
      <c r="K884" s="1" t="n">
        <f aca="false">IF(COUNTIF('SQL Findings'!$A$4:$A$18,B884)&gt;0,1,0)</f>
        <v>0</v>
      </c>
      <c r="L884" s="1" t="n">
        <f aca="false">SUM(H884:K884)</f>
        <v>1</v>
      </c>
      <c r="M884" s="1" t="str">
        <f aca="false">IF(L884&gt;=2,"High",IF(L884=1,"Medium","Low"))</f>
        <v>Medium</v>
      </c>
    </row>
    <row r="885" customFormat="false" ht="15" hidden="false" customHeight="true" outlineLevel="0" collapsed="false">
      <c r="A885" s="1" t="str">
        <f aca="false">Transactions!A885</f>
        <v>TXN500818</v>
      </c>
      <c r="B885" s="1" t="str">
        <f aca="false">Transactions!B885</f>
        <v>ACC1035</v>
      </c>
      <c r="C885" s="1" t="str">
        <f aca="false">Transactions!I885</f>
        <v>2026-02-23</v>
      </c>
      <c r="D885" s="1" t="n">
        <f aca="false">Transactions!J885</f>
        <v>16</v>
      </c>
      <c r="E885" s="1" t="n">
        <f aca="false">Transactions!D885</f>
        <v>148.51</v>
      </c>
      <c r="F885" s="1" t="str">
        <f aca="false">Transactions!H885</f>
        <v>Online</v>
      </c>
      <c r="G885" s="1" t="str">
        <f aca="false">Transactions!G885</f>
        <v>Cash Withdrawal</v>
      </c>
      <c r="H885" s="1" t="n">
        <f aca="false">IF(COUNTIFS($B$2:$B$1489,B885,$C$2:$C$1489,C885,$D$2:$D$1489,D885)&gt;6,1,0)</f>
        <v>0</v>
      </c>
      <c r="I885" s="1" t="n">
        <f aca="false">IF(AND(F885="Wire",E885&gt;=1000,MOD(E885,1000)=0),1,0)</f>
        <v>0</v>
      </c>
      <c r="J885" s="1" t="n">
        <f aca="false">IF(AND(F885="ATM",E885&gt;2000,D885&lt;=4),1,0)</f>
        <v>0</v>
      </c>
      <c r="K885" s="1" t="n">
        <f aca="false">IF(COUNTIF('SQL Findings'!$A$4:$A$18,B885)&gt;0,1,0)</f>
        <v>0</v>
      </c>
      <c r="L885" s="1" t="n">
        <f aca="false">SUM(H885:K885)</f>
        <v>0</v>
      </c>
      <c r="M885" s="1" t="str">
        <f aca="false">IF(L885&gt;=2,"High",IF(L885=1,"Medium","Low"))</f>
        <v>Low</v>
      </c>
    </row>
    <row r="886" customFormat="false" ht="15" hidden="false" customHeight="true" outlineLevel="0" collapsed="false">
      <c r="A886" s="1" t="str">
        <f aca="false">Transactions!A886</f>
        <v>TXN500452</v>
      </c>
      <c r="B886" s="1" t="str">
        <f aca="false">Transactions!B886</f>
        <v>ACC1020</v>
      </c>
      <c r="C886" s="1" t="str">
        <f aca="false">Transactions!I886</f>
        <v>2026-02-23</v>
      </c>
      <c r="D886" s="1" t="n">
        <f aca="false">Transactions!J886</f>
        <v>18</v>
      </c>
      <c r="E886" s="1" t="n">
        <f aca="false">Transactions!D886</f>
        <v>157.53</v>
      </c>
      <c r="F886" s="1" t="str">
        <f aca="false">Transactions!H886</f>
        <v>Online</v>
      </c>
      <c r="G886" s="1" t="str">
        <f aca="false">Transactions!G886</f>
        <v>Retail</v>
      </c>
      <c r="H886" s="1" t="n">
        <f aca="false">IF(COUNTIFS($B$2:$B$1489,B886,$C$2:$C$1489,C886,$D$2:$D$1489,D886)&gt;6,1,0)</f>
        <v>0</v>
      </c>
      <c r="I886" s="1" t="n">
        <f aca="false">IF(AND(F886="Wire",E886&gt;=1000,MOD(E886,1000)=0),1,0)</f>
        <v>0</v>
      </c>
      <c r="J886" s="1" t="n">
        <f aca="false">IF(AND(F886="ATM",E886&gt;2000,D886&lt;=4),1,0)</f>
        <v>0</v>
      </c>
      <c r="K886" s="1" t="n">
        <f aca="false">IF(COUNTIF('SQL Findings'!$A$4:$A$18,B886)&gt;0,1,0)</f>
        <v>0</v>
      </c>
      <c r="L886" s="1" t="n">
        <f aca="false">SUM(H886:K886)</f>
        <v>0</v>
      </c>
      <c r="M886" s="1" t="str">
        <f aca="false">IF(L886&gt;=2,"High",IF(L886=1,"Medium","Low"))</f>
        <v>Low</v>
      </c>
    </row>
    <row r="887" customFormat="false" ht="15" hidden="false" customHeight="true" outlineLevel="0" collapsed="false">
      <c r="A887" s="1" t="str">
        <f aca="false">Transactions!A887</f>
        <v>TXN500094</v>
      </c>
      <c r="B887" s="1" t="str">
        <f aca="false">Transactions!B887</f>
        <v>ACC1004</v>
      </c>
      <c r="C887" s="1" t="str">
        <f aca="false">Transactions!I887</f>
        <v>2026-02-23</v>
      </c>
      <c r="D887" s="1" t="n">
        <f aca="false">Transactions!J887</f>
        <v>18</v>
      </c>
      <c r="E887" s="1" t="n">
        <f aca="false">Transactions!D887</f>
        <v>49.66</v>
      </c>
      <c r="F887" s="1" t="str">
        <f aca="false">Transactions!H887</f>
        <v>ATM</v>
      </c>
      <c r="G887" s="1" t="str">
        <f aca="false">Transactions!G887</f>
        <v>Dining</v>
      </c>
      <c r="H887" s="1" t="n">
        <f aca="false">IF(COUNTIFS($B$2:$B$1489,B887,$C$2:$C$1489,C887,$D$2:$D$1489,D887)&gt;6,1,0)</f>
        <v>0</v>
      </c>
      <c r="I887" s="1" t="n">
        <f aca="false">IF(AND(F887="Wire",E887&gt;=1000,MOD(E887,1000)=0),1,0)</f>
        <v>0</v>
      </c>
      <c r="J887" s="1" t="n">
        <f aca="false">IF(AND(F887="ATM",E887&gt;2000,D887&lt;=4),1,0)</f>
        <v>0</v>
      </c>
      <c r="K887" s="1" t="n">
        <f aca="false">IF(COUNTIF('SQL Findings'!$A$4:$A$18,B887)&gt;0,1,0)</f>
        <v>1</v>
      </c>
      <c r="L887" s="1" t="n">
        <f aca="false">SUM(H887:K887)</f>
        <v>1</v>
      </c>
      <c r="M887" s="1" t="str">
        <f aca="false">IF(L887&gt;=2,"High",IF(L887=1,"Medium","Low"))</f>
        <v>Medium</v>
      </c>
    </row>
    <row r="888" customFormat="false" ht="15" hidden="false" customHeight="true" outlineLevel="0" collapsed="false">
      <c r="A888" s="1" t="str">
        <f aca="false">Transactions!A888</f>
        <v>TXN500864</v>
      </c>
      <c r="B888" s="1" t="str">
        <f aca="false">Transactions!B888</f>
        <v>ACC1037</v>
      </c>
      <c r="C888" s="1" t="str">
        <f aca="false">Transactions!I888</f>
        <v>2026-02-23</v>
      </c>
      <c r="D888" s="1" t="n">
        <f aca="false">Transactions!J888</f>
        <v>19</v>
      </c>
      <c r="E888" s="1" t="n">
        <f aca="false">Transactions!D888</f>
        <v>335.72</v>
      </c>
      <c r="F888" s="1" t="str">
        <f aca="false">Transactions!H888</f>
        <v>POS</v>
      </c>
      <c r="G888" s="1" t="str">
        <f aca="false">Transactions!G888</f>
        <v>Online Marketplace</v>
      </c>
      <c r="H888" s="1" t="n">
        <f aca="false">IF(COUNTIFS($B$2:$B$1489,B888,$C$2:$C$1489,C888,$D$2:$D$1489,D888)&gt;6,1,0)</f>
        <v>0</v>
      </c>
      <c r="I888" s="1" t="n">
        <f aca="false">IF(AND(F888="Wire",E888&gt;=1000,MOD(E888,1000)=0),1,0)</f>
        <v>0</v>
      </c>
      <c r="J888" s="1" t="n">
        <f aca="false">IF(AND(F888="ATM",E888&gt;2000,D888&lt;=4),1,0)</f>
        <v>0</v>
      </c>
      <c r="K888" s="1" t="n">
        <f aca="false">IF(COUNTIF('SQL Findings'!$A$4:$A$18,B888)&gt;0,1,0)</f>
        <v>1</v>
      </c>
      <c r="L888" s="1" t="n">
        <f aca="false">SUM(H888:K888)</f>
        <v>1</v>
      </c>
      <c r="M888" s="1" t="str">
        <f aca="false">IF(L888&gt;=2,"High",IF(L888=1,"Medium","Low"))</f>
        <v>Medium</v>
      </c>
    </row>
    <row r="889" customFormat="false" ht="15" hidden="false" customHeight="true" outlineLevel="0" collapsed="false">
      <c r="A889" s="1" t="str">
        <f aca="false">Transactions!A889</f>
        <v>TXN501164</v>
      </c>
      <c r="B889" s="1" t="str">
        <f aca="false">Transactions!B889</f>
        <v>ACC1051</v>
      </c>
      <c r="C889" s="1" t="str">
        <f aca="false">Transactions!I889</f>
        <v>2026-02-23</v>
      </c>
      <c r="D889" s="1" t="n">
        <f aca="false">Transactions!J889</f>
        <v>20</v>
      </c>
      <c r="E889" s="1" t="n">
        <f aca="false">Transactions!D889</f>
        <v>15.17</v>
      </c>
      <c r="F889" s="1" t="str">
        <f aca="false">Transactions!H889</f>
        <v>ATM</v>
      </c>
      <c r="G889" s="1" t="str">
        <f aca="false">Transactions!G889</f>
        <v>Dining</v>
      </c>
      <c r="H889" s="1" t="n">
        <f aca="false">IF(COUNTIFS($B$2:$B$1489,B889,$C$2:$C$1489,C889,$D$2:$D$1489,D889)&gt;6,1,0)</f>
        <v>0</v>
      </c>
      <c r="I889" s="1" t="n">
        <f aca="false">IF(AND(F889="Wire",E889&gt;=1000,MOD(E889,1000)=0),1,0)</f>
        <v>0</v>
      </c>
      <c r="J889" s="1" t="n">
        <f aca="false">IF(AND(F889="ATM",E889&gt;2000,D889&lt;=4),1,0)</f>
        <v>0</v>
      </c>
      <c r="K889" s="1" t="n">
        <f aca="false">IF(COUNTIF('SQL Findings'!$A$4:$A$18,B889)&gt;0,1,0)</f>
        <v>0</v>
      </c>
      <c r="L889" s="1" t="n">
        <f aca="false">SUM(H889:K889)</f>
        <v>0</v>
      </c>
      <c r="M889" s="1" t="str">
        <f aca="false">IF(L889&gt;=2,"High",IF(L889=1,"Medium","Low"))</f>
        <v>Low</v>
      </c>
    </row>
    <row r="890" customFormat="false" ht="15" hidden="false" customHeight="true" outlineLevel="0" collapsed="false">
      <c r="A890" s="1" t="str">
        <f aca="false">Transactions!A890</f>
        <v>TXN500767</v>
      </c>
      <c r="B890" s="1" t="str">
        <f aca="false">Transactions!B890</f>
        <v>ACC1033</v>
      </c>
      <c r="C890" s="1" t="str">
        <f aca="false">Transactions!I890</f>
        <v>2026-02-23</v>
      </c>
      <c r="D890" s="1" t="n">
        <f aca="false">Transactions!J890</f>
        <v>22</v>
      </c>
      <c r="E890" s="1" t="n">
        <f aca="false">Transactions!D890</f>
        <v>64.62</v>
      </c>
      <c r="F890" s="1" t="str">
        <f aca="false">Transactions!H890</f>
        <v>ATM</v>
      </c>
      <c r="G890" s="1" t="str">
        <f aca="false">Transactions!G890</f>
        <v>Online Marketplace</v>
      </c>
      <c r="H890" s="1" t="n">
        <f aca="false">IF(COUNTIFS($B$2:$B$1489,B890,$C$2:$C$1489,C890,$D$2:$D$1489,D890)&gt;6,1,0)</f>
        <v>0</v>
      </c>
      <c r="I890" s="1" t="n">
        <f aca="false">IF(AND(F890="Wire",E890&gt;=1000,MOD(E890,1000)=0),1,0)</f>
        <v>0</v>
      </c>
      <c r="J890" s="1" t="n">
        <f aca="false">IF(AND(F890="ATM",E890&gt;2000,D890&lt;=4),1,0)</f>
        <v>0</v>
      </c>
      <c r="K890" s="1" t="n">
        <f aca="false">IF(COUNTIF('SQL Findings'!$A$4:$A$18,B890)&gt;0,1,0)</f>
        <v>0</v>
      </c>
      <c r="L890" s="1" t="n">
        <f aca="false">SUM(H890:K890)</f>
        <v>0</v>
      </c>
      <c r="M890" s="1" t="str">
        <f aca="false">IF(L890&gt;=2,"High",IF(L890=1,"Medium","Low"))</f>
        <v>Low</v>
      </c>
    </row>
    <row r="891" customFormat="false" ht="15" hidden="false" customHeight="true" outlineLevel="0" collapsed="false">
      <c r="A891" s="1" t="str">
        <f aca="false">Transactions!A891</f>
        <v>TXN500346</v>
      </c>
      <c r="B891" s="1" t="str">
        <f aca="false">Transactions!B891</f>
        <v>ACC1015</v>
      </c>
      <c r="C891" s="1" t="str">
        <f aca="false">Transactions!I891</f>
        <v>2026-02-24</v>
      </c>
      <c r="D891" s="1" t="n">
        <f aca="false">Transactions!J891</f>
        <v>0</v>
      </c>
      <c r="E891" s="1" t="n">
        <f aca="false">Transactions!D891</f>
        <v>82.17</v>
      </c>
      <c r="F891" s="1" t="str">
        <f aca="false">Transactions!H891</f>
        <v>ATM</v>
      </c>
      <c r="G891" s="1" t="str">
        <f aca="false">Transactions!G891</f>
        <v>Dining</v>
      </c>
      <c r="H891" s="1" t="n">
        <f aca="false">IF(COUNTIFS($B$2:$B$1489,B891,$C$2:$C$1489,C891,$D$2:$D$1489,D891)&gt;6,1,0)</f>
        <v>0</v>
      </c>
      <c r="I891" s="1" t="n">
        <f aca="false">IF(AND(F891="Wire",E891&gt;=1000,MOD(E891,1000)=0),1,0)</f>
        <v>0</v>
      </c>
      <c r="J891" s="1" t="n">
        <f aca="false">IF(AND(F891="ATM",E891&gt;2000,D891&lt;=4),1,0)</f>
        <v>0</v>
      </c>
      <c r="K891" s="1" t="n">
        <f aca="false">IF(COUNTIF('SQL Findings'!$A$4:$A$18,B891)&gt;0,1,0)</f>
        <v>1</v>
      </c>
      <c r="L891" s="1" t="n">
        <f aca="false">SUM(H891:K891)</f>
        <v>1</v>
      </c>
      <c r="M891" s="1" t="str">
        <f aca="false">IF(L891&gt;=2,"High",IF(L891=1,"Medium","Low"))</f>
        <v>Medium</v>
      </c>
    </row>
    <row r="892" customFormat="false" ht="15" hidden="false" customHeight="true" outlineLevel="0" collapsed="false">
      <c r="A892" s="1" t="str">
        <f aca="false">Transactions!A892</f>
        <v>TXN500960</v>
      </c>
      <c r="B892" s="1" t="str">
        <f aca="false">Transactions!B892</f>
        <v>ACC1042</v>
      </c>
      <c r="C892" s="1" t="str">
        <f aca="false">Transactions!I892</f>
        <v>2026-02-24</v>
      </c>
      <c r="D892" s="1" t="n">
        <f aca="false">Transactions!J892</f>
        <v>6</v>
      </c>
      <c r="E892" s="1" t="n">
        <f aca="false">Transactions!D892</f>
        <v>99.78</v>
      </c>
      <c r="F892" s="1" t="str">
        <f aca="false">Transactions!H892</f>
        <v>POS</v>
      </c>
      <c r="G892" s="1" t="str">
        <f aca="false">Transactions!G892</f>
        <v>Dining</v>
      </c>
      <c r="H892" s="1" t="n">
        <f aca="false">IF(COUNTIFS($B$2:$B$1489,B892,$C$2:$C$1489,C892,$D$2:$D$1489,D892)&gt;6,1,0)</f>
        <v>0</v>
      </c>
      <c r="I892" s="1" t="n">
        <f aca="false">IF(AND(F892="Wire",E892&gt;=1000,MOD(E892,1000)=0),1,0)</f>
        <v>0</v>
      </c>
      <c r="J892" s="1" t="n">
        <f aca="false">IF(AND(F892="ATM",E892&gt;2000,D892&lt;=4),1,0)</f>
        <v>0</v>
      </c>
      <c r="K892" s="1" t="n">
        <f aca="false">IF(COUNTIF('SQL Findings'!$A$4:$A$18,B892)&gt;0,1,0)</f>
        <v>1</v>
      </c>
      <c r="L892" s="1" t="n">
        <f aca="false">SUM(H892:K892)</f>
        <v>1</v>
      </c>
      <c r="M892" s="1" t="str">
        <f aca="false">IF(L892&gt;=2,"High",IF(L892=1,"Medium","Low"))</f>
        <v>Medium</v>
      </c>
    </row>
    <row r="893" customFormat="false" ht="15" hidden="false" customHeight="true" outlineLevel="0" collapsed="false">
      <c r="A893" s="1" t="str">
        <f aca="false">Transactions!A893</f>
        <v>TXN500918</v>
      </c>
      <c r="B893" s="1" t="str">
        <f aca="false">Transactions!B893</f>
        <v>ACC1039</v>
      </c>
      <c r="C893" s="1" t="str">
        <f aca="false">Transactions!I893</f>
        <v>2026-02-24</v>
      </c>
      <c r="D893" s="1" t="n">
        <f aca="false">Transactions!J893</f>
        <v>8</v>
      </c>
      <c r="E893" s="1" t="n">
        <f aca="false">Transactions!D893</f>
        <v>78.88</v>
      </c>
      <c r="F893" s="1" t="str">
        <f aca="false">Transactions!H893</f>
        <v>POS</v>
      </c>
      <c r="G893" s="1" t="str">
        <f aca="false">Transactions!G893</f>
        <v>Travel</v>
      </c>
      <c r="H893" s="1" t="n">
        <f aca="false">IF(COUNTIFS($B$2:$B$1489,B893,$C$2:$C$1489,C893,$D$2:$D$1489,D893)&gt;6,1,0)</f>
        <v>0</v>
      </c>
      <c r="I893" s="1" t="n">
        <f aca="false">IF(AND(F893="Wire",E893&gt;=1000,MOD(E893,1000)=0),1,0)</f>
        <v>0</v>
      </c>
      <c r="J893" s="1" t="n">
        <f aca="false">IF(AND(F893="ATM",E893&gt;2000,D893&lt;=4),1,0)</f>
        <v>0</v>
      </c>
      <c r="K893" s="1" t="n">
        <f aca="false">IF(COUNTIF('SQL Findings'!$A$4:$A$18,B893)&gt;0,1,0)</f>
        <v>0</v>
      </c>
      <c r="L893" s="1" t="n">
        <f aca="false">SUM(H893:K893)</f>
        <v>0</v>
      </c>
      <c r="M893" s="1" t="str">
        <f aca="false">IF(L893&gt;=2,"High",IF(L893=1,"Medium","Low"))</f>
        <v>Low</v>
      </c>
    </row>
    <row r="894" customFormat="false" ht="15" hidden="false" customHeight="true" outlineLevel="0" collapsed="false">
      <c r="A894" s="1" t="str">
        <f aca="false">Transactions!A894</f>
        <v>TXN500157</v>
      </c>
      <c r="B894" s="1" t="str">
        <f aca="false">Transactions!B894</f>
        <v>ACC1006</v>
      </c>
      <c r="C894" s="1" t="str">
        <f aca="false">Transactions!I894</f>
        <v>2026-02-24</v>
      </c>
      <c r="D894" s="1" t="n">
        <f aca="false">Transactions!J894</f>
        <v>8</v>
      </c>
      <c r="E894" s="1" t="n">
        <f aca="false">Transactions!D894</f>
        <v>357.52</v>
      </c>
      <c r="F894" s="1" t="str">
        <f aca="false">Transactions!H894</f>
        <v>ATM</v>
      </c>
      <c r="G894" s="1" t="str">
        <f aca="false">Transactions!G894</f>
        <v>Retail</v>
      </c>
      <c r="H894" s="1" t="n">
        <f aca="false">IF(COUNTIFS($B$2:$B$1489,B894,$C$2:$C$1489,C894,$D$2:$D$1489,D894)&gt;6,1,0)</f>
        <v>0</v>
      </c>
      <c r="I894" s="1" t="n">
        <f aca="false">IF(AND(F894="Wire",E894&gt;=1000,MOD(E894,1000)=0),1,0)</f>
        <v>0</v>
      </c>
      <c r="J894" s="1" t="n">
        <f aca="false">IF(AND(F894="ATM",E894&gt;2000,D894&lt;=4),1,0)</f>
        <v>0</v>
      </c>
      <c r="K894" s="1" t="n">
        <f aca="false">IF(COUNTIF('SQL Findings'!$A$4:$A$18,B894)&gt;0,1,0)</f>
        <v>0</v>
      </c>
      <c r="L894" s="1" t="n">
        <f aca="false">SUM(H894:K894)</f>
        <v>0</v>
      </c>
      <c r="M894" s="1" t="str">
        <f aca="false">IF(L894&gt;=2,"High",IF(L894=1,"Medium","Low"))</f>
        <v>Low</v>
      </c>
    </row>
    <row r="895" customFormat="false" ht="15" hidden="false" customHeight="true" outlineLevel="0" collapsed="false">
      <c r="A895" s="1" t="str">
        <f aca="false">Transactions!A895</f>
        <v>TXN500647</v>
      </c>
      <c r="B895" s="1" t="str">
        <f aca="false">Transactions!B895</f>
        <v>ACC1028</v>
      </c>
      <c r="C895" s="1" t="str">
        <f aca="false">Transactions!I895</f>
        <v>2026-02-24</v>
      </c>
      <c r="D895" s="1" t="n">
        <f aca="false">Transactions!J895</f>
        <v>9</v>
      </c>
      <c r="E895" s="1" t="n">
        <f aca="false">Transactions!D895</f>
        <v>5.89</v>
      </c>
      <c r="F895" s="1" t="str">
        <f aca="false">Transactions!H895</f>
        <v>Online</v>
      </c>
      <c r="G895" s="1" t="str">
        <f aca="false">Transactions!G895</f>
        <v>Dining</v>
      </c>
      <c r="H895" s="1" t="n">
        <f aca="false">IF(COUNTIFS($B$2:$B$1489,B895,$C$2:$C$1489,C895,$D$2:$D$1489,D895)&gt;6,1,0)</f>
        <v>0</v>
      </c>
      <c r="I895" s="1" t="n">
        <f aca="false">IF(AND(F895="Wire",E895&gt;=1000,MOD(E895,1000)=0),1,0)</f>
        <v>0</v>
      </c>
      <c r="J895" s="1" t="n">
        <f aca="false">IF(AND(F895="ATM",E895&gt;2000,D895&lt;=4),1,0)</f>
        <v>0</v>
      </c>
      <c r="K895" s="1" t="n">
        <f aca="false">IF(COUNTIF('SQL Findings'!$A$4:$A$18,B895)&gt;0,1,0)</f>
        <v>0</v>
      </c>
      <c r="L895" s="1" t="n">
        <f aca="false">SUM(H895:K895)</f>
        <v>0</v>
      </c>
      <c r="M895" s="1" t="str">
        <f aca="false">IF(L895&gt;=2,"High",IF(L895=1,"Medium","Low"))</f>
        <v>Low</v>
      </c>
    </row>
    <row r="896" customFormat="false" ht="15" hidden="false" customHeight="true" outlineLevel="0" collapsed="false">
      <c r="A896" s="1" t="str">
        <f aca="false">Transactions!A896</f>
        <v>TXN501051</v>
      </c>
      <c r="B896" s="1" t="str">
        <f aca="false">Transactions!B896</f>
        <v>ACC1045</v>
      </c>
      <c r="C896" s="1" t="str">
        <f aca="false">Transactions!I896</f>
        <v>2026-02-24</v>
      </c>
      <c r="D896" s="1" t="n">
        <f aca="false">Transactions!J896</f>
        <v>11</v>
      </c>
      <c r="E896" s="1" t="n">
        <f aca="false">Transactions!D896</f>
        <v>37.98</v>
      </c>
      <c r="F896" s="1" t="str">
        <f aca="false">Transactions!H896</f>
        <v>ATM</v>
      </c>
      <c r="G896" s="1" t="str">
        <f aca="false">Transactions!G896</f>
        <v>Retail</v>
      </c>
      <c r="H896" s="1" t="n">
        <f aca="false">IF(COUNTIFS($B$2:$B$1489,B896,$C$2:$C$1489,C896,$D$2:$D$1489,D896)&gt;6,1,0)</f>
        <v>0</v>
      </c>
      <c r="I896" s="1" t="n">
        <f aca="false">IF(AND(F896="Wire",E896&gt;=1000,MOD(E896,1000)=0),1,0)</f>
        <v>0</v>
      </c>
      <c r="J896" s="1" t="n">
        <f aca="false">IF(AND(F896="ATM",E896&gt;2000,D896&lt;=4),1,0)</f>
        <v>0</v>
      </c>
      <c r="K896" s="1" t="n">
        <f aca="false">IF(COUNTIF('SQL Findings'!$A$4:$A$18,B896)&gt;0,1,0)</f>
        <v>0</v>
      </c>
      <c r="L896" s="1" t="n">
        <f aca="false">SUM(H896:K896)</f>
        <v>0</v>
      </c>
      <c r="M896" s="1" t="str">
        <f aca="false">IF(L896&gt;=2,"High",IF(L896=1,"Medium","Low"))</f>
        <v>Low</v>
      </c>
    </row>
    <row r="897" customFormat="false" ht="15" hidden="false" customHeight="true" outlineLevel="0" collapsed="false">
      <c r="A897" s="1" t="str">
        <f aca="false">Transactions!A897</f>
        <v>TXN500013</v>
      </c>
      <c r="B897" s="1" t="str">
        <f aca="false">Transactions!B897</f>
        <v>ACC1000</v>
      </c>
      <c r="C897" s="1" t="str">
        <f aca="false">Transactions!I897</f>
        <v>2026-02-24</v>
      </c>
      <c r="D897" s="1" t="n">
        <f aca="false">Transactions!J897</f>
        <v>13</v>
      </c>
      <c r="E897" s="1" t="n">
        <f aca="false">Transactions!D897</f>
        <v>82.91</v>
      </c>
      <c r="F897" s="1" t="str">
        <f aca="false">Transactions!H897</f>
        <v>ATM</v>
      </c>
      <c r="G897" s="1" t="str">
        <f aca="false">Transactions!G897</f>
        <v>Wire Transfer</v>
      </c>
      <c r="H897" s="1" t="n">
        <f aca="false">IF(COUNTIFS($B$2:$B$1489,B897,$C$2:$C$1489,C897,$D$2:$D$1489,D897)&gt;6,1,0)</f>
        <v>0</v>
      </c>
      <c r="I897" s="1" t="n">
        <f aca="false">IF(AND(F897="Wire",E897&gt;=1000,MOD(E897,1000)=0),1,0)</f>
        <v>0</v>
      </c>
      <c r="J897" s="1" t="n">
        <f aca="false">IF(AND(F897="ATM",E897&gt;2000,D897&lt;=4),1,0)</f>
        <v>0</v>
      </c>
      <c r="K897" s="1" t="n">
        <f aca="false">IF(COUNTIF('SQL Findings'!$A$4:$A$18,B897)&gt;0,1,0)</f>
        <v>1</v>
      </c>
      <c r="L897" s="1" t="n">
        <f aca="false">SUM(H897:K897)</f>
        <v>1</v>
      </c>
      <c r="M897" s="1" t="str">
        <f aca="false">IF(L897&gt;=2,"High",IF(L897=1,"Medium","Low"))</f>
        <v>Medium</v>
      </c>
    </row>
    <row r="898" customFormat="false" ht="15" hidden="false" customHeight="true" outlineLevel="0" collapsed="false">
      <c r="A898" s="1" t="str">
        <f aca="false">Transactions!A898</f>
        <v>TXN500290</v>
      </c>
      <c r="B898" s="1" t="str">
        <f aca="false">Transactions!B898</f>
        <v>ACC1012</v>
      </c>
      <c r="C898" s="1" t="str">
        <f aca="false">Transactions!I898</f>
        <v>2026-02-24</v>
      </c>
      <c r="D898" s="1" t="n">
        <f aca="false">Transactions!J898</f>
        <v>13</v>
      </c>
      <c r="E898" s="1" t="n">
        <f aca="false">Transactions!D898</f>
        <v>38.08</v>
      </c>
      <c r="F898" s="1" t="str">
        <f aca="false">Transactions!H898</f>
        <v>Online</v>
      </c>
      <c r="G898" s="1" t="str">
        <f aca="false">Transactions!G898</f>
        <v>Wire Transfer</v>
      </c>
      <c r="H898" s="1" t="n">
        <f aca="false">IF(COUNTIFS($B$2:$B$1489,B898,$C$2:$C$1489,C898,$D$2:$D$1489,D898)&gt;6,1,0)</f>
        <v>0</v>
      </c>
      <c r="I898" s="1" t="n">
        <f aca="false">IF(AND(F898="Wire",E898&gt;=1000,MOD(E898,1000)=0),1,0)</f>
        <v>0</v>
      </c>
      <c r="J898" s="1" t="n">
        <f aca="false">IF(AND(F898="ATM",E898&gt;2000,D898&lt;=4),1,0)</f>
        <v>0</v>
      </c>
      <c r="K898" s="1" t="n">
        <f aca="false">IF(COUNTIF('SQL Findings'!$A$4:$A$18,B898)&gt;0,1,0)</f>
        <v>0</v>
      </c>
      <c r="L898" s="1" t="n">
        <f aca="false">SUM(H898:K898)</f>
        <v>0</v>
      </c>
      <c r="M898" s="1" t="str">
        <f aca="false">IF(L898&gt;=2,"High",IF(L898=1,"Medium","Low"))</f>
        <v>Low</v>
      </c>
    </row>
    <row r="899" customFormat="false" ht="15" hidden="false" customHeight="true" outlineLevel="0" collapsed="false">
      <c r="A899" s="1" t="str">
        <f aca="false">Transactions!A899</f>
        <v>TXN500255</v>
      </c>
      <c r="B899" s="1" t="str">
        <f aca="false">Transactions!B899</f>
        <v>ACC1010</v>
      </c>
      <c r="C899" s="1" t="str">
        <f aca="false">Transactions!I899</f>
        <v>2026-02-24</v>
      </c>
      <c r="D899" s="1" t="n">
        <f aca="false">Transactions!J899</f>
        <v>14</v>
      </c>
      <c r="E899" s="1" t="n">
        <f aca="false">Transactions!D899</f>
        <v>16.99</v>
      </c>
      <c r="F899" s="1" t="str">
        <f aca="false">Transactions!H899</f>
        <v>POS</v>
      </c>
      <c r="G899" s="1" t="str">
        <f aca="false">Transactions!G899</f>
        <v>Online Marketplace</v>
      </c>
      <c r="H899" s="1" t="n">
        <f aca="false">IF(COUNTIFS($B$2:$B$1489,B899,$C$2:$C$1489,C899,$D$2:$D$1489,D899)&gt;6,1,0)</f>
        <v>0</v>
      </c>
      <c r="I899" s="1" t="n">
        <f aca="false">IF(AND(F899="Wire",E899&gt;=1000,MOD(E899,1000)=0),1,0)</f>
        <v>0</v>
      </c>
      <c r="J899" s="1" t="n">
        <f aca="false">IF(AND(F899="ATM",E899&gt;2000,D899&lt;=4),1,0)</f>
        <v>0</v>
      </c>
      <c r="K899" s="1" t="n">
        <f aca="false">IF(COUNTIF('SQL Findings'!$A$4:$A$18,B899)&gt;0,1,0)</f>
        <v>0</v>
      </c>
      <c r="L899" s="1" t="n">
        <f aca="false">SUM(H899:K899)</f>
        <v>0</v>
      </c>
      <c r="M899" s="1" t="str">
        <f aca="false">IF(L899&gt;=2,"High",IF(L899=1,"Medium","Low"))</f>
        <v>Low</v>
      </c>
    </row>
    <row r="900" customFormat="false" ht="15" hidden="false" customHeight="true" outlineLevel="0" collapsed="false">
      <c r="A900" s="1" t="str">
        <f aca="false">Transactions!A900</f>
        <v>TXN500043</v>
      </c>
      <c r="B900" s="1" t="str">
        <f aca="false">Transactions!B900</f>
        <v>ACC1001</v>
      </c>
      <c r="C900" s="1" t="str">
        <f aca="false">Transactions!I900</f>
        <v>2026-02-24</v>
      </c>
      <c r="D900" s="1" t="n">
        <f aca="false">Transactions!J900</f>
        <v>15</v>
      </c>
      <c r="E900" s="1" t="n">
        <f aca="false">Transactions!D900</f>
        <v>60.09</v>
      </c>
      <c r="F900" s="1" t="str">
        <f aca="false">Transactions!H900</f>
        <v>POS</v>
      </c>
      <c r="G900" s="1" t="str">
        <f aca="false">Transactions!G900</f>
        <v>Online Marketplace</v>
      </c>
      <c r="H900" s="1" t="n">
        <f aca="false">IF(COUNTIFS($B$2:$B$1489,B900,$C$2:$C$1489,C900,$D$2:$D$1489,D900)&gt;6,1,0)</f>
        <v>0</v>
      </c>
      <c r="I900" s="1" t="n">
        <f aca="false">IF(AND(F900="Wire",E900&gt;=1000,MOD(E900,1000)=0),1,0)</f>
        <v>0</v>
      </c>
      <c r="J900" s="1" t="n">
        <f aca="false">IF(AND(F900="ATM",E900&gt;2000,D900&lt;=4),1,0)</f>
        <v>0</v>
      </c>
      <c r="K900" s="1" t="n">
        <f aca="false">IF(COUNTIF('SQL Findings'!$A$4:$A$18,B900)&gt;0,1,0)</f>
        <v>1</v>
      </c>
      <c r="L900" s="1" t="n">
        <f aca="false">SUM(H900:K900)</f>
        <v>1</v>
      </c>
      <c r="M900" s="1" t="str">
        <f aca="false">IF(L900&gt;=2,"High",IF(L900=1,"Medium","Low"))</f>
        <v>Medium</v>
      </c>
    </row>
    <row r="901" customFormat="false" ht="15" hidden="false" customHeight="true" outlineLevel="0" collapsed="false">
      <c r="A901" s="1" t="str">
        <f aca="false">Transactions!A901</f>
        <v>TXN500083</v>
      </c>
      <c r="B901" s="1" t="str">
        <f aca="false">Transactions!B901</f>
        <v>ACC1003</v>
      </c>
      <c r="C901" s="1" t="str">
        <f aca="false">Transactions!I901</f>
        <v>2026-02-25</v>
      </c>
      <c r="D901" s="1" t="n">
        <f aca="false">Transactions!J901</f>
        <v>3</v>
      </c>
      <c r="E901" s="1" t="n">
        <f aca="false">Transactions!D901</f>
        <v>252.17</v>
      </c>
      <c r="F901" s="1" t="str">
        <f aca="false">Transactions!H901</f>
        <v>ATM</v>
      </c>
      <c r="G901" s="1" t="str">
        <f aca="false">Transactions!G901</f>
        <v>Cash Withdrawal</v>
      </c>
      <c r="H901" s="1" t="n">
        <f aca="false">IF(COUNTIFS($B$2:$B$1489,B901,$C$2:$C$1489,C901,$D$2:$D$1489,D901)&gt;6,1,0)</f>
        <v>0</v>
      </c>
      <c r="I901" s="1" t="n">
        <f aca="false">IF(AND(F901="Wire",E901&gt;=1000,MOD(E901,1000)=0),1,0)</f>
        <v>0</v>
      </c>
      <c r="J901" s="1" t="n">
        <f aca="false">IF(AND(F901="ATM",E901&gt;2000,D901&lt;=4),1,0)</f>
        <v>0</v>
      </c>
      <c r="K901" s="1" t="n">
        <f aca="false">IF(COUNTIF('SQL Findings'!$A$4:$A$18,B901)&gt;0,1,0)</f>
        <v>0</v>
      </c>
      <c r="L901" s="1" t="n">
        <f aca="false">SUM(H901:K901)</f>
        <v>0</v>
      </c>
      <c r="M901" s="1" t="str">
        <f aca="false">IF(L901&gt;=2,"High",IF(L901=1,"Medium","Low"))</f>
        <v>Low</v>
      </c>
    </row>
    <row r="902" customFormat="false" ht="15" hidden="false" customHeight="true" outlineLevel="0" collapsed="false">
      <c r="A902" s="1" t="str">
        <f aca="false">Transactions!A902</f>
        <v>TXN500264</v>
      </c>
      <c r="B902" s="1" t="str">
        <f aca="false">Transactions!B902</f>
        <v>ACC1011</v>
      </c>
      <c r="C902" s="1" t="str">
        <f aca="false">Transactions!I902</f>
        <v>2026-02-25</v>
      </c>
      <c r="D902" s="1" t="n">
        <f aca="false">Transactions!J902</f>
        <v>4</v>
      </c>
      <c r="E902" s="1" t="n">
        <f aca="false">Transactions!D902</f>
        <v>26.52</v>
      </c>
      <c r="F902" s="1" t="str">
        <f aca="false">Transactions!H902</f>
        <v>POS</v>
      </c>
      <c r="G902" s="1" t="str">
        <f aca="false">Transactions!G902</f>
        <v>Cash Withdrawal</v>
      </c>
      <c r="H902" s="1" t="n">
        <f aca="false">IF(COUNTIFS($B$2:$B$1489,B902,$C$2:$C$1489,C902,$D$2:$D$1489,D902)&gt;6,1,0)</f>
        <v>0</v>
      </c>
      <c r="I902" s="1" t="n">
        <f aca="false">IF(AND(F902="Wire",E902&gt;=1000,MOD(E902,1000)=0),1,0)</f>
        <v>0</v>
      </c>
      <c r="J902" s="1" t="n">
        <f aca="false">IF(AND(F902="ATM",E902&gt;2000,D902&lt;=4),1,0)</f>
        <v>0</v>
      </c>
      <c r="K902" s="1" t="n">
        <f aca="false">IF(COUNTIF('SQL Findings'!$A$4:$A$18,B902)&gt;0,1,0)</f>
        <v>0</v>
      </c>
      <c r="L902" s="1" t="n">
        <f aca="false">SUM(H902:K902)</f>
        <v>0</v>
      </c>
      <c r="M902" s="1" t="str">
        <f aca="false">IF(L902&gt;=2,"High",IF(L902=1,"Medium","Low"))</f>
        <v>Low</v>
      </c>
    </row>
    <row r="903" customFormat="false" ht="15" hidden="false" customHeight="true" outlineLevel="0" collapsed="false">
      <c r="A903" s="1" t="str">
        <f aca="false">Transactions!A903</f>
        <v>TXN500578</v>
      </c>
      <c r="B903" s="1" t="str">
        <f aca="false">Transactions!B903</f>
        <v>ACC1025</v>
      </c>
      <c r="C903" s="1" t="str">
        <f aca="false">Transactions!I903</f>
        <v>2026-02-25</v>
      </c>
      <c r="D903" s="1" t="n">
        <f aca="false">Transactions!J903</f>
        <v>5</v>
      </c>
      <c r="E903" s="1" t="n">
        <f aca="false">Transactions!D903</f>
        <v>133.46</v>
      </c>
      <c r="F903" s="1" t="str">
        <f aca="false">Transactions!H903</f>
        <v>POS</v>
      </c>
      <c r="G903" s="1" t="str">
        <f aca="false">Transactions!G903</f>
        <v>Utilities</v>
      </c>
      <c r="H903" s="1" t="n">
        <f aca="false">IF(COUNTIFS($B$2:$B$1489,B903,$C$2:$C$1489,C903,$D$2:$D$1489,D903)&gt;6,1,0)</f>
        <v>0</v>
      </c>
      <c r="I903" s="1" t="n">
        <f aca="false">IF(AND(F903="Wire",E903&gt;=1000,MOD(E903,1000)=0),1,0)</f>
        <v>0</v>
      </c>
      <c r="J903" s="1" t="n">
        <f aca="false">IF(AND(F903="ATM",E903&gt;2000,D903&lt;=4),1,0)</f>
        <v>0</v>
      </c>
      <c r="K903" s="1" t="n">
        <f aca="false">IF(COUNTIF('SQL Findings'!$A$4:$A$18,B903)&gt;0,1,0)</f>
        <v>0</v>
      </c>
      <c r="L903" s="1" t="n">
        <f aca="false">SUM(H903:K903)</f>
        <v>0</v>
      </c>
      <c r="M903" s="1" t="str">
        <f aca="false">IF(L903&gt;=2,"High",IF(L903=1,"Medium","Low"))</f>
        <v>Low</v>
      </c>
    </row>
    <row r="904" customFormat="false" ht="15" hidden="false" customHeight="true" outlineLevel="0" collapsed="false">
      <c r="A904" s="1" t="str">
        <f aca="false">Transactions!A904</f>
        <v>TXN500282</v>
      </c>
      <c r="B904" s="1" t="str">
        <f aca="false">Transactions!B904</f>
        <v>ACC1012</v>
      </c>
      <c r="C904" s="1" t="str">
        <f aca="false">Transactions!I904</f>
        <v>2026-02-25</v>
      </c>
      <c r="D904" s="1" t="n">
        <f aca="false">Transactions!J904</f>
        <v>5</v>
      </c>
      <c r="E904" s="1" t="n">
        <f aca="false">Transactions!D904</f>
        <v>121.02</v>
      </c>
      <c r="F904" s="1" t="str">
        <f aca="false">Transactions!H904</f>
        <v>ATM</v>
      </c>
      <c r="G904" s="1" t="str">
        <f aca="false">Transactions!G904</f>
        <v>Online Marketplace</v>
      </c>
      <c r="H904" s="1" t="n">
        <f aca="false">IF(COUNTIFS($B$2:$B$1489,B904,$C$2:$C$1489,C904,$D$2:$D$1489,D904)&gt;6,1,0)</f>
        <v>0</v>
      </c>
      <c r="I904" s="1" t="n">
        <f aca="false">IF(AND(F904="Wire",E904&gt;=1000,MOD(E904,1000)=0),1,0)</f>
        <v>0</v>
      </c>
      <c r="J904" s="1" t="n">
        <f aca="false">IF(AND(F904="ATM",E904&gt;2000,D904&lt;=4),1,0)</f>
        <v>0</v>
      </c>
      <c r="K904" s="1" t="n">
        <f aca="false">IF(COUNTIF('SQL Findings'!$A$4:$A$18,B904)&gt;0,1,0)</f>
        <v>0</v>
      </c>
      <c r="L904" s="1" t="n">
        <f aca="false">SUM(H904:K904)</f>
        <v>0</v>
      </c>
      <c r="M904" s="1" t="str">
        <f aca="false">IF(L904&gt;=2,"High",IF(L904=1,"Medium","Low"))</f>
        <v>Low</v>
      </c>
    </row>
    <row r="905" customFormat="false" ht="15" hidden="false" customHeight="true" outlineLevel="0" collapsed="false">
      <c r="A905" s="1" t="str">
        <f aca="false">Transactions!A905</f>
        <v>TXN500753</v>
      </c>
      <c r="B905" s="1" t="str">
        <f aca="false">Transactions!B905</f>
        <v>ACC1032</v>
      </c>
      <c r="C905" s="1" t="str">
        <f aca="false">Transactions!I905</f>
        <v>2026-02-25</v>
      </c>
      <c r="D905" s="1" t="n">
        <f aca="false">Transactions!J905</f>
        <v>6</v>
      </c>
      <c r="E905" s="1" t="n">
        <f aca="false">Transactions!D905</f>
        <v>27.71</v>
      </c>
      <c r="F905" s="1" t="str">
        <f aca="false">Transactions!H905</f>
        <v>POS</v>
      </c>
      <c r="G905" s="1" t="str">
        <f aca="false">Transactions!G905</f>
        <v>Cash Withdrawal</v>
      </c>
      <c r="H905" s="1" t="n">
        <f aca="false">IF(COUNTIFS($B$2:$B$1489,B905,$C$2:$C$1489,C905,$D$2:$D$1489,D905)&gt;6,1,0)</f>
        <v>0</v>
      </c>
      <c r="I905" s="1" t="n">
        <f aca="false">IF(AND(F905="Wire",E905&gt;=1000,MOD(E905,1000)=0),1,0)</f>
        <v>0</v>
      </c>
      <c r="J905" s="1" t="n">
        <f aca="false">IF(AND(F905="ATM",E905&gt;2000,D905&lt;=4),1,0)</f>
        <v>0</v>
      </c>
      <c r="K905" s="1" t="n">
        <f aca="false">IF(COUNTIF('SQL Findings'!$A$4:$A$18,B905)&gt;0,1,0)</f>
        <v>0</v>
      </c>
      <c r="L905" s="1" t="n">
        <f aca="false">SUM(H905:K905)</f>
        <v>0</v>
      </c>
      <c r="M905" s="1" t="str">
        <f aca="false">IF(L905&gt;=2,"High",IF(L905=1,"Medium","Low"))</f>
        <v>Low</v>
      </c>
    </row>
    <row r="906" customFormat="false" ht="15" hidden="false" customHeight="true" outlineLevel="0" collapsed="false">
      <c r="A906" s="1" t="str">
        <f aca="false">Transactions!A906</f>
        <v>TXN500286</v>
      </c>
      <c r="B906" s="1" t="str">
        <f aca="false">Transactions!B906</f>
        <v>ACC1012</v>
      </c>
      <c r="C906" s="1" t="str">
        <f aca="false">Transactions!I906</f>
        <v>2026-02-25</v>
      </c>
      <c r="D906" s="1" t="n">
        <f aca="false">Transactions!J906</f>
        <v>6</v>
      </c>
      <c r="E906" s="1" t="n">
        <f aca="false">Transactions!D906</f>
        <v>11.51</v>
      </c>
      <c r="F906" s="1" t="str">
        <f aca="false">Transactions!H906</f>
        <v>ATM</v>
      </c>
      <c r="G906" s="1" t="str">
        <f aca="false">Transactions!G906</f>
        <v>Dining</v>
      </c>
      <c r="H906" s="1" t="n">
        <f aca="false">IF(COUNTIFS($B$2:$B$1489,B906,$C$2:$C$1489,C906,$D$2:$D$1489,D906)&gt;6,1,0)</f>
        <v>0</v>
      </c>
      <c r="I906" s="1" t="n">
        <f aca="false">IF(AND(F906="Wire",E906&gt;=1000,MOD(E906,1000)=0),1,0)</f>
        <v>0</v>
      </c>
      <c r="J906" s="1" t="n">
        <f aca="false">IF(AND(F906="ATM",E906&gt;2000,D906&lt;=4),1,0)</f>
        <v>0</v>
      </c>
      <c r="K906" s="1" t="n">
        <f aca="false">IF(COUNTIF('SQL Findings'!$A$4:$A$18,B906)&gt;0,1,0)</f>
        <v>0</v>
      </c>
      <c r="L906" s="1" t="n">
        <f aca="false">SUM(H906:K906)</f>
        <v>0</v>
      </c>
      <c r="M906" s="1" t="str">
        <f aca="false">IF(L906&gt;=2,"High",IF(L906=1,"Medium","Low"))</f>
        <v>Low</v>
      </c>
    </row>
    <row r="907" customFormat="false" ht="15" hidden="false" customHeight="true" outlineLevel="0" collapsed="false">
      <c r="A907" s="1" t="str">
        <f aca="false">Transactions!A907</f>
        <v>TXN500207</v>
      </c>
      <c r="B907" s="1" t="str">
        <f aca="false">Transactions!B907</f>
        <v>ACC1008</v>
      </c>
      <c r="C907" s="1" t="str">
        <f aca="false">Transactions!I907</f>
        <v>2026-02-25</v>
      </c>
      <c r="D907" s="1" t="n">
        <f aca="false">Transactions!J907</f>
        <v>6</v>
      </c>
      <c r="E907" s="1" t="n">
        <f aca="false">Transactions!D907</f>
        <v>106.01</v>
      </c>
      <c r="F907" s="1" t="str">
        <f aca="false">Transactions!H907</f>
        <v>ATM</v>
      </c>
      <c r="G907" s="1" t="str">
        <f aca="false">Transactions!G907</f>
        <v>Wire Transfer</v>
      </c>
      <c r="H907" s="1" t="n">
        <f aca="false">IF(COUNTIFS($B$2:$B$1489,B907,$C$2:$C$1489,C907,$D$2:$D$1489,D907)&gt;6,1,0)</f>
        <v>0</v>
      </c>
      <c r="I907" s="1" t="n">
        <f aca="false">IF(AND(F907="Wire",E907&gt;=1000,MOD(E907,1000)=0),1,0)</f>
        <v>0</v>
      </c>
      <c r="J907" s="1" t="n">
        <f aca="false">IF(AND(F907="ATM",E907&gt;2000,D907&lt;=4),1,0)</f>
        <v>0</v>
      </c>
      <c r="K907" s="1" t="n">
        <f aca="false">IF(COUNTIF('SQL Findings'!$A$4:$A$18,B907)&gt;0,1,0)</f>
        <v>0</v>
      </c>
      <c r="L907" s="1" t="n">
        <f aca="false">SUM(H907:K907)</f>
        <v>0</v>
      </c>
      <c r="M907" s="1" t="str">
        <f aca="false">IF(L907&gt;=2,"High",IF(L907=1,"Medium","Low"))</f>
        <v>Low</v>
      </c>
    </row>
    <row r="908" customFormat="false" ht="15" hidden="false" customHeight="true" outlineLevel="0" collapsed="false">
      <c r="A908" s="1" t="str">
        <f aca="false">Transactions!A908</f>
        <v>TXN500543</v>
      </c>
      <c r="B908" s="1" t="str">
        <f aca="false">Transactions!B908</f>
        <v>ACC1024</v>
      </c>
      <c r="C908" s="1" t="str">
        <f aca="false">Transactions!I908</f>
        <v>2026-02-25</v>
      </c>
      <c r="D908" s="1" t="n">
        <f aca="false">Transactions!J908</f>
        <v>7</v>
      </c>
      <c r="E908" s="1" t="n">
        <f aca="false">Transactions!D908</f>
        <v>107.43</v>
      </c>
      <c r="F908" s="1" t="str">
        <f aca="false">Transactions!H908</f>
        <v>ATM</v>
      </c>
      <c r="G908" s="1" t="str">
        <f aca="false">Transactions!G908</f>
        <v>Cash Withdrawal</v>
      </c>
      <c r="H908" s="1" t="n">
        <f aca="false">IF(COUNTIFS($B$2:$B$1489,B908,$C$2:$C$1489,C908,$D$2:$D$1489,D908)&gt;6,1,0)</f>
        <v>0</v>
      </c>
      <c r="I908" s="1" t="n">
        <f aca="false">IF(AND(F908="Wire",E908&gt;=1000,MOD(E908,1000)=0),1,0)</f>
        <v>0</v>
      </c>
      <c r="J908" s="1" t="n">
        <f aca="false">IF(AND(F908="ATM",E908&gt;2000,D908&lt;=4),1,0)</f>
        <v>0</v>
      </c>
      <c r="K908" s="1" t="n">
        <f aca="false">IF(COUNTIF('SQL Findings'!$A$4:$A$18,B908)&gt;0,1,0)</f>
        <v>1</v>
      </c>
      <c r="L908" s="1" t="n">
        <f aca="false">SUM(H908:K908)</f>
        <v>1</v>
      </c>
      <c r="M908" s="1" t="str">
        <f aca="false">IF(L908&gt;=2,"High",IF(L908=1,"Medium","Low"))</f>
        <v>Medium</v>
      </c>
    </row>
    <row r="909" customFormat="false" ht="15" hidden="false" customHeight="true" outlineLevel="0" collapsed="false">
      <c r="A909" s="1" t="str">
        <f aca="false">Transactions!A909</f>
        <v>TXN500366</v>
      </c>
      <c r="B909" s="1" t="str">
        <f aca="false">Transactions!B909</f>
        <v>ACC1016</v>
      </c>
      <c r="C909" s="1" t="str">
        <f aca="false">Transactions!I909</f>
        <v>2026-02-25</v>
      </c>
      <c r="D909" s="1" t="n">
        <f aca="false">Transactions!J909</f>
        <v>8</v>
      </c>
      <c r="E909" s="1" t="n">
        <f aca="false">Transactions!D909</f>
        <v>46.47</v>
      </c>
      <c r="F909" s="1" t="str">
        <f aca="false">Transactions!H909</f>
        <v>POS</v>
      </c>
      <c r="G909" s="1" t="str">
        <f aca="false">Transactions!G909</f>
        <v>Retail</v>
      </c>
      <c r="H909" s="1" t="n">
        <f aca="false">IF(COUNTIFS($B$2:$B$1489,B909,$C$2:$C$1489,C909,$D$2:$D$1489,D909)&gt;6,1,0)</f>
        <v>0</v>
      </c>
      <c r="I909" s="1" t="n">
        <f aca="false">IF(AND(F909="Wire",E909&gt;=1000,MOD(E909,1000)=0),1,0)</f>
        <v>0</v>
      </c>
      <c r="J909" s="1" t="n">
        <f aca="false">IF(AND(F909="ATM",E909&gt;2000,D909&lt;=4),1,0)</f>
        <v>0</v>
      </c>
      <c r="K909" s="1" t="n">
        <f aca="false">IF(COUNTIF('SQL Findings'!$A$4:$A$18,B909)&gt;0,1,0)</f>
        <v>0</v>
      </c>
      <c r="L909" s="1" t="n">
        <f aca="false">SUM(H909:K909)</f>
        <v>0</v>
      </c>
      <c r="M909" s="1" t="str">
        <f aca="false">IF(L909&gt;=2,"High",IF(L909=1,"Medium","Low"))</f>
        <v>Low</v>
      </c>
    </row>
    <row r="910" customFormat="false" ht="15" hidden="false" customHeight="true" outlineLevel="0" collapsed="false">
      <c r="A910" s="1" t="str">
        <f aca="false">Transactions!A910</f>
        <v>TXN501384</v>
      </c>
      <c r="B910" s="1" t="str">
        <f aca="false">Transactions!B910</f>
        <v>ACC1000</v>
      </c>
      <c r="C910" s="1" t="str">
        <f aca="false">Transactions!I910</f>
        <v>2026-02-25</v>
      </c>
      <c r="D910" s="1" t="n">
        <f aca="false">Transactions!J910</f>
        <v>9</v>
      </c>
      <c r="E910" s="1" t="n">
        <f aca="false">Transactions!D910</f>
        <v>2775.01</v>
      </c>
      <c r="F910" s="1" t="str">
        <f aca="false">Transactions!H910</f>
        <v>Wire</v>
      </c>
      <c r="G910" s="1" t="str">
        <f aca="false">Transactions!G910</f>
        <v>Wire Transfer</v>
      </c>
      <c r="H910" s="1" t="n">
        <f aca="false">IF(COUNTIFS($B$2:$B$1489,B910,$C$2:$C$1489,C910,$D$2:$D$1489,D910)&gt;6,1,0)</f>
        <v>0</v>
      </c>
      <c r="I910" s="1" t="n">
        <f aca="false">IF(AND(F910="Wire",E910&gt;=1000,MOD(E910,1000)=0),1,0)</f>
        <v>0</v>
      </c>
      <c r="J910" s="1" t="n">
        <f aca="false">IF(AND(F910="ATM",E910&gt;2000,D910&lt;=4),1,0)</f>
        <v>0</v>
      </c>
      <c r="K910" s="1" t="n">
        <f aca="false">IF(COUNTIF('SQL Findings'!$A$4:$A$18,B910)&gt;0,1,0)</f>
        <v>1</v>
      </c>
      <c r="L910" s="1" t="n">
        <f aca="false">SUM(H910:K910)</f>
        <v>1</v>
      </c>
      <c r="M910" s="1" t="str">
        <f aca="false">IF(L910&gt;=2,"High",IF(L910=1,"Medium","Low"))</f>
        <v>Medium</v>
      </c>
    </row>
    <row r="911" customFormat="false" ht="15" hidden="false" customHeight="true" outlineLevel="0" collapsed="false">
      <c r="A911" s="1" t="str">
        <f aca="false">Transactions!A911</f>
        <v>TXN501385</v>
      </c>
      <c r="B911" s="1" t="str">
        <f aca="false">Transactions!B911</f>
        <v>ACC1000</v>
      </c>
      <c r="C911" s="1" t="str">
        <f aca="false">Transactions!I911</f>
        <v>2026-02-25</v>
      </c>
      <c r="D911" s="1" t="n">
        <f aca="false">Transactions!J911</f>
        <v>10</v>
      </c>
      <c r="E911" s="1" t="n">
        <f aca="false">Transactions!D911</f>
        <v>2430.36</v>
      </c>
      <c r="F911" s="1" t="str">
        <f aca="false">Transactions!H911</f>
        <v>Wire</v>
      </c>
      <c r="G911" s="1" t="str">
        <f aca="false">Transactions!G911</f>
        <v>Wire Transfer</v>
      </c>
      <c r="H911" s="1" t="n">
        <f aca="false">IF(COUNTIFS($B$2:$B$1489,B911,$C$2:$C$1489,C911,$D$2:$D$1489,D911)&gt;6,1,0)</f>
        <v>0</v>
      </c>
      <c r="I911" s="1" t="n">
        <f aca="false">IF(AND(F911="Wire",E911&gt;=1000,MOD(E911,1000)=0),1,0)</f>
        <v>0</v>
      </c>
      <c r="J911" s="1" t="n">
        <f aca="false">IF(AND(F911="ATM",E911&gt;2000,D911&lt;=4),1,0)</f>
        <v>0</v>
      </c>
      <c r="K911" s="1" t="n">
        <f aca="false">IF(COUNTIF('SQL Findings'!$A$4:$A$18,B911)&gt;0,1,0)</f>
        <v>1</v>
      </c>
      <c r="L911" s="1" t="n">
        <f aca="false">SUM(H911:K911)</f>
        <v>1</v>
      </c>
      <c r="M911" s="1" t="str">
        <f aca="false">IF(L911&gt;=2,"High",IF(L911=1,"Medium","Low"))</f>
        <v>Medium</v>
      </c>
    </row>
    <row r="912" customFormat="false" ht="15" hidden="false" customHeight="true" outlineLevel="0" collapsed="false">
      <c r="A912" s="1" t="str">
        <f aca="false">Transactions!A912</f>
        <v>TXN501386</v>
      </c>
      <c r="B912" s="1" t="str">
        <f aca="false">Transactions!B912</f>
        <v>ACC1000</v>
      </c>
      <c r="C912" s="1" t="str">
        <f aca="false">Transactions!I912</f>
        <v>2026-02-25</v>
      </c>
      <c r="D912" s="1" t="n">
        <f aca="false">Transactions!J912</f>
        <v>12</v>
      </c>
      <c r="E912" s="1" t="n">
        <f aca="false">Transactions!D912</f>
        <v>2600.95</v>
      </c>
      <c r="F912" s="1" t="str">
        <f aca="false">Transactions!H912</f>
        <v>Wire</v>
      </c>
      <c r="G912" s="1" t="str">
        <f aca="false">Transactions!G912</f>
        <v>Wire Transfer</v>
      </c>
      <c r="H912" s="1" t="n">
        <f aca="false">IF(COUNTIFS($B$2:$B$1489,B912,$C$2:$C$1489,C912,$D$2:$D$1489,D912)&gt;6,1,0)</f>
        <v>0</v>
      </c>
      <c r="I912" s="1" t="n">
        <f aca="false">IF(AND(F912="Wire",E912&gt;=1000,MOD(E912,1000)=0),1,0)</f>
        <v>0</v>
      </c>
      <c r="J912" s="1" t="n">
        <f aca="false">IF(AND(F912="ATM",E912&gt;2000,D912&lt;=4),1,0)</f>
        <v>0</v>
      </c>
      <c r="K912" s="1" t="n">
        <f aca="false">IF(COUNTIF('SQL Findings'!$A$4:$A$18,B912)&gt;0,1,0)</f>
        <v>1</v>
      </c>
      <c r="L912" s="1" t="n">
        <f aca="false">SUM(H912:K912)</f>
        <v>1</v>
      </c>
      <c r="M912" s="1" t="str">
        <f aca="false">IF(L912&gt;=2,"High",IF(L912=1,"Medium","Low"))</f>
        <v>Medium</v>
      </c>
    </row>
    <row r="913" customFormat="false" ht="15" hidden="false" customHeight="true" outlineLevel="0" collapsed="false">
      <c r="A913" s="1" t="str">
        <f aca="false">Transactions!A913</f>
        <v>TXN500388</v>
      </c>
      <c r="B913" s="1" t="str">
        <f aca="false">Transactions!B913</f>
        <v>ACC1016</v>
      </c>
      <c r="C913" s="1" t="str">
        <f aca="false">Transactions!I913</f>
        <v>2026-02-25</v>
      </c>
      <c r="D913" s="1" t="n">
        <f aca="false">Transactions!J913</f>
        <v>12</v>
      </c>
      <c r="E913" s="1" t="n">
        <f aca="false">Transactions!D913</f>
        <v>360.88</v>
      </c>
      <c r="F913" s="1" t="str">
        <f aca="false">Transactions!H913</f>
        <v>POS</v>
      </c>
      <c r="G913" s="1" t="str">
        <f aca="false">Transactions!G913</f>
        <v>Retail</v>
      </c>
      <c r="H913" s="1" t="n">
        <f aca="false">IF(COUNTIFS($B$2:$B$1489,B913,$C$2:$C$1489,C913,$D$2:$D$1489,D913)&gt;6,1,0)</f>
        <v>0</v>
      </c>
      <c r="I913" s="1" t="n">
        <f aca="false">IF(AND(F913="Wire",E913&gt;=1000,MOD(E913,1000)=0),1,0)</f>
        <v>0</v>
      </c>
      <c r="J913" s="1" t="n">
        <f aca="false">IF(AND(F913="ATM",E913&gt;2000,D913&lt;=4),1,0)</f>
        <v>0</v>
      </c>
      <c r="K913" s="1" t="n">
        <f aca="false">IF(COUNTIF('SQL Findings'!$A$4:$A$18,B913)&gt;0,1,0)</f>
        <v>0</v>
      </c>
      <c r="L913" s="1" t="n">
        <f aca="false">SUM(H913:K913)</f>
        <v>0</v>
      </c>
      <c r="M913" s="1" t="str">
        <f aca="false">IF(L913&gt;=2,"High",IF(L913=1,"Medium","Low"))</f>
        <v>Low</v>
      </c>
    </row>
    <row r="914" customFormat="false" ht="15" hidden="false" customHeight="true" outlineLevel="0" collapsed="false">
      <c r="A914" s="1" t="str">
        <f aca="false">Transactions!A914</f>
        <v>TXN501464</v>
      </c>
      <c r="B914" s="1" t="str">
        <f aca="false">Transactions!B914</f>
        <v>ACC1023</v>
      </c>
      <c r="C914" s="1" t="str">
        <f aca="false">Transactions!I914</f>
        <v>2026-02-25</v>
      </c>
      <c r="D914" s="1" t="n">
        <f aca="false">Transactions!J914</f>
        <v>13</v>
      </c>
      <c r="E914" s="1" t="n">
        <f aca="false">Transactions!D914</f>
        <v>3000</v>
      </c>
      <c r="F914" s="1" t="str">
        <f aca="false">Transactions!H914</f>
        <v>Wire</v>
      </c>
      <c r="G914" s="1" t="str">
        <f aca="false">Transactions!G914</f>
        <v>Wire Transfer</v>
      </c>
      <c r="H914" s="1" t="n">
        <f aca="false">IF(COUNTIFS($B$2:$B$1489,B914,$C$2:$C$1489,C914,$D$2:$D$1489,D914)&gt;6,1,0)</f>
        <v>0</v>
      </c>
      <c r="I914" s="1" t="n">
        <f aca="false">IF(AND(F914="Wire",E914&gt;=1000,MOD(E914,1000)=0),1,0)</f>
        <v>1</v>
      </c>
      <c r="J914" s="1" t="n">
        <f aca="false">IF(AND(F914="ATM",E914&gt;2000,D914&lt;=4),1,0)</f>
        <v>0</v>
      </c>
      <c r="K914" s="1" t="n">
        <f aca="false">IF(COUNTIF('SQL Findings'!$A$4:$A$18,B914)&gt;0,1,0)</f>
        <v>0</v>
      </c>
      <c r="L914" s="1" t="n">
        <f aca="false">SUM(H914:K914)</f>
        <v>1</v>
      </c>
      <c r="M914" s="1" t="str">
        <f aca="false">IF(L914&gt;=2,"High",IF(L914=1,"Medium","Low"))</f>
        <v>Medium</v>
      </c>
    </row>
    <row r="915" customFormat="false" ht="15" hidden="false" customHeight="true" outlineLevel="0" collapsed="false">
      <c r="A915" s="1" t="str">
        <f aca="false">Transactions!A915</f>
        <v>TXN501387</v>
      </c>
      <c r="B915" s="1" t="str">
        <f aca="false">Transactions!B915</f>
        <v>ACC1000</v>
      </c>
      <c r="C915" s="1" t="str">
        <f aca="false">Transactions!I915</f>
        <v>2026-02-25</v>
      </c>
      <c r="D915" s="1" t="n">
        <f aca="false">Transactions!J915</f>
        <v>13</v>
      </c>
      <c r="E915" s="1" t="n">
        <f aca="false">Transactions!D915</f>
        <v>2444.25</v>
      </c>
      <c r="F915" s="1" t="str">
        <f aca="false">Transactions!H915</f>
        <v>Wire</v>
      </c>
      <c r="G915" s="1" t="str">
        <f aca="false">Transactions!G915</f>
        <v>Wire Transfer</v>
      </c>
      <c r="H915" s="1" t="n">
        <f aca="false">IF(COUNTIFS($B$2:$B$1489,B915,$C$2:$C$1489,C915,$D$2:$D$1489,D915)&gt;6,1,0)</f>
        <v>0</v>
      </c>
      <c r="I915" s="1" t="n">
        <f aca="false">IF(AND(F915="Wire",E915&gt;=1000,MOD(E915,1000)=0),1,0)</f>
        <v>0</v>
      </c>
      <c r="J915" s="1" t="n">
        <f aca="false">IF(AND(F915="ATM",E915&gt;2000,D915&lt;=4),1,0)</f>
        <v>0</v>
      </c>
      <c r="K915" s="1" t="n">
        <f aca="false">IF(COUNTIF('SQL Findings'!$A$4:$A$18,B915)&gt;0,1,0)</f>
        <v>1</v>
      </c>
      <c r="L915" s="1" t="n">
        <f aca="false">SUM(H915:K915)</f>
        <v>1</v>
      </c>
      <c r="M915" s="1" t="str">
        <f aca="false">IF(L915&gt;=2,"High",IF(L915=1,"Medium","Low"))</f>
        <v>Medium</v>
      </c>
    </row>
    <row r="916" customFormat="false" ht="15" hidden="false" customHeight="true" outlineLevel="0" collapsed="false">
      <c r="A916" s="1" t="str">
        <f aca="false">Transactions!A916</f>
        <v>TXN500535</v>
      </c>
      <c r="B916" s="1" t="str">
        <f aca="false">Transactions!B916</f>
        <v>ACC1023</v>
      </c>
      <c r="C916" s="1" t="str">
        <f aca="false">Transactions!I916</f>
        <v>2026-02-25</v>
      </c>
      <c r="D916" s="1" t="n">
        <f aca="false">Transactions!J916</f>
        <v>14</v>
      </c>
      <c r="E916" s="1" t="n">
        <f aca="false">Transactions!D916</f>
        <v>37.09</v>
      </c>
      <c r="F916" s="1" t="str">
        <f aca="false">Transactions!H916</f>
        <v>ATM</v>
      </c>
      <c r="G916" s="1" t="str">
        <f aca="false">Transactions!G916</f>
        <v>Electronics</v>
      </c>
      <c r="H916" s="1" t="n">
        <f aca="false">IF(COUNTIFS($B$2:$B$1489,B916,$C$2:$C$1489,C916,$D$2:$D$1489,D916)&gt;6,1,0)</f>
        <v>0</v>
      </c>
      <c r="I916" s="1" t="n">
        <f aca="false">IF(AND(F916="Wire",E916&gt;=1000,MOD(E916,1000)=0),1,0)</f>
        <v>0</v>
      </c>
      <c r="J916" s="1" t="n">
        <f aca="false">IF(AND(F916="ATM",E916&gt;2000,D916&lt;=4),1,0)</f>
        <v>0</v>
      </c>
      <c r="K916" s="1" t="n">
        <f aca="false">IF(COUNTIF('SQL Findings'!$A$4:$A$18,B916)&gt;0,1,0)</f>
        <v>0</v>
      </c>
      <c r="L916" s="1" t="n">
        <f aca="false">SUM(H916:K916)</f>
        <v>0</v>
      </c>
      <c r="M916" s="1" t="str">
        <f aca="false">IF(L916&gt;=2,"High",IF(L916=1,"Medium","Low"))</f>
        <v>Low</v>
      </c>
    </row>
    <row r="917" customFormat="false" ht="15" hidden="false" customHeight="true" outlineLevel="0" collapsed="false">
      <c r="A917" s="1" t="str">
        <f aca="false">Transactions!A917</f>
        <v>TXN500293</v>
      </c>
      <c r="B917" s="1" t="str">
        <f aca="false">Transactions!B917</f>
        <v>ACC1012</v>
      </c>
      <c r="C917" s="1" t="str">
        <f aca="false">Transactions!I917</f>
        <v>2026-02-25</v>
      </c>
      <c r="D917" s="1" t="n">
        <f aca="false">Transactions!J917</f>
        <v>17</v>
      </c>
      <c r="E917" s="1" t="n">
        <f aca="false">Transactions!D917</f>
        <v>39.24</v>
      </c>
      <c r="F917" s="1" t="str">
        <f aca="false">Transactions!H917</f>
        <v>ATM</v>
      </c>
      <c r="G917" s="1" t="str">
        <f aca="false">Transactions!G917</f>
        <v>Wire Transfer</v>
      </c>
      <c r="H917" s="1" t="n">
        <f aca="false">IF(COUNTIFS($B$2:$B$1489,B917,$C$2:$C$1489,C917,$D$2:$D$1489,D917)&gt;6,1,0)</f>
        <v>0</v>
      </c>
      <c r="I917" s="1" t="n">
        <f aca="false">IF(AND(F917="Wire",E917&gt;=1000,MOD(E917,1000)=0),1,0)</f>
        <v>0</v>
      </c>
      <c r="J917" s="1" t="n">
        <f aca="false">IF(AND(F917="ATM",E917&gt;2000,D917&lt;=4),1,0)</f>
        <v>0</v>
      </c>
      <c r="K917" s="1" t="n">
        <f aca="false">IF(COUNTIF('SQL Findings'!$A$4:$A$18,B917)&gt;0,1,0)</f>
        <v>0</v>
      </c>
      <c r="L917" s="1" t="n">
        <f aca="false">SUM(H917:K917)</f>
        <v>0</v>
      </c>
      <c r="M917" s="1" t="str">
        <f aca="false">IF(L917&gt;=2,"High",IF(L917=1,"Medium","Low"))</f>
        <v>Low</v>
      </c>
    </row>
    <row r="918" customFormat="false" ht="15" hidden="false" customHeight="true" outlineLevel="0" collapsed="false">
      <c r="A918" s="1" t="str">
        <f aca="false">Transactions!A918</f>
        <v>TXN500710</v>
      </c>
      <c r="B918" s="1" t="str">
        <f aca="false">Transactions!B918</f>
        <v>ACC1030</v>
      </c>
      <c r="C918" s="1" t="str">
        <f aca="false">Transactions!I918</f>
        <v>2026-02-25</v>
      </c>
      <c r="D918" s="1" t="n">
        <f aca="false">Transactions!J918</f>
        <v>17</v>
      </c>
      <c r="E918" s="1" t="n">
        <f aca="false">Transactions!D918</f>
        <v>306.99</v>
      </c>
      <c r="F918" s="1" t="str">
        <f aca="false">Transactions!H918</f>
        <v>POS</v>
      </c>
      <c r="G918" s="1" t="str">
        <f aca="false">Transactions!G918</f>
        <v>Online Marketplace</v>
      </c>
      <c r="H918" s="1" t="n">
        <f aca="false">IF(COUNTIFS($B$2:$B$1489,B918,$C$2:$C$1489,C918,$D$2:$D$1489,D918)&gt;6,1,0)</f>
        <v>0</v>
      </c>
      <c r="I918" s="1" t="n">
        <f aca="false">IF(AND(F918="Wire",E918&gt;=1000,MOD(E918,1000)=0),1,0)</f>
        <v>0</v>
      </c>
      <c r="J918" s="1" t="n">
        <f aca="false">IF(AND(F918="ATM",E918&gt;2000,D918&lt;=4),1,0)</f>
        <v>0</v>
      </c>
      <c r="K918" s="1" t="n">
        <f aca="false">IF(COUNTIF('SQL Findings'!$A$4:$A$18,B918)&gt;0,1,0)</f>
        <v>1</v>
      </c>
      <c r="L918" s="1" t="n">
        <f aca="false">SUM(H918:K918)</f>
        <v>1</v>
      </c>
      <c r="M918" s="1" t="str">
        <f aca="false">IF(L918&gt;=2,"High",IF(L918=1,"Medium","Low"))</f>
        <v>Medium</v>
      </c>
    </row>
    <row r="919" customFormat="false" ht="15" hidden="false" customHeight="true" outlineLevel="0" collapsed="false">
      <c r="A919" s="1" t="str">
        <f aca="false">Transactions!A919</f>
        <v>TXN500222</v>
      </c>
      <c r="B919" s="1" t="str">
        <f aca="false">Transactions!B919</f>
        <v>ACC1009</v>
      </c>
      <c r="C919" s="1" t="str">
        <f aca="false">Transactions!I919</f>
        <v>2026-02-26</v>
      </c>
      <c r="D919" s="1" t="n">
        <f aca="false">Transactions!J919</f>
        <v>1</v>
      </c>
      <c r="E919" s="1" t="n">
        <f aca="false">Transactions!D919</f>
        <v>12.42</v>
      </c>
      <c r="F919" s="1" t="str">
        <f aca="false">Transactions!H919</f>
        <v>POS</v>
      </c>
      <c r="G919" s="1" t="str">
        <f aca="false">Transactions!G919</f>
        <v>Travel</v>
      </c>
      <c r="H919" s="1" t="n">
        <f aca="false">IF(COUNTIFS($B$2:$B$1489,B919,$C$2:$C$1489,C919,$D$2:$D$1489,D919)&gt;6,1,0)</f>
        <v>0</v>
      </c>
      <c r="I919" s="1" t="n">
        <f aca="false">IF(AND(F919="Wire",E919&gt;=1000,MOD(E919,1000)=0),1,0)</f>
        <v>0</v>
      </c>
      <c r="J919" s="1" t="n">
        <f aca="false">IF(AND(F919="ATM",E919&gt;2000,D919&lt;=4),1,0)</f>
        <v>0</v>
      </c>
      <c r="K919" s="1" t="n">
        <f aca="false">IF(COUNTIF('SQL Findings'!$A$4:$A$18,B919)&gt;0,1,0)</f>
        <v>1</v>
      </c>
      <c r="L919" s="1" t="n">
        <f aca="false">SUM(H919:K919)</f>
        <v>1</v>
      </c>
      <c r="M919" s="1" t="str">
        <f aca="false">IF(L919&gt;=2,"High",IF(L919=1,"Medium","Low"))</f>
        <v>Medium</v>
      </c>
    </row>
    <row r="920" customFormat="false" ht="15" hidden="false" customHeight="true" outlineLevel="0" collapsed="false">
      <c r="A920" s="1" t="str">
        <f aca="false">Transactions!A920</f>
        <v>TXN500867</v>
      </c>
      <c r="B920" s="1" t="str">
        <f aca="false">Transactions!B920</f>
        <v>ACC1037</v>
      </c>
      <c r="C920" s="1" t="str">
        <f aca="false">Transactions!I920</f>
        <v>2026-02-26</v>
      </c>
      <c r="D920" s="1" t="n">
        <f aca="false">Transactions!J920</f>
        <v>2</v>
      </c>
      <c r="E920" s="1" t="n">
        <f aca="false">Transactions!D920</f>
        <v>86.25</v>
      </c>
      <c r="F920" s="1" t="str">
        <f aca="false">Transactions!H920</f>
        <v>POS</v>
      </c>
      <c r="G920" s="1" t="str">
        <f aca="false">Transactions!G920</f>
        <v>Cash Withdrawal</v>
      </c>
      <c r="H920" s="1" t="n">
        <f aca="false">IF(COUNTIFS($B$2:$B$1489,B920,$C$2:$C$1489,C920,$D$2:$D$1489,D920)&gt;6,1,0)</f>
        <v>0</v>
      </c>
      <c r="I920" s="1" t="n">
        <f aca="false">IF(AND(F920="Wire",E920&gt;=1000,MOD(E920,1000)=0),1,0)</f>
        <v>0</v>
      </c>
      <c r="J920" s="1" t="n">
        <f aca="false">IF(AND(F920="ATM",E920&gt;2000,D920&lt;=4),1,0)</f>
        <v>0</v>
      </c>
      <c r="K920" s="1" t="n">
        <f aca="false">IF(COUNTIF('SQL Findings'!$A$4:$A$18,B920)&gt;0,1,0)</f>
        <v>1</v>
      </c>
      <c r="L920" s="1" t="n">
        <f aca="false">SUM(H920:K920)</f>
        <v>1</v>
      </c>
      <c r="M920" s="1" t="str">
        <f aca="false">IF(L920&gt;=2,"High",IF(L920=1,"Medium","Low"))</f>
        <v>Medium</v>
      </c>
    </row>
    <row r="921" customFormat="false" ht="15" hidden="false" customHeight="true" outlineLevel="0" collapsed="false">
      <c r="A921" s="1" t="str">
        <f aca="false">Transactions!A921</f>
        <v>TXN500325</v>
      </c>
      <c r="B921" s="1" t="str">
        <f aca="false">Transactions!B921</f>
        <v>ACC1014</v>
      </c>
      <c r="C921" s="1" t="str">
        <f aca="false">Transactions!I921</f>
        <v>2026-02-26</v>
      </c>
      <c r="D921" s="1" t="n">
        <f aca="false">Transactions!J921</f>
        <v>2</v>
      </c>
      <c r="E921" s="1" t="n">
        <f aca="false">Transactions!D921</f>
        <v>26.97</v>
      </c>
      <c r="F921" s="1" t="str">
        <f aca="false">Transactions!H921</f>
        <v>Online</v>
      </c>
      <c r="G921" s="1" t="str">
        <f aca="false">Transactions!G921</f>
        <v>Dining</v>
      </c>
      <c r="H921" s="1" t="n">
        <f aca="false">IF(COUNTIFS($B$2:$B$1489,B921,$C$2:$C$1489,C921,$D$2:$D$1489,D921)&gt;6,1,0)</f>
        <v>0</v>
      </c>
      <c r="I921" s="1" t="n">
        <f aca="false">IF(AND(F921="Wire",E921&gt;=1000,MOD(E921,1000)=0),1,0)</f>
        <v>0</v>
      </c>
      <c r="J921" s="1" t="n">
        <f aca="false">IF(AND(F921="ATM",E921&gt;2000,D921&lt;=4),1,0)</f>
        <v>0</v>
      </c>
      <c r="K921" s="1" t="n">
        <f aca="false">IF(COUNTIF('SQL Findings'!$A$4:$A$18,B921)&gt;0,1,0)</f>
        <v>1</v>
      </c>
      <c r="L921" s="1" t="n">
        <f aca="false">SUM(H921:K921)</f>
        <v>1</v>
      </c>
      <c r="M921" s="1" t="str">
        <f aca="false">IF(L921&gt;=2,"High",IF(L921=1,"Medium","Low"))</f>
        <v>Medium</v>
      </c>
    </row>
    <row r="922" customFormat="false" ht="15" hidden="false" customHeight="true" outlineLevel="0" collapsed="false">
      <c r="A922" s="1" t="str">
        <f aca="false">Transactions!A922</f>
        <v>TXN500198</v>
      </c>
      <c r="B922" s="1" t="str">
        <f aca="false">Transactions!B922</f>
        <v>ACC1008</v>
      </c>
      <c r="C922" s="1" t="str">
        <f aca="false">Transactions!I922</f>
        <v>2026-02-26</v>
      </c>
      <c r="D922" s="1" t="n">
        <f aca="false">Transactions!J922</f>
        <v>4</v>
      </c>
      <c r="E922" s="1" t="n">
        <f aca="false">Transactions!D922</f>
        <v>76.58</v>
      </c>
      <c r="F922" s="1" t="str">
        <f aca="false">Transactions!H922</f>
        <v>POS</v>
      </c>
      <c r="G922" s="1" t="str">
        <f aca="false">Transactions!G922</f>
        <v>Online Marketplace</v>
      </c>
      <c r="H922" s="1" t="n">
        <f aca="false">IF(COUNTIFS($B$2:$B$1489,B922,$C$2:$C$1489,C922,$D$2:$D$1489,D922)&gt;6,1,0)</f>
        <v>0</v>
      </c>
      <c r="I922" s="1" t="n">
        <f aca="false">IF(AND(F922="Wire",E922&gt;=1000,MOD(E922,1000)=0),1,0)</f>
        <v>0</v>
      </c>
      <c r="J922" s="1" t="n">
        <f aca="false">IF(AND(F922="ATM",E922&gt;2000,D922&lt;=4),1,0)</f>
        <v>0</v>
      </c>
      <c r="K922" s="1" t="n">
        <f aca="false">IF(COUNTIF('SQL Findings'!$A$4:$A$18,B922)&gt;0,1,0)</f>
        <v>0</v>
      </c>
      <c r="L922" s="1" t="n">
        <f aca="false">SUM(H922:K922)</f>
        <v>0</v>
      </c>
      <c r="M922" s="1" t="str">
        <f aca="false">IF(L922&gt;=2,"High",IF(L922=1,"Medium","Low"))</f>
        <v>Low</v>
      </c>
    </row>
    <row r="923" customFormat="false" ht="15" hidden="false" customHeight="true" outlineLevel="0" collapsed="false">
      <c r="A923" s="1" t="str">
        <f aca="false">Transactions!A923</f>
        <v>TXN501110</v>
      </c>
      <c r="B923" s="1" t="str">
        <f aca="false">Transactions!B923</f>
        <v>ACC1048</v>
      </c>
      <c r="C923" s="1" t="str">
        <f aca="false">Transactions!I923</f>
        <v>2026-02-26</v>
      </c>
      <c r="D923" s="1" t="n">
        <f aca="false">Transactions!J923</f>
        <v>7</v>
      </c>
      <c r="E923" s="1" t="n">
        <f aca="false">Transactions!D923</f>
        <v>373.39</v>
      </c>
      <c r="F923" s="1" t="str">
        <f aca="false">Transactions!H923</f>
        <v>Online</v>
      </c>
      <c r="G923" s="1" t="str">
        <f aca="false">Transactions!G923</f>
        <v>Dining</v>
      </c>
      <c r="H923" s="1" t="n">
        <f aca="false">IF(COUNTIFS($B$2:$B$1489,B923,$C$2:$C$1489,C923,$D$2:$D$1489,D923)&gt;6,1,0)</f>
        <v>0</v>
      </c>
      <c r="I923" s="1" t="n">
        <f aca="false">IF(AND(F923="Wire",E923&gt;=1000,MOD(E923,1000)=0),1,0)</f>
        <v>0</v>
      </c>
      <c r="J923" s="1" t="n">
        <f aca="false">IF(AND(F923="ATM",E923&gt;2000,D923&lt;=4),1,0)</f>
        <v>0</v>
      </c>
      <c r="K923" s="1" t="n">
        <f aca="false">IF(COUNTIF('SQL Findings'!$A$4:$A$18,B923)&gt;0,1,0)</f>
        <v>0</v>
      </c>
      <c r="L923" s="1" t="n">
        <f aca="false">SUM(H923:K923)</f>
        <v>0</v>
      </c>
      <c r="M923" s="1" t="str">
        <f aca="false">IF(L923&gt;=2,"High",IF(L923=1,"Medium","Low"))</f>
        <v>Low</v>
      </c>
    </row>
    <row r="924" customFormat="false" ht="15" hidden="false" customHeight="true" outlineLevel="0" collapsed="false">
      <c r="A924" s="1" t="str">
        <f aca="false">Transactions!A924</f>
        <v>TXN500787</v>
      </c>
      <c r="B924" s="1" t="str">
        <f aca="false">Transactions!B924</f>
        <v>ACC1033</v>
      </c>
      <c r="C924" s="1" t="str">
        <f aca="false">Transactions!I924</f>
        <v>2026-02-26</v>
      </c>
      <c r="D924" s="1" t="n">
        <f aca="false">Transactions!J924</f>
        <v>7</v>
      </c>
      <c r="E924" s="1" t="n">
        <f aca="false">Transactions!D924</f>
        <v>141.25</v>
      </c>
      <c r="F924" s="1" t="str">
        <f aca="false">Transactions!H924</f>
        <v>ATM</v>
      </c>
      <c r="G924" s="1" t="str">
        <f aca="false">Transactions!G924</f>
        <v>Wire Transfer</v>
      </c>
      <c r="H924" s="1" t="n">
        <f aca="false">IF(COUNTIFS($B$2:$B$1489,B924,$C$2:$C$1489,C924,$D$2:$D$1489,D924)&gt;6,1,0)</f>
        <v>0</v>
      </c>
      <c r="I924" s="1" t="n">
        <f aca="false">IF(AND(F924="Wire",E924&gt;=1000,MOD(E924,1000)=0),1,0)</f>
        <v>0</v>
      </c>
      <c r="J924" s="1" t="n">
        <f aca="false">IF(AND(F924="ATM",E924&gt;2000,D924&lt;=4),1,0)</f>
        <v>0</v>
      </c>
      <c r="K924" s="1" t="n">
        <f aca="false">IF(COUNTIF('SQL Findings'!$A$4:$A$18,B924)&gt;0,1,0)</f>
        <v>0</v>
      </c>
      <c r="L924" s="1" t="n">
        <f aca="false">SUM(H924:K924)</f>
        <v>0</v>
      </c>
      <c r="M924" s="1" t="str">
        <f aca="false">IF(L924&gt;=2,"High",IF(L924=1,"Medium","Low"))</f>
        <v>Low</v>
      </c>
    </row>
    <row r="925" customFormat="false" ht="15" hidden="false" customHeight="true" outlineLevel="0" collapsed="false">
      <c r="A925" s="1" t="str">
        <f aca="false">Transactions!A925</f>
        <v>TXN500365</v>
      </c>
      <c r="B925" s="1" t="str">
        <f aca="false">Transactions!B925</f>
        <v>ACC1016</v>
      </c>
      <c r="C925" s="1" t="str">
        <f aca="false">Transactions!I925</f>
        <v>2026-02-26</v>
      </c>
      <c r="D925" s="1" t="n">
        <f aca="false">Transactions!J925</f>
        <v>9</v>
      </c>
      <c r="E925" s="1" t="n">
        <f aca="false">Transactions!D925</f>
        <v>124.11</v>
      </c>
      <c r="F925" s="1" t="str">
        <f aca="false">Transactions!H925</f>
        <v>ATM</v>
      </c>
      <c r="G925" s="1" t="str">
        <f aca="false">Transactions!G925</f>
        <v>Cash Withdrawal</v>
      </c>
      <c r="H925" s="1" t="n">
        <f aca="false">IF(COUNTIFS($B$2:$B$1489,B925,$C$2:$C$1489,C925,$D$2:$D$1489,D925)&gt;6,1,0)</f>
        <v>0</v>
      </c>
      <c r="I925" s="1" t="n">
        <f aca="false">IF(AND(F925="Wire",E925&gt;=1000,MOD(E925,1000)=0),1,0)</f>
        <v>0</v>
      </c>
      <c r="J925" s="1" t="n">
        <f aca="false">IF(AND(F925="ATM",E925&gt;2000,D925&lt;=4),1,0)</f>
        <v>0</v>
      </c>
      <c r="K925" s="1" t="n">
        <f aca="false">IF(COUNTIF('SQL Findings'!$A$4:$A$18,B925)&gt;0,1,0)</f>
        <v>0</v>
      </c>
      <c r="L925" s="1" t="n">
        <f aca="false">SUM(H925:K925)</f>
        <v>0</v>
      </c>
      <c r="M925" s="1" t="str">
        <f aca="false">IF(L925&gt;=2,"High",IF(L925=1,"Medium","Low"))</f>
        <v>Low</v>
      </c>
    </row>
    <row r="926" customFormat="false" ht="15" hidden="false" customHeight="true" outlineLevel="0" collapsed="false">
      <c r="A926" s="1" t="str">
        <f aca="false">Transactions!A926</f>
        <v>TXN500563</v>
      </c>
      <c r="B926" s="1" t="str">
        <f aca="false">Transactions!B926</f>
        <v>ACC1024</v>
      </c>
      <c r="C926" s="1" t="str">
        <f aca="false">Transactions!I926</f>
        <v>2026-02-26</v>
      </c>
      <c r="D926" s="1" t="n">
        <f aca="false">Transactions!J926</f>
        <v>9</v>
      </c>
      <c r="E926" s="1" t="n">
        <f aca="false">Transactions!D926</f>
        <v>146.06</v>
      </c>
      <c r="F926" s="1" t="str">
        <f aca="false">Transactions!H926</f>
        <v>Online</v>
      </c>
      <c r="G926" s="1" t="str">
        <f aca="false">Transactions!G926</f>
        <v>Travel</v>
      </c>
      <c r="H926" s="1" t="n">
        <f aca="false">IF(COUNTIFS($B$2:$B$1489,B926,$C$2:$C$1489,C926,$D$2:$D$1489,D926)&gt;6,1,0)</f>
        <v>0</v>
      </c>
      <c r="I926" s="1" t="n">
        <f aca="false">IF(AND(F926="Wire",E926&gt;=1000,MOD(E926,1000)=0),1,0)</f>
        <v>0</v>
      </c>
      <c r="J926" s="1" t="n">
        <f aca="false">IF(AND(F926="ATM",E926&gt;2000,D926&lt;=4),1,0)</f>
        <v>0</v>
      </c>
      <c r="K926" s="1" t="n">
        <f aca="false">IF(COUNTIF('SQL Findings'!$A$4:$A$18,B926)&gt;0,1,0)</f>
        <v>1</v>
      </c>
      <c r="L926" s="1" t="n">
        <f aca="false">SUM(H926:K926)</f>
        <v>1</v>
      </c>
      <c r="M926" s="1" t="str">
        <f aca="false">IF(L926&gt;=2,"High",IF(L926=1,"Medium","Low"))</f>
        <v>Medium</v>
      </c>
    </row>
    <row r="927" customFormat="false" ht="15" hidden="false" customHeight="true" outlineLevel="0" collapsed="false">
      <c r="A927" s="1" t="str">
        <f aca="false">Transactions!A927</f>
        <v>TXN500607</v>
      </c>
      <c r="B927" s="1" t="str">
        <f aca="false">Transactions!B927</f>
        <v>ACC1026</v>
      </c>
      <c r="C927" s="1" t="str">
        <f aca="false">Transactions!I927</f>
        <v>2026-02-26</v>
      </c>
      <c r="D927" s="1" t="n">
        <f aca="false">Transactions!J927</f>
        <v>11</v>
      </c>
      <c r="E927" s="1" t="n">
        <f aca="false">Transactions!D927</f>
        <v>33.23</v>
      </c>
      <c r="F927" s="1" t="str">
        <f aca="false">Transactions!H927</f>
        <v>POS</v>
      </c>
      <c r="G927" s="1" t="str">
        <f aca="false">Transactions!G927</f>
        <v>Retail</v>
      </c>
      <c r="H927" s="1" t="n">
        <f aca="false">IF(COUNTIFS($B$2:$B$1489,B927,$C$2:$C$1489,C927,$D$2:$D$1489,D927)&gt;6,1,0)</f>
        <v>0</v>
      </c>
      <c r="I927" s="1" t="n">
        <f aca="false">IF(AND(F927="Wire",E927&gt;=1000,MOD(E927,1000)=0),1,0)</f>
        <v>0</v>
      </c>
      <c r="J927" s="1" t="n">
        <f aca="false">IF(AND(F927="ATM",E927&gt;2000,D927&lt;=4),1,0)</f>
        <v>0</v>
      </c>
      <c r="K927" s="1" t="n">
        <f aca="false">IF(COUNTIF('SQL Findings'!$A$4:$A$18,B927)&gt;0,1,0)</f>
        <v>0</v>
      </c>
      <c r="L927" s="1" t="n">
        <f aca="false">SUM(H927:K927)</f>
        <v>0</v>
      </c>
      <c r="M927" s="1" t="str">
        <f aca="false">IF(L927&gt;=2,"High",IF(L927=1,"Medium","Low"))</f>
        <v>Low</v>
      </c>
    </row>
    <row r="928" customFormat="false" ht="15" hidden="false" customHeight="true" outlineLevel="0" collapsed="false">
      <c r="A928" s="1" t="str">
        <f aca="false">Transactions!A928</f>
        <v>TXN500064</v>
      </c>
      <c r="B928" s="1" t="str">
        <f aca="false">Transactions!B928</f>
        <v>ACC1002</v>
      </c>
      <c r="C928" s="1" t="str">
        <f aca="false">Transactions!I928</f>
        <v>2026-02-26</v>
      </c>
      <c r="D928" s="1" t="n">
        <f aca="false">Transactions!J928</f>
        <v>12</v>
      </c>
      <c r="E928" s="1" t="n">
        <f aca="false">Transactions!D928</f>
        <v>22.72</v>
      </c>
      <c r="F928" s="1" t="str">
        <f aca="false">Transactions!H928</f>
        <v>POS</v>
      </c>
      <c r="G928" s="1" t="str">
        <f aca="false">Transactions!G928</f>
        <v>Retail</v>
      </c>
      <c r="H928" s="1" t="n">
        <f aca="false">IF(COUNTIFS($B$2:$B$1489,B928,$C$2:$C$1489,C928,$D$2:$D$1489,D928)&gt;6,1,0)</f>
        <v>0</v>
      </c>
      <c r="I928" s="1" t="n">
        <f aca="false">IF(AND(F928="Wire",E928&gt;=1000,MOD(E928,1000)=0),1,0)</f>
        <v>0</v>
      </c>
      <c r="J928" s="1" t="n">
        <f aca="false">IF(AND(F928="ATM",E928&gt;2000,D928&lt;=4),1,0)</f>
        <v>0</v>
      </c>
      <c r="K928" s="1" t="n">
        <f aca="false">IF(COUNTIF('SQL Findings'!$A$4:$A$18,B928)&gt;0,1,0)</f>
        <v>1</v>
      </c>
      <c r="L928" s="1" t="n">
        <f aca="false">SUM(H928:K928)</f>
        <v>1</v>
      </c>
      <c r="M928" s="1" t="str">
        <f aca="false">IF(L928&gt;=2,"High",IF(L928=1,"Medium","Low"))</f>
        <v>Medium</v>
      </c>
    </row>
    <row r="929" customFormat="false" ht="15" hidden="false" customHeight="true" outlineLevel="0" collapsed="false">
      <c r="A929" s="1" t="str">
        <f aca="false">Transactions!A929</f>
        <v>TXN501125</v>
      </c>
      <c r="B929" s="1" t="str">
        <f aca="false">Transactions!B929</f>
        <v>ACC1049</v>
      </c>
      <c r="C929" s="1" t="str">
        <f aca="false">Transactions!I929</f>
        <v>2026-02-26</v>
      </c>
      <c r="D929" s="1" t="n">
        <f aca="false">Transactions!J929</f>
        <v>12</v>
      </c>
      <c r="E929" s="1" t="n">
        <f aca="false">Transactions!D929</f>
        <v>290.06</v>
      </c>
      <c r="F929" s="1" t="str">
        <f aca="false">Transactions!H929</f>
        <v>POS</v>
      </c>
      <c r="G929" s="1" t="str">
        <f aca="false">Transactions!G929</f>
        <v>Online Marketplace</v>
      </c>
      <c r="H929" s="1" t="n">
        <f aca="false">IF(COUNTIFS($B$2:$B$1489,B929,$C$2:$C$1489,C929,$D$2:$D$1489,D929)&gt;6,1,0)</f>
        <v>0</v>
      </c>
      <c r="I929" s="1" t="n">
        <f aca="false">IF(AND(F929="Wire",E929&gt;=1000,MOD(E929,1000)=0),1,0)</f>
        <v>0</v>
      </c>
      <c r="J929" s="1" t="n">
        <f aca="false">IF(AND(F929="ATM",E929&gt;2000,D929&lt;=4),1,0)</f>
        <v>0</v>
      </c>
      <c r="K929" s="1" t="n">
        <f aca="false">IF(COUNTIF('SQL Findings'!$A$4:$A$18,B929)&gt;0,1,0)</f>
        <v>0</v>
      </c>
      <c r="L929" s="1" t="n">
        <f aca="false">SUM(H929:K929)</f>
        <v>0</v>
      </c>
      <c r="M929" s="1" t="str">
        <f aca="false">IF(L929&gt;=2,"High",IF(L929=1,"Medium","Low"))</f>
        <v>Low</v>
      </c>
    </row>
    <row r="930" customFormat="false" ht="15" hidden="false" customHeight="true" outlineLevel="0" collapsed="false">
      <c r="A930" s="1" t="str">
        <f aca="false">Transactions!A930</f>
        <v>TXN500090</v>
      </c>
      <c r="B930" s="1" t="str">
        <f aca="false">Transactions!B930</f>
        <v>ACC1004</v>
      </c>
      <c r="C930" s="1" t="str">
        <f aca="false">Transactions!I930</f>
        <v>2026-02-26</v>
      </c>
      <c r="D930" s="1" t="n">
        <f aca="false">Transactions!J930</f>
        <v>14</v>
      </c>
      <c r="E930" s="1" t="n">
        <f aca="false">Transactions!D930</f>
        <v>105.84</v>
      </c>
      <c r="F930" s="1" t="str">
        <f aca="false">Transactions!H930</f>
        <v>ATM</v>
      </c>
      <c r="G930" s="1" t="str">
        <f aca="false">Transactions!G930</f>
        <v>Online Marketplace</v>
      </c>
      <c r="H930" s="1" t="n">
        <f aca="false">IF(COUNTIFS($B$2:$B$1489,B930,$C$2:$C$1489,C930,$D$2:$D$1489,D930)&gt;6,1,0)</f>
        <v>0</v>
      </c>
      <c r="I930" s="1" t="n">
        <f aca="false">IF(AND(F930="Wire",E930&gt;=1000,MOD(E930,1000)=0),1,0)</f>
        <v>0</v>
      </c>
      <c r="J930" s="1" t="n">
        <f aca="false">IF(AND(F930="ATM",E930&gt;2000,D930&lt;=4),1,0)</f>
        <v>0</v>
      </c>
      <c r="K930" s="1" t="n">
        <f aca="false">IF(COUNTIF('SQL Findings'!$A$4:$A$18,B930)&gt;0,1,0)</f>
        <v>1</v>
      </c>
      <c r="L930" s="1" t="n">
        <f aca="false">SUM(H930:K930)</f>
        <v>1</v>
      </c>
      <c r="M930" s="1" t="str">
        <f aca="false">IF(L930&gt;=2,"High",IF(L930=1,"Medium","Low"))</f>
        <v>Medium</v>
      </c>
    </row>
    <row r="931" customFormat="false" ht="15" hidden="false" customHeight="true" outlineLevel="0" collapsed="false">
      <c r="A931" s="1" t="str">
        <f aca="false">Transactions!A931</f>
        <v>TXN500442</v>
      </c>
      <c r="B931" s="1" t="str">
        <f aca="false">Transactions!B931</f>
        <v>ACC1019</v>
      </c>
      <c r="C931" s="1" t="str">
        <f aca="false">Transactions!I931</f>
        <v>2026-02-26</v>
      </c>
      <c r="D931" s="1" t="n">
        <f aca="false">Transactions!J931</f>
        <v>14</v>
      </c>
      <c r="E931" s="1" t="n">
        <f aca="false">Transactions!D931</f>
        <v>64.75</v>
      </c>
      <c r="F931" s="1" t="str">
        <f aca="false">Transactions!H931</f>
        <v>POS</v>
      </c>
      <c r="G931" s="1" t="str">
        <f aca="false">Transactions!G931</f>
        <v>Online Marketplace</v>
      </c>
      <c r="H931" s="1" t="n">
        <f aca="false">IF(COUNTIFS($B$2:$B$1489,B931,$C$2:$C$1489,C931,$D$2:$D$1489,D931)&gt;6,1,0)</f>
        <v>0</v>
      </c>
      <c r="I931" s="1" t="n">
        <f aca="false">IF(AND(F931="Wire",E931&gt;=1000,MOD(E931,1000)=0),1,0)</f>
        <v>0</v>
      </c>
      <c r="J931" s="1" t="n">
        <f aca="false">IF(AND(F931="ATM",E931&gt;2000,D931&lt;=4),1,0)</f>
        <v>0</v>
      </c>
      <c r="K931" s="1" t="n">
        <f aca="false">IF(COUNTIF('SQL Findings'!$A$4:$A$18,B931)&gt;0,1,0)</f>
        <v>0</v>
      </c>
      <c r="L931" s="1" t="n">
        <f aca="false">SUM(H931:K931)</f>
        <v>0</v>
      </c>
      <c r="M931" s="1" t="str">
        <f aca="false">IF(L931&gt;=2,"High",IF(L931=1,"Medium","Low"))</f>
        <v>Low</v>
      </c>
    </row>
    <row r="932" customFormat="false" ht="15" hidden="false" customHeight="true" outlineLevel="0" collapsed="false">
      <c r="A932" s="1" t="str">
        <f aca="false">Transactions!A932</f>
        <v>TXN500180</v>
      </c>
      <c r="B932" s="1" t="str">
        <f aca="false">Transactions!B932</f>
        <v>ACC1007</v>
      </c>
      <c r="C932" s="1" t="str">
        <f aca="false">Transactions!I932</f>
        <v>2026-02-26</v>
      </c>
      <c r="D932" s="1" t="n">
        <f aca="false">Transactions!J932</f>
        <v>16</v>
      </c>
      <c r="E932" s="1" t="n">
        <f aca="false">Transactions!D932</f>
        <v>771.36</v>
      </c>
      <c r="F932" s="1" t="str">
        <f aca="false">Transactions!H932</f>
        <v>ATM</v>
      </c>
      <c r="G932" s="1" t="str">
        <f aca="false">Transactions!G932</f>
        <v>Utilities</v>
      </c>
      <c r="H932" s="1" t="n">
        <f aca="false">IF(COUNTIFS($B$2:$B$1489,B932,$C$2:$C$1489,C932,$D$2:$D$1489,D932)&gt;6,1,0)</f>
        <v>0</v>
      </c>
      <c r="I932" s="1" t="n">
        <f aca="false">IF(AND(F932="Wire",E932&gt;=1000,MOD(E932,1000)=0),1,0)</f>
        <v>0</v>
      </c>
      <c r="J932" s="1" t="n">
        <f aca="false">IF(AND(F932="ATM",E932&gt;2000,D932&lt;=4),1,0)</f>
        <v>0</v>
      </c>
      <c r="K932" s="1" t="n">
        <f aca="false">IF(COUNTIF('SQL Findings'!$A$4:$A$18,B932)&gt;0,1,0)</f>
        <v>0</v>
      </c>
      <c r="L932" s="1" t="n">
        <f aca="false">SUM(H932:K932)</f>
        <v>0</v>
      </c>
      <c r="M932" s="1" t="str">
        <f aca="false">IF(L932&gt;=2,"High",IF(L932=1,"Medium","Low"))</f>
        <v>Low</v>
      </c>
    </row>
    <row r="933" customFormat="false" ht="15" hidden="false" customHeight="true" outlineLevel="0" collapsed="false">
      <c r="A933" s="1" t="str">
        <f aca="false">Transactions!A933</f>
        <v>TXN501075</v>
      </c>
      <c r="B933" s="1" t="str">
        <f aca="false">Transactions!B933</f>
        <v>ACC1047</v>
      </c>
      <c r="C933" s="1" t="str">
        <f aca="false">Transactions!I933</f>
        <v>2026-02-26</v>
      </c>
      <c r="D933" s="1" t="n">
        <f aca="false">Transactions!J933</f>
        <v>16</v>
      </c>
      <c r="E933" s="1" t="n">
        <f aca="false">Transactions!D933</f>
        <v>163.47</v>
      </c>
      <c r="F933" s="1" t="str">
        <f aca="false">Transactions!H933</f>
        <v>Online</v>
      </c>
      <c r="G933" s="1" t="str">
        <f aca="false">Transactions!G933</f>
        <v>Online Marketplace</v>
      </c>
      <c r="H933" s="1" t="n">
        <f aca="false">IF(COUNTIFS($B$2:$B$1489,B933,$C$2:$C$1489,C933,$D$2:$D$1489,D933)&gt;6,1,0)</f>
        <v>0</v>
      </c>
      <c r="I933" s="1" t="n">
        <f aca="false">IF(AND(F933="Wire",E933&gt;=1000,MOD(E933,1000)=0),1,0)</f>
        <v>0</v>
      </c>
      <c r="J933" s="1" t="n">
        <f aca="false">IF(AND(F933="ATM",E933&gt;2000,D933&lt;=4),1,0)</f>
        <v>0</v>
      </c>
      <c r="K933" s="1" t="n">
        <f aca="false">IF(COUNTIF('SQL Findings'!$A$4:$A$18,B933)&gt;0,1,0)</f>
        <v>0</v>
      </c>
      <c r="L933" s="1" t="n">
        <f aca="false">SUM(H933:K933)</f>
        <v>0</v>
      </c>
      <c r="M933" s="1" t="str">
        <f aca="false">IF(L933&gt;=2,"High",IF(L933=1,"Medium","Low"))</f>
        <v>Low</v>
      </c>
    </row>
    <row r="934" customFormat="false" ht="15" hidden="false" customHeight="true" outlineLevel="0" collapsed="false">
      <c r="A934" s="1" t="str">
        <f aca="false">Transactions!A934</f>
        <v>TXN500056</v>
      </c>
      <c r="B934" s="1" t="str">
        <f aca="false">Transactions!B934</f>
        <v>ACC1002</v>
      </c>
      <c r="C934" s="1" t="str">
        <f aca="false">Transactions!I934</f>
        <v>2026-02-26</v>
      </c>
      <c r="D934" s="1" t="n">
        <f aca="false">Transactions!J934</f>
        <v>17</v>
      </c>
      <c r="E934" s="1" t="n">
        <f aca="false">Transactions!D934</f>
        <v>154.18</v>
      </c>
      <c r="F934" s="1" t="str">
        <f aca="false">Transactions!H934</f>
        <v>ATM</v>
      </c>
      <c r="G934" s="1" t="str">
        <f aca="false">Transactions!G934</f>
        <v>Utilities</v>
      </c>
      <c r="H934" s="1" t="n">
        <f aca="false">IF(COUNTIFS($B$2:$B$1489,B934,$C$2:$C$1489,C934,$D$2:$D$1489,D934)&gt;6,1,0)</f>
        <v>0</v>
      </c>
      <c r="I934" s="1" t="n">
        <f aca="false">IF(AND(F934="Wire",E934&gt;=1000,MOD(E934,1000)=0),1,0)</f>
        <v>0</v>
      </c>
      <c r="J934" s="1" t="n">
        <f aca="false">IF(AND(F934="ATM",E934&gt;2000,D934&lt;=4),1,0)</f>
        <v>0</v>
      </c>
      <c r="K934" s="1" t="n">
        <f aca="false">IF(COUNTIF('SQL Findings'!$A$4:$A$18,B934)&gt;0,1,0)</f>
        <v>1</v>
      </c>
      <c r="L934" s="1" t="n">
        <f aca="false">SUM(H934:K934)</f>
        <v>1</v>
      </c>
      <c r="M934" s="1" t="str">
        <f aca="false">IF(L934&gt;=2,"High",IF(L934=1,"Medium","Low"))</f>
        <v>Medium</v>
      </c>
    </row>
    <row r="935" customFormat="false" ht="15" hidden="false" customHeight="true" outlineLevel="0" collapsed="false">
      <c r="A935" s="1" t="str">
        <f aca="false">Transactions!A935</f>
        <v>TXN501469</v>
      </c>
      <c r="B935" s="1" t="str">
        <f aca="false">Transactions!B935</f>
        <v>ACC1048</v>
      </c>
      <c r="C935" s="1" t="str">
        <f aca="false">Transactions!I935</f>
        <v>2026-02-26</v>
      </c>
      <c r="D935" s="1" t="n">
        <f aca="false">Transactions!J935</f>
        <v>18</v>
      </c>
      <c r="E935" s="1" t="n">
        <f aca="false">Transactions!D935</f>
        <v>7000</v>
      </c>
      <c r="F935" s="1" t="str">
        <f aca="false">Transactions!H935</f>
        <v>Wire</v>
      </c>
      <c r="G935" s="1" t="str">
        <f aca="false">Transactions!G935</f>
        <v>Wire Transfer</v>
      </c>
      <c r="H935" s="1" t="n">
        <f aca="false">IF(COUNTIFS($B$2:$B$1489,B935,$C$2:$C$1489,C935,$D$2:$D$1489,D935)&gt;6,1,0)</f>
        <v>0</v>
      </c>
      <c r="I935" s="1" t="n">
        <f aca="false">IF(AND(F935="Wire",E935&gt;=1000,MOD(E935,1000)=0),1,0)</f>
        <v>1</v>
      </c>
      <c r="J935" s="1" t="n">
        <f aca="false">IF(AND(F935="ATM",E935&gt;2000,D935&lt;=4),1,0)</f>
        <v>0</v>
      </c>
      <c r="K935" s="1" t="n">
        <f aca="false">IF(COUNTIF('SQL Findings'!$A$4:$A$18,B935)&gt;0,1,0)</f>
        <v>0</v>
      </c>
      <c r="L935" s="1" t="n">
        <f aca="false">SUM(H935:K935)</f>
        <v>1</v>
      </c>
      <c r="M935" s="1" t="str">
        <f aca="false">IF(L935&gt;=2,"High",IF(L935=1,"Medium","Low"))</f>
        <v>Medium</v>
      </c>
    </row>
    <row r="936" customFormat="false" ht="15" hidden="false" customHeight="true" outlineLevel="0" collapsed="false">
      <c r="A936" s="1" t="str">
        <f aca="false">Transactions!A936</f>
        <v>TXN500859</v>
      </c>
      <c r="B936" s="1" t="str">
        <f aca="false">Transactions!B936</f>
        <v>ACC1037</v>
      </c>
      <c r="C936" s="1" t="str">
        <f aca="false">Transactions!I936</f>
        <v>2026-02-26</v>
      </c>
      <c r="D936" s="1" t="n">
        <f aca="false">Transactions!J936</f>
        <v>21</v>
      </c>
      <c r="E936" s="1" t="n">
        <f aca="false">Transactions!D936</f>
        <v>40.57</v>
      </c>
      <c r="F936" s="1" t="str">
        <f aca="false">Transactions!H936</f>
        <v>Online</v>
      </c>
      <c r="G936" s="1" t="str">
        <f aca="false">Transactions!G936</f>
        <v>Electronics</v>
      </c>
      <c r="H936" s="1" t="n">
        <f aca="false">IF(COUNTIFS($B$2:$B$1489,B936,$C$2:$C$1489,C936,$D$2:$D$1489,D936)&gt;6,1,0)</f>
        <v>0</v>
      </c>
      <c r="I936" s="1" t="n">
        <f aca="false">IF(AND(F936="Wire",E936&gt;=1000,MOD(E936,1000)=0),1,0)</f>
        <v>0</v>
      </c>
      <c r="J936" s="1" t="n">
        <f aca="false">IF(AND(F936="ATM",E936&gt;2000,D936&lt;=4),1,0)</f>
        <v>0</v>
      </c>
      <c r="K936" s="1" t="n">
        <f aca="false">IF(COUNTIF('SQL Findings'!$A$4:$A$18,B936)&gt;0,1,0)</f>
        <v>1</v>
      </c>
      <c r="L936" s="1" t="n">
        <f aca="false">SUM(H936:K936)</f>
        <v>1</v>
      </c>
      <c r="M936" s="1" t="str">
        <f aca="false">IF(L936&gt;=2,"High",IF(L936=1,"Medium","Low"))</f>
        <v>Medium</v>
      </c>
    </row>
    <row r="937" customFormat="false" ht="15" hidden="false" customHeight="true" outlineLevel="0" collapsed="false">
      <c r="A937" s="1" t="str">
        <f aca="false">Transactions!A937</f>
        <v>TXN501035</v>
      </c>
      <c r="B937" s="1" t="str">
        <f aca="false">Transactions!B937</f>
        <v>ACC1045</v>
      </c>
      <c r="C937" s="1" t="str">
        <f aca="false">Transactions!I937</f>
        <v>2026-02-26</v>
      </c>
      <c r="D937" s="1" t="n">
        <f aca="false">Transactions!J937</f>
        <v>22</v>
      </c>
      <c r="E937" s="1" t="n">
        <f aca="false">Transactions!D937</f>
        <v>43.17</v>
      </c>
      <c r="F937" s="1" t="str">
        <f aca="false">Transactions!H937</f>
        <v>POS</v>
      </c>
      <c r="G937" s="1" t="str">
        <f aca="false">Transactions!G937</f>
        <v>Online Marketplace</v>
      </c>
      <c r="H937" s="1" t="n">
        <f aca="false">IF(COUNTIFS($B$2:$B$1489,B937,$C$2:$C$1489,C937,$D$2:$D$1489,D937)&gt;6,1,0)</f>
        <v>0</v>
      </c>
      <c r="I937" s="1" t="n">
        <f aca="false">IF(AND(F937="Wire",E937&gt;=1000,MOD(E937,1000)=0),1,0)</f>
        <v>0</v>
      </c>
      <c r="J937" s="1" t="n">
        <f aca="false">IF(AND(F937="ATM",E937&gt;2000,D937&lt;=4),1,0)</f>
        <v>0</v>
      </c>
      <c r="K937" s="1" t="n">
        <f aca="false">IF(COUNTIF('SQL Findings'!$A$4:$A$18,B937)&gt;0,1,0)</f>
        <v>0</v>
      </c>
      <c r="L937" s="1" t="n">
        <f aca="false">SUM(H937:K937)</f>
        <v>0</v>
      </c>
      <c r="M937" s="1" t="str">
        <f aca="false">IF(L937&gt;=2,"High",IF(L937=1,"Medium","Low"))</f>
        <v>Low</v>
      </c>
    </row>
    <row r="938" customFormat="false" ht="15" hidden="false" customHeight="true" outlineLevel="0" collapsed="false">
      <c r="A938" s="1" t="str">
        <f aca="false">Transactions!A938</f>
        <v>TXN500310</v>
      </c>
      <c r="B938" s="1" t="str">
        <f aca="false">Transactions!B938</f>
        <v>ACC1013</v>
      </c>
      <c r="C938" s="1" t="str">
        <f aca="false">Transactions!I938</f>
        <v>2026-02-26</v>
      </c>
      <c r="D938" s="1" t="n">
        <f aca="false">Transactions!J938</f>
        <v>23</v>
      </c>
      <c r="E938" s="1" t="n">
        <f aca="false">Transactions!D938</f>
        <v>55.59</v>
      </c>
      <c r="F938" s="1" t="str">
        <f aca="false">Transactions!H938</f>
        <v>Online</v>
      </c>
      <c r="G938" s="1" t="str">
        <f aca="false">Transactions!G938</f>
        <v>Travel</v>
      </c>
      <c r="H938" s="1" t="n">
        <f aca="false">IF(COUNTIFS($B$2:$B$1489,B938,$C$2:$C$1489,C938,$D$2:$D$1489,D938)&gt;6,1,0)</f>
        <v>0</v>
      </c>
      <c r="I938" s="1" t="n">
        <f aca="false">IF(AND(F938="Wire",E938&gt;=1000,MOD(E938,1000)=0),1,0)</f>
        <v>0</v>
      </c>
      <c r="J938" s="1" t="n">
        <f aca="false">IF(AND(F938="ATM",E938&gt;2000,D938&lt;=4),1,0)</f>
        <v>0</v>
      </c>
      <c r="K938" s="1" t="n">
        <f aca="false">IF(COUNTIF('SQL Findings'!$A$4:$A$18,B938)&gt;0,1,0)</f>
        <v>0</v>
      </c>
      <c r="L938" s="1" t="n">
        <f aca="false">SUM(H938:K938)</f>
        <v>0</v>
      </c>
      <c r="M938" s="1" t="str">
        <f aca="false">IF(L938&gt;=2,"High",IF(L938=1,"Medium","Low"))</f>
        <v>Low</v>
      </c>
    </row>
    <row r="939" customFormat="false" ht="15" hidden="false" customHeight="true" outlineLevel="0" collapsed="false">
      <c r="A939" s="1" t="str">
        <f aca="false">Transactions!A939</f>
        <v>TXN500748</v>
      </c>
      <c r="B939" s="1" t="str">
        <f aca="false">Transactions!B939</f>
        <v>ACC1032</v>
      </c>
      <c r="C939" s="1" t="str">
        <f aca="false">Transactions!I939</f>
        <v>2026-02-27</v>
      </c>
      <c r="D939" s="1" t="n">
        <f aca="false">Transactions!J939</f>
        <v>3</v>
      </c>
      <c r="E939" s="1" t="n">
        <f aca="false">Transactions!D939</f>
        <v>33.79</v>
      </c>
      <c r="F939" s="1" t="str">
        <f aca="false">Transactions!H939</f>
        <v>Online</v>
      </c>
      <c r="G939" s="1" t="str">
        <f aca="false">Transactions!G939</f>
        <v>Retail</v>
      </c>
      <c r="H939" s="1" t="n">
        <f aca="false">IF(COUNTIFS($B$2:$B$1489,B939,$C$2:$C$1489,C939,$D$2:$D$1489,D939)&gt;6,1,0)</f>
        <v>0</v>
      </c>
      <c r="I939" s="1" t="n">
        <f aca="false">IF(AND(F939="Wire",E939&gt;=1000,MOD(E939,1000)=0),1,0)</f>
        <v>0</v>
      </c>
      <c r="J939" s="1" t="n">
        <f aca="false">IF(AND(F939="ATM",E939&gt;2000,D939&lt;=4),1,0)</f>
        <v>0</v>
      </c>
      <c r="K939" s="1" t="n">
        <f aca="false">IF(COUNTIF('SQL Findings'!$A$4:$A$18,B939)&gt;0,1,0)</f>
        <v>0</v>
      </c>
      <c r="L939" s="1" t="n">
        <f aca="false">SUM(H939:K939)</f>
        <v>0</v>
      </c>
      <c r="M939" s="1" t="str">
        <f aca="false">IF(L939&gt;=2,"High",IF(L939=1,"Medium","Low"))</f>
        <v>Low</v>
      </c>
    </row>
    <row r="940" customFormat="false" ht="15" hidden="false" customHeight="true" outlineLevel="0" collapsed="false">
      <c r="A940" s="1" t="str">
        <f aca="false">Transactions!A940</f>
        <v>TXN500909</v>
      </c>
      <c r="B940" s="1" t="str">
        <f aca="false">Transactions!B940</f>
        <v>ACC1039</v>
      </c>
      <c r="C940" s="1" t="str">
        <f aca="false">Transactions!I940</f>
        <v>2026-02-27</v>
      </c>
      <c r="D940" s="1" t="n">
        <f aca="false">Transactions!J940</f>
        <v>4</v>
      </c>
      <c r="E940" s="1" t="n">
        <f aca="false">Transactions!D940</f>
        <v>119.22</v>
      </c>
      <c r="F940" s="1" t="str">
        <f aca="false">Transactions!H940</f>
        <v>ATM</v>
      </c>
      <c r="G940" s="1" t="str">
        <f aca="false">Transactions!G940</f>
        <v>Dining</v>
      </c>
      <c r="H940" s="1" t="n">
        <f aca="false">IF(COUNTIFS($B$2:$B$1489,B940,$C$2:$C$1489,C940,$D$2:$D$1489,D940)&gt;6,1,0)</f>
        <v>0</v>
      </c>
      <c r="I940" s="1" t="n">
        <f aca="false">IF(AND(F940="Wire",E940&gt;=1000,MOD(E940,1000)=0),1,0)</f>
        <v>0</v>
      </c>
      <c r="J940" s="1" t="n">
        <f aca="false">IF(AND(F940="ATM",E940&gt;2000,D940&lt;=4),1,0)</f>
        <v>0</v>
      </c>
      <c r="K940" s="1" t="n">
        <f aca="false">IF(COUNTIF('SQL Findings'!$A$4:$A$18,B940)&gt;0,1,0)</f>
        <v>0</v>
      </c>
      <c r="L940" s="1" t="n">
        <f aca="false">SUM(H940:K940)</f>
        <v>0</v>
      </c>
      <c r="M940" s="1" t="str">
        <f aca="false">IF(L940&gt;=2,"High",IF(L940=1,"Medium","Low"))</f>
        <v>Low</v>
      </c>
    </row>
    <row r="941" customFormat="false" ht="15" hidden="false" customHeight="true" outlineLevel="0" collapsed="false">
      <c r="A941" s="1" t="str">
        <f aca="false">Transactions!A941</f>
        <v>TXN500770</v>
      </c>
      <c r="B941" s="1" t="str">
        <f aca="false">Transactions!B941</f>
        <v>ACC1033</v>
      </c>
      <c r="C941" s="1" t="str">
        <f aca="false">Transactions!I941</f>
        <v>2026-02-27</v>
      </c>
      <c r="D941" s="1" t="n">
        <f aca="false">Transactions!J941</f>
        <v>6</v>
      </c>
      <c r="E941" s="1" t="n">
        <f aca="false">Transactions!D941</f>
        <v>340.77</v>
      </c>
      <c r="F941" s="1" t="str">
        <f aca="false">Transactions!H941</f>
        <v>POS</v>
      </c>
      <c r="G941" s="1" t="str">
        <f aca="false">Transactions!G941</f>
        <v>Dining</v>
      </c>
      <c r="H941" s="1" t="n">
        <f aca="false">IF(COUNTIFS($B$2:$B$1489,B941,$C$2:$C$1489,C941,$D$2:$D$1489,D941)&gt;6,1,0)</f>
        <v>0</v>
      </c>
      <c r="I941" s="1" t="n">
        <f aca="false">IF(AND(F941="Wire",E941&gt;=1000,MOD(E941,1000)=0),1,0)</f>
        <v>0</v>
      </c>
      <c r="J941" s="1" t="n">
        <f aca="false">IF(AND(F941="ATM",E941&gt;2000,D941&lt;=4),1,0)</f>
        <v>0</v>
      </c>
      <c r="K941" s="1" t="n">
        <f aca="false">IF(COUNTIF('SQL Findings'!$A$4:$A$18,B941)&gt;0,1,0)</f>
        <v>0</v>
      </c>
      <c r="L941" s="1" t="n">
        <f aca="false">SUM(H941:K941)</f>
        <v>0</v>
      </c>
      <c r="M941" s="1" t="str">
        <f aca="false">IF(L941&gt;=2,"High",IF(L941=1,"Medium","Low"))</f>
        <v>Low</v>
      </c>
    </row>
    <row r="942" customFormat="false" ht="15" hidden="false" customHeight="true" outlineLevel="0" collapsed="false">
      <c r="A942" s="1" t="str">
        <f aca="false">Transactions!A942</f>
        <v>TXN500916</v>
      </c>
      <c r="B942" s="1" t="str">
        <f aca="false">Transactions!B942</f>
        <v>ACC1039</v>
      </c>
      <c r="C942" s="1" t="str">
        <f aca="false">Transactions!I942</f>
        <v>2026-02-27</v>
      </c>
      <c r="D942" s="1" t="n">
        <f aca="false">Transactions!J942</f>
        <v>6</v>
      </c>
      <c r="E942" s="1" t="n">
        <f aca="false">Transactions!D942</f>
        <v>85.72</v>
      </c>
      <c r="F942" s="1" t="str">
        <f aca="false">Transactions!H942</f>
        <v>POS</v>
      </c>
      <c r="G942" s="1" t="str">
        <f aca="false">Transactions!G942</f>
        <v>Electronics</v>
      </c>
      <c r="H942" s="1" t="n">
        <f aca="false">IF(COUNTIFS($B$2:$B$1489,B942,$C$2:$C$1489,C942,$D$2:$D$1489,D942)&gt;6,1,0)</f>
        <v>0</v>
      </c>
      <c r="I942" s="1" t="n">
        <f aca="false">IF(AND(F942="Wire",E942&gt;=1000,MOD(E942,1000)=0),1,0)</f>
        <v>0</v>
      </c>
      <c r="J942" s="1" t="n">
        <f aca="false">IF(AND(F942="ATM",E942&gt;2000,D942&lt;=4),1,0)</f>
        <v>0</v>
      </c>
      <c r="K942" s="1" t="n">
        <f aca="false">IF(COUNTIF('SQL Findings'!$A$4:$A$18,B942)&gt;0,1,0)</f>
        <v>0</v>
      </c>
      <c r="L942" s="1" t="n">
        <f aca="false">SUM(H942:K942)</f>
        <v>0</v>
      </c>
      <c r="M942" s="1" t="str">
        <f aca="false">IF(L942&gt;=2,"High",IF(L942=1,"Medium","Low"))</f>
        <v>Low</v>
      </c>
    </row>
    <row r="943" customFormat="false" ht="15" hidden="false" customHeight="true" outlineLevel="0" collapsed="false">
      <c r="A943" s="1" t="str">
        <f aca="false">Transactions!A943</f>
        <v>TXN501346</v>
      </c>
      <c r="B943" s="1" t="str">
        <f aca="false">Transactions!B943</f>
        <v>ACC1058</v>
      </c>
      <c r="C943" s="1" t="str">
        <f aca="false">Transactions!I943</f>
        <v>2026-02-27</v>
      </c>
      <c r="D943" s="1" t="n">
        <f aca="false">Transactions!J943</f>
        <v>9</v>
      </c>
      <c r="E943" s="1" t="n">
        <f aca="false">Transactions!D943</f>
        <v>17.52</v>
      </c>
      <c r="F943" s="1" t="str">
        <f aca="false">Transactions!H943</f>
        <v>ATM</v>
      </c>
      <c r="G943" s="1" t="str">
        <f aca="false">Transactions!G943</f>
        <v>Utilities</v>
      </c>
      <c r="H943" s="1" t="n">
        <f aca="false">IF(COUNTIFS($B$2:$B$1489,B943,$C$2:$C$1489,C943,$D$2:$D$1489,D943)&gt;6,1,0)</f>
        <v>0</v>
      </c>
      <c r="I943" s="1" t="n">
        <f aca="false">IF(AND(F943="Wire",E943&gt;=1000,MOD(E943,1000)=0),1,0)</f>
        <v>0</v>
      </c>
      <c r="J943" s="1" t="n">
        <f aca="false">IF(AND(F943="ATM",E943&gt;2000,D943&lt;=4),1,0)</f>
        <v>0</v>
      </c>
      <c r="K943" s="1" t="n">
        <f aca="false">IF(COUNTIF('SQL Findings'!$A$4:$A$18,B943)&gt;0,1,0)</f>
        <v>0</v>
      </c>
      <c r="L943" s="1" t="n">
        <f aca="false">SUM(H943:K943)</f>
        <v>0</v>
      </c>
      <c r="M943" s="1" t="str">
        <f aca="false">IF(L943&gt;=2,"High",IF(L943=1,"Medium","Low"))</f>
        <v>Low</v>
      </c>
    </row>
    <row r="944" customFormat="false" ht="15" hidden="false" customHeight="true" outlineLevel="0" collapsed="false">
      <c r="A944" s="1" t="str">
        <f aca="false">Transactions!A944</f>
        <v>TXN500963</v>
      </c>
      <c r="B944" s="1" t="str">
        <f aca="false">Transactions!B944</f>
        <v>ACC1042</v>
      </c>
      <c r="C944" s="1" t="str">
        <f aca="false">Transactions!I944</f>
        <v>2026-02-27</v>
      </c>
      <c r="D944" s="1" t="n">
        <f aca="false">Transactions!J944</f>
        <v>9</v>
      </c>
      <c r="E944" s="1" t="n">
        <f aca="false">Transactions!D944</f>
        <v>79.59</v>
      </c>
      <c r="F944" s="1" t="str">
        <f aca="false">Transactions!H944</f>
        <v>ATM</v>
      </c>
      <c r="G944" s="1" t="str">
        <f aca="false">Transactions!G944</f>
        <v>Online Marketplace</v>
      </c>
      <c r="H944" s="1" t="n">
        <f aca="false">IF(COUNTIFS($B$2:$B$1489,B944,$C$2:$C$1489,C944,$D$2:$D$1489,D944)&gt;6,1,0)</f>
        <v>0</v>
      </c>
      <c r="I944" s="1" t="n">
        <f aca="false">IF(AND(F944="Wire",E944&gt;=1000,MOD(E944,1000)=0),1,0)</f>
        <v>0</v>
      </c>
      <c r="J944" s="1" t="n">
        <f aca="false">IF(AND(F944="ATM",E944&gt;2000,D944&lt;=4),1,0)</f>
        <v>0</v>
      </c>
      <c r="K944" s="1" t="n">
        <f aca="false">IF(COUNTIF('SQL Findings'!$A$4:$A$18,B944)&gt;0,1,0)</f>
        <v>1</v>
      </c>
      <c r="L944" s="1" t="n">
        <f aca="false">SUM(H944:K944)</f>
        <v>1</v>
      </c>
      <c r="M944" s="1" t="str">
        <f aca="false">IF(L944&gt;=2,"High",IF(L944=1,"Medium","Low"))</f>
        <v>Medium</v>
      </c>
    </row>
    <row r="945" customFormat="false" ht="15" hidden="false" customHeight="true" outlineLevel="0" collapsed="false">
      <c r="A945" s="1" t="str">
        <f aca="false">Transactions!A945</f>
        <v>TXN500958</v>
      </c>
      <c r="B945" s="1" t="str">
        <f aca="false">Transactions!B945</f>
        <v>ACC1042</v>
      </c>
      <c r="C945" s="1" t="str">
        <f aca="false">Transactions!I945</f>
        <v>2026-02-27</v>
      </c>
      <c r="D945" s="1" t="n">
        <f aca="false">Transactions!J945</f>
        <v>9</v>
      </c>
      <c r="E945" s="1" t="n">
        <f aca="false">Transactions!D945</f>
        <v>100.59</v>
      </c>
      <c r="F945" s="1" t="str">
        <f aca="false">Transactions!H945</f>
        <v>ATM</v>
      </c>
      <c r="G945" s="1" t="str">
        <f aca="false">Transactions!G945</f>
        <v>Utilities</v>
      </c>
      <c r="H945" s="1" t="n">
        <f aca="false">IF(COUNTIFS($B$2:$B$1489,B945,$C$2:$C$1489,C945,$D$2:$D$1489,D945)&gt;6,1,0)</f>
        <v>0</v>
      </c>
      <c r="I945" s="1" t="n">
        <f aca="false">IF(AND(F945="Wire",E945&gt;=1000,MOD(E945,1000)=0),1,0)</f>
        <v>0</v>
      </c>
      <c r="J945" s="1" t="n">
        <f aca="false">IF(AND(F945="ATM",E945&gt;2000,D945&lt;=4),1,0)</f>
        <v>0</v>
      </c>
      <c r="K945" s="1" t="n">
        <f aca="false">IF(COUNTIF('SQL Findings'!$A$4:$A$18,B945)&gt;0,1,0)</f>
        <v>1</v>
      </c>
      <c r="L945" s="1" t="n">
        <f aca="false">SUM(H945:K945)</f>
        <v>1</v>
      </c>
      <c r="M945" s="1" t="str">
        <f aca="false">IF(L945&gt;=2,"High",IF(L945=1,"Medium","Low"))</f>
        <v>Medium</v>
      </c>
    </row>
    <row r="946" customFormat="false" ht="15" hidden="false" customHeight="true" outlineLevel="0" collapsed="false">
      <c r="A946" s="1" t="str">
        <f aca="false">Transactions!A946</f>
        <v>TXN501355</v>
      </c>
      <c r="B946" s="1" t="str">
        <f aca="false">Transactions!B946</f>
        <v>ACC1059</v>
      </c>
      <c r="C946" s="1" t="str">
        <f aca="false">Transactions!I946</f>
        <v>2026-02-27</v>
      </c>
      <c r="D946" s="1" t="n">
        <f aca="false">Transactions!J946</f>
        <v>10</v>
      </c>
      <c r="E946" s="1" t="n">
        <f aca="false">Transactions!D946</f>
        <v>39.69</v>
      </c>
      <c r="F946" s="1" t="str">
        <f aca="false">Transactions!H946</f>
        <v>POS</v>
      </c>
      <c r="G946" s="1" t="str">
        <f aca="false">Transactions!G946</f>
        <v>Retail</v>
      </c>
      <c r="H946" s="1" t="n">
        <f aca="false">IF(COUNTIFS($B$2:$B$1489,B946,$C$2:$C$1489,C946,$D$2:$D$1489,D946)&gt;6,1,0)</f>
        <v>0</v>
      </c>
      <c r="I946" s="1" t="n">
        <f aca="false">IF(AND(F946="Wire",E946&gt;=1000,MOD(E946,1000)=0),1,0)</f>
        <v>0</v>
      </c>
      <c r="J946" s="1" t="n">
        <f aca="false">IF(AND(F946="ATM",E946&gt;2000,D946&lt;=4),1,0)</f>
        <v>0</v>
      </c>
      <c r="K946" s="1" t="n">
        <f aca="false">IF(COUNTIF('SQL Findings'!$A$4:$A$18,B946)&gt;0,1,0)</f>
        <v>0</v>
      </c>
      <c r="L946" s="1" t="n">
        <f aca="false">SUM(H946:K946)</f>
        <v>0</v>
      </c>
      <c r="M946" s="1" t="str">
        <f aca="false">IF(L946&gt;=2,"High",IF(L946=1,"Medium","Low"))</f>
        <v>Low</v>
      </c>
    </row>
    <row r="947" customFormat="false" ht="15" hidden="false" customHeight="true" outlineLevel="0" collapsed="false">
      <c r="A947" s="1" t="str">
        <f aca="false">Transactions!A947</f>
        <v>TXN501183</v>
      </c>
      <c r="B947" s="1" t="str">
        <f aca="false">Transactions!B947</f>
        <v>ACC1052</v>
      </c>
      <c r="C947" s="1" t="str">
        <f aca="false">Transactions!I947</f>
        <v>2026-02-27</v>
      </c>
      <c r="D947" s="1" t="n">
        <f aca="false">Transactions!J947</f>
        <v>11</v>
      </c>
      <c r="E947" s="1" t="n">
        <f aca="false">Transactions!D947</f>
        <v>152.4</v>
      </c>
      <c r="F947" s="1" t="str">
        <f aca="false">Transactions!H947</f>
        <v>ATM</v>
      </c>
      <c r="G947" s="1" t="str">
        <f aca="false">Transactions!G947</f>
        <v>Dining</v>
      </c>
      <c r="H947" s="1" t="n">
        <f aca="false">IF(COUNTIFS($B$2:$B$1489,B947,$C$2:$C$1489,C947,$D$2:$D$1489,D947)&gt;6,1,0)</f>
        <v>0</v>
      </c>
      <c r="I947" s="1" t="n">
        <f aca="false">IF(AND(F947="Wire",E947&gt;=1000,MOD(E947,1000)=0),1,0)</f>
        <v>0</v>
      </c>
      <c r="J947" s="1" t="n">
        <f aca="false">IF(AND(F947="ATM",E947&gt;2000,D947&lt;=4),1,0)</f>
        <v>0</v>
      </c>
      <c r="K947" s="1" t="n">
        <f aca="false">IF(COUNTIF('SQL Findings'!$A$4:$A$18,B947)&gt;0,1,0)</f>
        <v>0</v>
      </c>
      <c r="L947" s="1" t="n">
        <f aca="false">SUM(H947:K947)</f>
        <v>0</v>
      </c>
      <c r="M947" s="1" t="str">
        <f aca="false">IF(L947&gt;=2,"High",IF(L947=1,"Medium","Low"))</f>
        <v>Low</v>
      </c>
    </row>
    <row r="948" customFormat="false" ht="15" hidden="false" customHeight="true" outlineLevel="0" collapsed="false">
      <c r="A948" s="1" t="str">
        <f aca="false">Transactions!A948</f>
        <v>TXN500192</v>
      </c>
      <c r="B948" s="1" t="str">
        <f aca="false">Transactions!B948</f>
        <v>ACC1008</v>
      </c>
      <c r="C948" s="1" t="str">
        <f aca="false">Transactions!I948</f>
        <v>2026-02-27</v>
      </c>
      <c r="D948" s="1" t="n">
        <f aca="false">Transactions!J948</f>
        <v>12</v>
      </c>
      <c r="E948" s="1" t="n">
        <f aca="false">Transactions!D948</f>
        <v>144.14</v>
      </c>
      <c r="F948" s="1" t="str">
        <f aca="false">Transactions!H948</f>
        <v>ATM</v>
      </c>
      <c r="G948" s="1" t="str">
        <f aca="false">Transactions!G948</f>
        <v>Cash Withdrawal</v>
      </c>
      <c r="H948" s="1" t="n">
        <f aca="false">IF(COUNTIFS($B$2:$B$1489,B948,$C$2:$C$1489,C948,$D$2:$D$1489,D948)&gt;6,1,0)</f>
        <v>0</v>
      </c>
      <c r="I948" s="1" t="n">
        <f aca="false">IF(AND(F948="Wire",E948&gt;=1000,MOD(E948,1000)=0),1,0)</f>
        <v>0</v>
      </c>
      <c r="J948" s="1" t="n">
        <f aca="false">IF(AND(F948="ATM",E948&gt;2000,D948&lt;=4),1,0)</f>
        <v>0</v>
      </c>
      <c r="K948" s="1" t="n">
        <f aca="false">IF(COUNTIF('SQL Findings'!$A$4:$A$18,B948)&gt;0,1,0)</f>
        <v>0</v>
      </c>
      <c r="L948" s="1" t="n">
        <f aca="false">SUM(H948:K948)</f>
        <v>0</v>
      </c>
      <c r="M948" s="1" t="str">
        <f aca="false">IF(L948&gt;=2,"High",IF(L948=1,"Medium","Low"))</f>
        <v>Low</v>
      </c>
    </row>
    <row r="949" customFormat="false" ht="15" hidden="false" customHeight="true" outlineLevel="0" collapsed="false">
      <c r="A949" s="1" t="str">
        <f aca="false">Transactions!A949</f>
        <v>TXN500471</v>
      </c>
      <c r="B949" s="1" t="str">
        <f aca="false">Transactions!B949</f>
        <v>ACC1021</v>
      </c>
      <c r="C949" s="1" t="str">
        <f aca="false">Transactions!I949</f>
        <v>2026-02-27</v>
      </c>
      <c r="D949" s="1" t="n">
        <f aca="false">Transactions!J949</f>
        <v>12</v>
      </c>
      <c r="E949" s="1" t="n">
        <f aca="false">Transactions!D949</f>
        <v>52.06</v>
      </c>
      <c r="F949" s="1" t="str">
        <f aca="false">Transactions!H949</f>
        <v>ATM</v>
      </c>
      <c r="G949" s="1" t="str">
        <f aca="false">Transactions!G949</f>
        <v>Electronics</v>
      </c>
      <c r="H949" s="1" t="n">
        <f aca="false">IF(COUNTIFS($B$2:$B$1489,B949,$C$2:$C$1489,C949,$D$2:$D$1489,D949)&gt;6,1,0)</f>
        <v>0</v>
      </c>
      <c r="I949" s="1" t="n">
        <f aca="false">IF(AND(F949="Wire",E949&gt;=1000,MOD(E949,1000)=0),1,0)</f>
        <v>0</v>
      </c>
      <c r="J949" s="1" t="n">
        <f aca="false">IF(AND(F949="ATM",E949&gt;2000,D949&lt;=4),1,0)</f>
        <v>0</v>
      </c>
      <c r="K949" s="1" t="n">
        <f aca="false">IF(COUNTIF('SQL Findings'!$A$4:$A$18,B949)&gt;0,1,0)</f>
        <v>0</v>
      </c>
      <c r="L949" s="1" t="n">
        <f aca="false">SUM(H949:K949)</f>
        <v>0</v>
      </c>
      <c r="M949" s="1" t="str">
        <f aca="false">IF(L949&gt;=2,"High",IF(L949=1,"Medium","Low"))</f>
        <v>Low</v>
      </c>
    </row>
    <row r="950" customFormat="false" ht="15" hidden="false" customHeight="true" outlineLevel="0" collapsed="false">
      <c r="A950" s="1" t="str">
        <f aca="false">Transactions!A950</f>
        <v>TXN500364</v>
      </c>
      <c r="B950" s="1" t="str">
        <f aca="false">Transactions!B950</f>
        <v>ACC1016</v>
      </c>
      <c r="C950" s="1" t="str">
        <f aca="false">Transactions!I950</f>
        <v>2026-02-27</v>
      </c>
      <c r="D950" s="1" t="n">
        <f aca="false">Transactions!J950</f>
        <v>13</v>
      </c>
      <c r="E950" s="1" t="n">
        <f aca="false">Transactions!D950</f>
        <v>95.73</v>
      </c>
      <c r="F950" s="1" t="str">
        <f aca="false">Transactions!H950</f>
        <v>ATM</v>
      </c>
      <c r="G950" s="1" t="str">
        <f aca="false">Transactions!G950</f>
        <v>Travel</v>
      </c>
      <c r="H950" s="1" t="n">
        <f aca="false">IF(COUNTIFS($B$2:$B$1489,B950,$C$2:$C$1489,C950,$D$2:$D$1489,D950)&gt;6,1,0)</f>
        <v>0</v>
      </c>
      <c r="I950" s="1" t="n">
        <f aca="false">IF(AND(F950="Wire",E950&gt;=1000,MOD(E950,1000)=0),1,0)</f>
        <v>0</v>
      </c>
      <c r="J950" s="1" t="n">
        <f aca="false">IF(AND(F950="ATM",E950&gt;2000,D950&lt;=4),1,0)</f>
        <v>0</v>
      </c>
      <c r="K950" s="1" t="n">
        <f aca="false">IF(COUNTIF('SQL Findings'!$A$4:$A$18,B950)&gt;0,1,0)</f>
        <v>0</v>
      </c>
      <c r="L950" s="1" t="n">
        <f aca="false">SUM(H950:K950)</f>
        <v>0</v>
      </c>
      <c r="M950" s="1" t="str">
        <f aca="false">IF(L950&gt;=2,"High",IF(L950=1,"Medium","Low"))</f>
        <v>Low</v>
      </c>
    </row>
    <row r="951" customFormat="false" ht="15" hidden="false" customHeight="true" outlineLevel="0" collapsed="false">
      <c r="A951" s="1" t="str">
        <f aca="false">Transactions!A951</f>
        <v>TXN500604</v>
      </c>
      <c r="B951" s="1" t="str">
        <f aca="false">Transactions!B951</f>
        <v>ACC1026</v>
      </c>
      <c r="C951" s="1" t="str">
        <f aca="false">Transactions!I951</f>
        <v>2026-02-27</v>
      </c>
      <c r="D951" s="1" t="n">
        <f aca="false">Transactions!J951</f>
        <v>13</v>
      </c>
      <c r="E951" s="1" t="n">
        <f aca="false">Transactions!D951</f>
        <v>225.9</v>
      </c>
      <c r="F951" s="1" t="str">
        <f aca="false">Transactions!H951</f>
        <v>POS</v>
      </c>
      <c r="G951" s="1" t="str">
        <f aca="false">Transactions!G951</f>
        <v>Cash Withdrawal</v>
      </c>
      <c r="H951" s="1" t="n">
        <f aca="false">IF(COUNTIFS($B$2:$B$1489,B951,$C$2:$C$1489,C951,$D$2:$D$1489,D951)&gt;6,1,0)</f>
        <v>0</v>
      </c>
      <c r="I951" s="1" t="n">
        <f aca="false">IF(AND(F951="Wire",E951&gt;=1000,MOD(E951,1000)=0),1,0)</f>
        <v>0</v>
      </c>
      <c r="J951" s="1" t="n">
        <f aca="false">IF(AND(F951="ATM",E951&gt;2000,D951&lt;=4),1,0)</f>
        <v>0</v>
      </c>
      <c r="K951" s="1" t="n">
        <f aca="false">IF(COUNTIF('SQL Findings'!$A$4:$A$18,B951)&gt;0,1,0)</f>
        <v>0</v>
      </c>
      <c r="L951" s="1" t="n">
        <f aca="false">SUM(H951:K951)</f>
        <v>0</v>
      </c>
      <c r="M951" s="1" t="str">
        <f aca="false">IF(L951&gt;=2,"High",IF(L951=1,"Medium","Low"))</f>
        <v>Low</v>
      </c>
    </row>
    <row r="952" customFormat="false" ht="15" hidden="false" customHeight="true" outlineLevel="0" collapsed="false">
      <c r="A952" s="1" t="str">
        <f aca="false">Transactions!A952</f>
        <v>TXN501070</v>
      </c>
      <c r="B952" s="1" t="str">
        <f aca="false">Transactions!B952</f>
        <v>ACC1047</v>
      </c>
      <c r="C952" s="1" t="str">
        <f aca="false">Transactions!I952</f>
        <v>2026-02-27</v>
      </c>
      <c r="D952" s="1" t="n">
        <f aca="false">Transactions!J952</f>
        <v>18</v>
      </c>
      <c r="E952" s="1" t="n">
        <f aca="false">Transactions!D952</f>
        <v>91.09</v>
      </c>
      <c r="F952" s="1" t="str">
        <f aca="false">Transactions!H952</f>
        <v>Online</v>
      </c>
      <c r="G952" s="1" t="str">
        <f aca="false">Transactions!G952</f>
        <v>Utilities</v>
      </c>
      <c r="H952" s="1" t="n">
        <f aca="false">IF(COUNTIFS($B$2:$B$1489,B952,$C$2:$C$1489,C952,$D$2:$D$1489,D952)&gt;6,1,0)</f>
        <v>0</v>
      </c>
      <c r="I952" s="1" t="n">
        <f aca="false">IF(AND(F952="Wire",E952&gt;=1000,MOD(E952,1000)=0),1,0)</f>
        <v>0</v>
      </c>
      <c r="J952" s="1" t="n">
        <f aca="false">IF(AND(F952="ATM",E952&gt;2000,D952&lt;=4),1,0)</f>
        <v>0</v>
      </c>
      <c r="K952" s="1" t="n">
        <f aca="false">IF(COUNTIF('SQL Findings'!$A$4:$A$18,B952)&gt;0,1,0)</f>
        <v>0</v>
      </c>
      <c r="L952" s="1" t="n">
        <f aca="false">SUM(H952:K952)</f>
        <v>0</v>
      </c>
      <c r="M952" s="1" t="str">
        <f aca="false">IF(L952&gt;=2,"High",IF(L952=1,"Medium","Low"))</f>
        <v>Low</v>
      </c>
    </row>
    <row r="953" customFormat="false" ht="15" hidden="false" customHeight="true" outlineLevel="0" collapsed="false">
      <c r="A953" s="1" t="str">
        <f aca="false">Transactions!A953</f>
        <v>TXN500260</v>
      </c>
      <c r="B953" s="1" t="str">
        <f aca="false">Transactions!B953</f>
        <v>ACC1011</v>
      </c>
      <c r="C953" s="1" t="str">
        <f aca="false">Transactions!I953</f>
        <v>2026-02-27</v>
      </c>
      <c r="D953" s="1" t="n">
        <f aca="false">Transactions!J953</f>
        <v>18</v>
      </c>
      <c r="E953" s="1" t="n">
        <f aca="false">Transactions!D953</f>
        <v>133.91</v>
      </c>
      <c r="F953" s="1" t="str">
        <f aca="false">Transactions!H953</f>
        <v>Online</v>
      </c>
      <c r="G953" s="1" t="str">
        <f aca="false">Transactions!G953</f>
        <v>Cash Withdrawal</v>
      </c>
      <c r="H953" s="1" t="n">
        <f aca="false">IF(COUNTIFS($B$2:$B$1489,B953,$C$2:$C$1489,C953,$D$2:$D$1489,D953)&gt;6,1,0)</f>
        <v>0</v>
      </c>
      <c r="I953" s="1" t="n">
        <f aca="false">IF(AND(F953="Wire",E953&gt;=1000,MOD(E953,1000)=0),1,0)</f>
        <v>0</v>
      </c>
      <c r="J953" s="1" t="n">
        <f aca="false">IF(AND(F953="ATM",E953&gt;2000,D953&lt;=4),1,0)</f>
        <v>0</v>
      </c>
      <c r="K953" s="1" t="n">
        <f aca="false">IF(COUNTIF('SQL Findings'!$A$4:$A$18,B953)&gt;0,1,0)</f>
        <v>0</v>
      </c>
      <c r="L953" s="1" t="n">
        <f aca="false">SUM(H953:K953)</f>
        <v>0</v>
      </c>
      <c r="M953" s="1" t="str">
        <f aca="false">IF(L953&gt;=2,"High",IF(L953=1,"Medium","Low"))</f>
        <v>Low</v>
      </c>
    </row>
    <row r="954" customFormat="false" ht="15" hidden="false" customHeight="true" outlineLevel="0" collapsed="false">
      <c r="A954" s="1" t="str">
        <f aca="false">Transactions!A954</f>
        <v>TXN500101</v>
      </c>
      <c r="B954" s="1" t="str">
        <f aca="false">Transactions!B954</f>
        <v>ACC1004</v>
      </c>
      <c r="C954" s="1" t="str">
        <f aca="false">Transactions!I954</f>
        <v>2026-02-27</v>
      </c>
      <c r="D954" s="1" t="n">
        <f aca="false">Transactions!J954</f>
        <v>19</v>
      </c>
      <c r="E954" s="1" t="n">
        <f aca="false">Transactions!D954</f>
        <v>18.66</v>
      </c>
      <c r="F954" s="1" t="str">
        <f aca="false">Transactions!H954</f>
        <v>Online</v>
      </c>
      <c r="G954" s="1" t="str">
        <f aca="false">Transactions!G954</f>
        <v>Online Marketplace</v>
      </c>
      <c r="H954" s="1" t="n">
        <f aca="false">IF(COUNTIFS($B$2:$B$1489,B954,$C$2:$C$1489,C954,$D$2:$D$1489,D954)&gt;6,1,0)</f>
        <v>0</v>
      </c>
      <c r="I954" s="1" t="n">
        <f aca="false">IF(AND(F954="Wire",E954&gt;=1000,MOD(E954,1000)=0),1,0)</f>
        <v>0</v>
      </c>
      <c r="J954" s="1" t="n">
        <f aca="false">IF(AND(F954="ATM",E954&gt;2000,D954&lt;=4),1,0)</f>
        <v>0</v>
      </c>
      <c r="K954" s="1" t="n">
        <f aca="false">IF(COUNTIF('SQL Findings'!$A$4:$A$18,B954)&gt;0,1,0)</f>
        <v>1</v>
      </c>
      <c r="L954" s="1" t="n">
        <f aca="false">SUM(H954:K954)</f>
        <v>1</v>
      </c>
      <c r="M954" s="1" t="str">
        <f aca="false">IF(L954&gt;=2,"High",IF(L954=1,"Medium","Low"))</f>
        <v>Medium</v>
      </c>
    </row>
    <row r="955" customFormat="false" ht="15" hidden="false" customHeight="true" outlineLevel="0" collapsed="false">
      <c r="A955" s="1" t="str">
        <f aca="false">Transactions!A955</f>
        <v>TXN500371</v>
      </c>
      <c r="B955" s="1" t="str">
        <f aca="false">Transactions!B955</f>
        <v>ACC1016</v>
      </c>
      <c r="C955" s="1" t="str">
        <f aca="false">Transactions!I955</f>
        <v>2026-02-27</v>
      </c>
      <c r="D955" s="1" t="n">
        <f aca="false">Transactions!J955</f>
        <v>21</v>
      </c>
      <c r="E955" s="1" t="n">
        <f aca="false">Transactions!D955</f>
        <v>68.17</v>
      </c>
      <c r="F955" s="1" t="str">
        <f aca="false">Transactions!H955</f>
        <v>POS</v>
      </c>
      <c r="G955" s="1" t="str">
        <f aca="false">Transactions!G955</f>
        <v>Online Marketplace</v>
      </c>
      <c r="H955" s="1" t="n">
        <f aca="false">IF(COUNTIFS($B$2:$B$1489,B955,$C$2:$C$1489,C955,$D$2:$D$1489,D955)&gt;6,1,0)</f>
        <v>0</v>
      </c>
      <c r="I955" s="1" t="n">
        <f aca="false">IF(AND(F955="Wire",E955&gt;=1000,MOD(E955,1000)=0),1,0)</f>
        <v>0</v>
      </c>
      <c r="J955" s="1" t="n">
        <f aca="false">IF(AND(F955="ATM",E955&gt;2000,D955&lt;=4),1,0)</f>
        <v>0</v>
      </c>
      <c r="K955" s="1" t="n">
        <f aca="false">IF(COUNTIF('SQL Findings'!$A$4:$A$18,B955)&gt;0,1,0)</f>
        <v>0</v>
      </c>
      <c r="L955" s="1" t="n">
        <f aca="false">SUM(H955:K955)</f>
        <v>0</v>
      </c>
      <c r="M955" s="1" t="str">
        <f aca="false">IF(L955&gt;=2,"High",IF(L955=1,"Medium","Low"))</f>
        <v>Low</v>
      </c>
    </row>
    <row r="956" customFormat="false" ht="15" hidden="false" customHeight="true" outlineLevel="0" collapsed="false">
      <c r="A956" s="1" t="str">
        <f aca="false">Transactions!A956</f>
        <v>TXN500631</v>
      </c>
      <c r="B956" s="1" t="str">
        <f aca="false">Transactions!B956</f>
        <v>ACC1027</v>
      </c>
      <c r="C956" s="1" t="str">
        <f aca="false">Transactions!I956</f>
        <v>2026-02-28</v>
      </c>
      <c r="D956" s="1" t="n">
        <f aca="false">Transactions!J956</f>
        <v>0</v>
      </c>
      <c r="E956" s="1" t="n">
        <f aca="false">Transactions!D956</f>
        <v>14.54</v>
      </c>
      <c r="F956" s="1" t="str">
        <f aca="false">Transactions!H956</f>
        <v>ATM</v>
      </c>
      <c r="G956" s="1" t="str">
        <f aca="false">Transactions!G956</f>
        <v>Dining</v>
      </c>
      <c r="H956" s="1" t="n">
        <f aca="false">IF(COUNTIFS($B$2:$B$1489,B956,$C$2:$C$1489,C956,$D$2:$D$1489,D956)&gt;6,1,0)</f>
        <v>0</v>
      </c>
      <c r="I956" s="1" t="n">
        <f aca="false">IF(AND(F956="Wire",E956&gt;=1000,MOD(E956,1000)=0),1,0)</f>
        <v>0</v>
      </c>
      <c r="J956" s="1" t="n">
        <f aca="false">IF(AND(F956="ATM",E956&gt;2000,D956&lt;=4),1,0)</f>
        <v>0</v>
      </c>
      <c r="K956" s="1" t="n">
        <f aca="false">IF(COUNTIF('SQL Findings'!$A$4:$A$18,B956)&gt;0,1,0)</f>
        <v>0</v>
      </c>
      <c r="L956" s="1" t="n">
        <f aca="false">SUM(H956:K956)</f>
        <v>0</v>
      </c>
      <c r="M956" s="1" t="str">
        <f aca="false">IF(L956&gt;=2,"High",IF(L956=1,"Medium","Low"))</f>
        <v>Low</v>
      </c>
    </row>
    <row r="957" customFormat="false" ht="15" hidden="false" customHeight="true" outlineLevel="0" collapsed="false">
      <c r="A957" s="1" t="str">
        <f aca="false">Transactions!A957</f>
        <v>TXN501129</v>
      </c>
      <c r="B957" s="1" t="str">
        <f aca="false">Transactions!B957</f>
        <v>ACC1050</v>
      </c>
      <c r="C957" s="1" t="str">
        <f aca="false">Transactions!I957</f>
        <v>2026-02-28</v>
      </c>
      <c r="D957" s="1" t="n">
        <f aca="false">Transactions!J957</f>
        <v>0</v>
      </c>
      <c r="E957" s="1" t="n">
        <f aca="false">Transactions!D957</f>
        <v>62.95</v>
      </c>
      <c r="F957" s="1" t="str">
        <f aca="false">Transactions!H957</f>
        <v>ATM</v>
      </c>
      <c r="G957" s="1" t="str">
        <f aca="false">Transactions!G957</f>
        <v>Wire Transfer</v>
      </c>
      <c r="H957" s="1" t="n">
        <f aca="false">IF(COUNTIFS($B$2:$B$1489,B957,$C$2:$C$1489,C957,$D$2:$D$1489,D957)&gt;6,1,0)</f>
        <v>0</v>
      </c>
      <c r="I957" s="1" t="n">
        <f aca="false">IF(AND(F957="Wire",E957&gt;=1000,MOD(E957,1000)=0),1,0)</f>
        <v>0</v>
      </c>
      <c r="J957" s="1" t="n">
        <f aca="false">IF(AND(F957="ATM",E957&gt;2000,D957&lt;=4),1,0)</f>
        <v>0</v>
      </c>
      <c r="K957" s="1" t="n">
        <f aca="false">IF(COUNTIF('SQL Findings'!$A$4:$A$18,B957)&gt;0,1,0)</f>
        <v>0</v>
      </c>
      <c r="L957" s="1" t="n">
        <f aca="false">SUM(H957:K957)</f>
        <v>0</v>
      </c>
      <c r="M957" s="1" t="str">
        <f aca="false">IF(L957&gt;=2,"High",IF(L957=1,"Medium","Low"))</f>
        <v>Low</v>
      </c>
    </row>
    <row r="958" customFormat="false" ht="15" hidden="false" customHeight="true" outlineLevel="0" collapsed="false">
      <c r="A958" s="1" t="str">
        <f aca="false">Transactions!A958</f>
        <v>TXN500630</v>
      </c>
      <c r="B958" s="1" t="str">
        <f aca="false">Transactions!B958</f>
        <v>ACC1027</v>
      </c>
      <c r="C958" s="1" t="str">
        <f aca="false">Transactions!I958</f>
        <v>2026-02-28</v>
      </c>
      <c r="D958" s="1" t="n">
        <f aca="false">Transactions!J958</f>
        <v>0</v>
      </c>
      <c r="E958" s="1" t="n">
        <f aca="false">Transactions!D958</f>
        <v>178.53</v>
      </c>
      <c r="F958" s="1" t="str">
        <f aca="false">Transactions!H958</f>
        <v>Online</v>
      </c>
      <c r="G958" s="1" t="str">
        <f aca="false">Transactions!G958</f>
        <v>Travel</v>
      </c>
      <c r="H958" s="1" t="n">
        <f aca="false">IF(COUNTIFS($B$2:$B$1489,B958,$C$2:$C$1489,C958,$D$2:$D$1489,D958)&gt;6,1,0)</f>
        <v>0</v>
      </c>
      <c r="I958" s="1" t="n">
        <f aca="false">IF(AND(F958="Wire",E958&gt;=1000,MOD(E958,1000)=0),1,0)</f>
        <v>0</v>
      </c>
      <c r="J958" s="1" t="n">
        <f aca="false">IF(AND(F958="ATM",E958&gt;2000,D958&lt;=4),1,0)</f>
        <v>0</v>
      </c>
      <c r="K958" s="1" t="n">
        <f aca="false">IF(COUNTIF('SQL Findings'!$A$4:$A$18,B958)&gt;0,1,0)</f>
        <v>0</v>
      </c>
      <c r="L958" s="1" t="n">
        <f aca="false">SUM(H958:K958)</f>
        <v>0</v>
      </c>
      <c r="M958" s="1" t="str">
        <f aca="false">IF(L958&gt;=2,"High",IF(L958=1,"Medium","Low"))</f>
        <v>Low</v>
      </c>
    </row>
    <row r="959" customFormat="false" ht="15" hidden="false" customHeight="true" outlineLevel="0" collapsed="false">
      <c r="A959" s="1" t="str">
        <f aca="false">Transactions!A959</f>
        <v>TXN501294</v>
      </c>
      <c r="B959" s="1" t="str">
        <f aca="false">Transactions!B959</f>
        <v>ACC1056</v>
      </c>
      <c r="C959" s="1" t="str">
        <f aca="false">Transactions!I959</f>
        <v>2026-02-28</v>
      </c>
      <c r="D959" s="1" t="n">
        <f aca="false">Transactions!J959</f>
        <v>8</v>
      </c>
      <c r="E959" s="1" t="n">
        <f aca="false">Transactions!D959</f>
        <v>141.83</v>
      </c>
      <c r="F959" s="1" t="str">
        <f aca="false">Transactions!H959</f>
        <v>Online</v>
      </c>
      <c r="G959" s="1" t="str">
        <f aca="false">Transactions!G959</f>
        <v>Online Marketplace</v>
      </c>
      <c r="H959" s="1" t="n">
        <f aca="false">IF(COUNTIFS($B$2:$B$1489,B959,$C$2:$C$1489,C959,$D$2:$D$1489,D959)&gt;6,1,0)</f>
        <v>0</v>
      </c>
      <c r="I959" s="1" t="n">
        <f aca="false">IF(AND(F959="Wire",E959&gt;=1000,MOD(E959,1000)=0),1,0)</f>
        <v>0</v>
      </c>
      <c r="J959" s="1" t="n">
        <f aca="false">IF(AND(F959="ATM",E959&gt;2000,D959&lt;=4),1,0)</f>
        <v>0</v>
      </c>
      <c r="K959" s="1" t="n">
        <f aca="false">IF(COUNTIF('SQL Findings'!$A$4:$A$18,B959)&gt;0,1,0)</f>
        <v>0</v>
      </c>
      <c r="L959" s="1" t="n">
        <f aca="false">SUM(H959:K959)</f>
        <v>0</v>
      </c>
      <c r="M959" s="1" t="str">
        <f aca="false">IF(L959&gt;=2,"High",IF(L959=1,"Medium","Low"))</f>
        <v>Low</v>
      </c>
    </row>
    <row r="960" customFormat="false" ht="15" hidden="false" customHeight="true" outlineLevel="0" collapsed="false">
      <c r="A960" s="1" t="str">
        <f aca="false">Transactions!A960</f>
        <v>TXN501297</v>
      </c>
      <c r="B960" s="1" t="str">
        <f aca="false">Transactions!B960</f>
        <v>ACC1056</v>
      </c>
      <c r="C960" s="1" t="str">
        <f aca="false">Transactions!I960</f>
        <v>2026-02-28</v>
      </c>
      <c r="D960" s="1" t="n">
        <f aca="false">Transactions!J960</f>
        <v>11</v>
      </c>
      <c r="E960" s="1" t="n">
        <f aca="false">Transactions!D960</f>
        <v>152.5</v>
      </c>
      <c r="F960" s="1" t="str">
        <f aca="false">Transactions!H960</f>
        <v>POS</v>
      </c>
      <c r="G960" s="1" t="str">
        <f aca="false">Transactions!G960</f>
        <v>Online Marketplace</v>
      </c>
      <c r="H960" s="1" t="n">
        <f aca="false">IF(COUNTIFS($B$2:$B$1489,B960,$C$2:$C$1489,C960,$D$2:$D$1489,D960)&gt;6,1,0)</f>
        <v>0</v>
      </c>
      <c r="I960" s="1" t="n">
        <f aca="false">IF(AND(F960="Wire",E960&gt;=1000,MOD(E960,1000)=0),1,0)</f>
        <v>0</v>
      </c>
      <c r="J960" s="1" t="n">
        <f aca="false">IF(AND(F960="ATM",E960&gt;2000,D960&lt;=4),1,0)</f>
        <v>0</v>
      </c>
      <c r="K960" s="1" t="n">
        <f aca="false">IF(COUNTIF('SQL Findings'!$A$4:$A$18,B960)&gt;0,1,0)</f>
        <v>0</v>
      </c>
      <c r="L960" s="1" t="n">
        <f aca="false">SUM(H960:K960)</f>
        <v>0</v>
      </c>
      <c r="M960" s="1" t="str">
        <f aca="false">IF(L960&gt;=2,"High",IF(L960=1,"Medium","Low"))</f>
        <v>Low</v>
      </c>
    </row>
    <row r="961" customFormat="false" ht="15" hidden="false" customHeight="true" outlineLevel="0" collapsed="false">
      <c r="A961" s="1" t="str">
        <f aca="false">Transactions!A961</f>
        <v>TXN500670</v>
      </c>
      <c r="B961" s="1" t="str">
        <f aca="false">Transactions!B961</f>
        <v>ACC1029</v>
      </c>
      <c r="C961" s="1" t="str">
        <f aca="false">Transactions!I961</f>
        <v>2026-02-28</v>
      </c>
      <c r="D961" s="1" t="n">
        <f aca="false">Transactions!J961</f>
        <v>12</v>
      </c>
      <c r="E961" s="1" t="n">
        <f aca="false">Transactions!D961</f>
        <v>178.1</v>
      </c>
      <c r="F961" s="1" t="str">
        <f aca="false">Transactions!H961</f>
        <v>ATM</v>
      </c>
      <c r="G961" s="1" t="str">
        <f aca="false">Transactions!G961</f>
        <v>Online Marketplace</v>
      </c>
      <c r="H961" s="1" t="n">
        <f aca="false">IF(COUNTIFS($B$2:$B$1489,B961,$C$2:$C$1489,C961,$D$2:$D$1489,D961)&gt;6,1,0)</f>
        <v>0</v>
      </c>
      <c r="I961" s="1" t="n">
        <f aca="false">IF(AND(F961="Wire",E961&gt;=1000,MOD(E961,1000)=0),1,0)</f>
        <v>0</v>
      </c>
      <c r="J961" s="1" t="n">
        <f aca="false">IF(AND(F961="ATM",E961&gt;2000,D961&lt;=4),1,0)</f>
        <v>0</v>
      </c>
      <c r="K961" s="1" t="n">
        <f aca="false">IF(COUNTIF('SQL Findings'!$A$4:$A$18,B961)&gt;0,1,0)</f>
        <v>0</v>
      </c>
      <c r="L961" s="1" t="n">
        <f aca="false">SUM(H961:K961)</f>
        <v>0</v>
      </c>
      <c r="M961" s="1" t="str">
        <f aca="false">IF(L961&gt;=2,"High",IF(L961=1,"Medium","Low"))</f>
        <v>Low</v>
      </c>
    </row>
    <row r="962" customFormat="false" ht="15" hidden="false" customHeight="true" outlineLevel="0" collapsed="false">
      <c r="A962" s="1" t="str">
        <f aca="false">Transactions!A962</f>
        <v>TXN501337</v>
      </c>
      <c r="B962" s="1" t="str">
        <f aca="false">Transactions!B962</f>
        <v>ACC1058</v>
      </c>
      <c r="C962" s="1" t="str">
        <f aca="false">Transactions!I962</f>
        <v>2026-02-28</v>
      </c>
      <c r="D962" s="1" t="n">
        <f aca="false">Transactions!J962</f>
        <v>12</v>
      </c>
      <c r="E962" s="1" t="n">
        <f aca="false">Transactions!D962</f>
        <v>38.4</v>
      </c>
      <c r="F962" s="1" t="str">
        <f aca="false">Transactions!H962</f>
        <v>Online</v>
      </c>
      <c r="G962" s="1" t="str">
        <f aca="false">Transactions!G962</f>
        <v>Cash Withdrawal</v>
      </c>
      <c r="H962" s="1" t="n">
        <f aca="false">IF(COUNTIFS($B$2:$B$1489,B962,$C$2:$C$1489,C962,$D$2:$D$1489,D962)&gt;6,1,0)</f>
        <v>0</v>
      </c>
      <c r="I962" s="1" t="n">
        <f aca="false">IF(AND(F962="Wire",E962&gt;=1000,MOD(E962,1000)=0),1,0)</f>
        <v>0</v>
      </c>
      <c r="J962" s="1" t="n">
        <f aca="false">IF(AND(F962="ATM",E962&gt;2000,D962&lt;=4),1,0)</f>
        <v>0</v>
      </c>
      <c r="K962" s="1" t="n">
        <f aca="false">IF(COUNTIF('SQL Findings'!$A$4:$A$18,B962)&gt;0,1,0)</f>
        <v>0</v>
      </c>
      <c r="L962" s="1" t="n">
        <f aca="false">SUM(H962:K962)</f>
        <v>0</v>
      </c>
      <c r="M962" s="1" t="str">
        <f aca="false">IF(L962&gt;=2,"High",IF(L962=1,"Medium","Low"))</f>
        <v>Low</v>
      </c>
    </row>
    <row r="963" customFormat="false" ht="15" hidden="false" customHeight="true" outlineLevel="0" collapsed="false">
      <c r="A963" s="1" t="str">
        <f aca="false">Transactions!A963</f>
        <v>TXN500609</v>
      </c>
      <c r="B963" s="1" t="str">
        <f aca="false">Transactions!B963</f>
        <v>ACC1026</v>
      </c>
      <c r="C963" s="1" t="str">
        <f aca="false">Transactions!I963</f>
        <v>2026-02-28</v>
      </c>
      <c r="D963" s="1" t="n">
        <f aca="false">Transactions!J963</f>
        <v>13</v>
      </c>
      <c r="E963" s="1" t="n">
        <f aca="false">Transactions!D963</f>
        <v>13.45</v>
      </c>
      <c r="F963" s="1" t="str">
        <f aca="false">Transactions!H963</f>
        <v>ATM</v>
      </c>
      <c r="G963" s="1" t="str">
        <f aca="false">Transactions!G963</f>
        <v>Online Marketplace</v>
      </c>
      <c r="H963" s="1" t="n">
        <f aca="false">IF(COUNTIFS($B$2:$B$1489,B963,$C$2:$C$1489,C963,$D$2:$D$1489,D963)&gt;6,1,0)</f>
        <v>0</v>
      </c>
      <c r="I963" s="1" t="n">
        <f aca="false">IF(AND(F963="Wire",E963&gt;=1000,MOD(E963,1000)=0),1,0)</f>
        <v>0</v>
      </c>
      <c r="J963" s="1" t="n">
        <f aca="false">IF(AND(F963="ATM",E963&gt;2000,D963&lt;=4),1,0)</f>
        <v>0</v>
      </c>
      <c r="K963" s="1" t="n">
        <f aca="false">IF(COUNTIF('SQL Findings'!$A$4:$A$18,B963)&gt;0,1,0)</f>
        <v>0</v>
      </c>
      <c r="L963" s="1" t="n">
        <f aca="false">SUM(H963:K963)</f>
        <v>0</v>
      </c>
      <c r="M963" s="1" t="str">
        <f aca="false">IF(L963&gt;=2,"High",IF(L963=1,"Medium","Low"))</f>
        <v>Low</v>
      </c>
    </row>
    <row r="964" customFormat="false" ht="15" hidden="false" customHeight="true" outlineLevel="0" collapsed="false">
      <c r="A964" s="1" t="str">
        <f aca="false">Transactions!A964</f>
        <v>TXN500625</v>
      </c>
      <c r="B964" s="1" t="str">
        <f aca="false">Transactions!B964</f>
        <v>ACC1027</v>
      </c>
      <c r="C964" s="1" t="str">
        <f aca="false">Transactions!I964</f>
        <v>2026-02-28</v>
      </c>
      <c r="D964" s="1" t="n">
        <f aca="false">Transactions!J964</f>
        <v>14</v>
      </c>
      <c r="E964" s="1" t="n">
        <f aca="false">Transactions!D964</f>
        <v>279.74</v>
      </c>
      <c r="F964" s="1" t="str">
        <f aca="false">Transactions!H964</f>
        <v>POS</v>
      </c>
      <c r="G964" s="1" t="str">
        <f aca="false">Transactions!G964</f>
        <v>Cash Withdrawal</v>
      </c>
      <c r="H964" s="1" t="n">
        <f aca="false">IF(COUNTIFS($B$2:$B$1489,B964,$C$2:$C$1489,C964,$D$2:$D$1489,D964)&gt;6,1,0)</f>
        <v>0</v>
      </c>
      <c r="I964" s="1" t="n">
        <f aca="false">IF(AND(F964="Wire",E964&gt;=1000,MOD(E964,1000)=0),1,0)</f>
        <v>0</v>
      </c>
      <c r="J964" s="1" t="n">
        <f aca="false">IF(AND(F964="ATM",E964&gt;2000,D964&lt;=4),1,0)</f>
        <v>0</v>
      </c>
      <c r="K964" s="1" t="n">
        <f aca="false">IF(COUNTIF('SQL Findings'!$A$4:$A$18,B964)&gt;0,1,0)</f>
        <v>0</v>
      </c>
      <c r="L964" s="1" t="n">
        <f aca="false">SUM(H964:K964)</f>
        <v>0</v>
      </c>
      <c r="M964" s="1" t="str">
        <f aca="false">IF(L964&gt;=2,"High",IF(L964=1,"Medium","Low"))</f>
        <v>Low</v>
      </c>
    </row>
    <row r="965" customFormat="false" ht="15" hidden="false" customHeight="true" outlineLevel="0" collapsed="false">
      <c r="A965" s="1" t="str">
        <f aca="false">Transactions!A965</f>
        <v>TXN501146</v>
      </c>
      <c r="B965" s="1" t="str">
        <f aca="false">Transactions!B965</f>
        <v>ACC1050</v>
      </c>
      <c r="C965" s="1" t="str">
        <f aca="false">Transactions!I965</f>
        <v>2026-02-28</v>
      </c>
      <c r="D965" s="1" t="n">
        <f aca="false">Transactions!J965</f>
        <v>15</v>
      </c>
      <c r="E965" s="1" t="n">
        <f aca="false">Transactions!D965</f>
        <v>67.63</v>
      </c>
      <c r="F965" s="1" t="str">
        <f aca="false">Transactions!H965</f>
        <v>POS</v>
      </c>
      <c r="G965" s="1" t="str">
        <f aca="false">Transactions!G965</f>
        <v>Electronics</v>
      </c>
      <c r="H965" s="1" t="n">
        <f aca="false">IF(COUNTIFS($B$2:$B$1489,B965,$C$2:$C$1489,C965,$D$2:$D$1489,D965)&gt;6,1,0)</f>
        <v>0</v>
      </c>
      <c r="I965" s="1" t="n">
        <f aca="false">IF(AND(F965="Wire",E965&gt;=1000,MOD(E965,1000)=0),1,0)</f>
        <v>0</v>
      </c>
      <c r="J965" s="1" t="n">
        <f aca="false">IF(AND(F965="ATM",E965&gt;2000,D965&lt;=4),1,0)</f>
        <v>0</v>
      </c>
      <c r="K965" s="1" t="n">
        <f aca="false">IF(COUNTIF('SQL Findings'!$A$4:$A$18,B965)&gt;0,1,0)</f>
        <v>0</v>
      </c>
      <c r="L965" s="1" t="n">
        <f aca="false">SUM(H965:K965)</f>
        <v>0</v>
      </c>
      <c r="M965" s="1" t="str">
        <f aca="false">IF(L965&gt;=2,"High",IF(L965=1,"Medium","Low"))</f>
        <v>Low</v>
      </c>
    </row>
    <row r="966" customFormat="false" ht="15" hidden="false" customHeight="true" outlineLevel="0" collapsed="false">
      <c r="A966" s="1" t="str">
        <f aca="false">Transactions!A966</f>
        <v>TXN500468</v>
      </c>
      <c r="B966" s="1" t="str">
        <f aca="false">Transactions!B966</f>
        <v>ACC1021</v>
      </c>
      <c r="C966" s="1" t="str">
        <f aca="false">Transactions!I966</f>
        <v>2026-02-28</v>
      </c>
      <c r="D966" s="1" t="n">
        <f aca="false">Transactions!J966</f>
        <v>15</v>
      </c>
      <c r="E966" s="1" t="n">
        <f aca="false">Transactions!D966</f>
        <v>131.86</v>
      </c>
      <c r="F966" s="1" t="str">
        <f aca="false">Transactions!H966</f>
        <v>Online</v>
      </c>
      <c r="G966" s="1" t="str">
        <f aca="false">Transactions!G966</f>
        <v>Cash Withdrawal</v>
      </c>
      <c r="H966" s="1" t="n">
        <f aca="false">IF(COUNTIFS($B$2:$B$1489,B966,$C$2:$C$1489,C966,$D$2:$D$1489,D966)&gt;6,1,0)</f>
        <v>0</v>
      </c>
      <c r="I966" s="1" t="n">
        <f aca="false">IF(AND(F966="Wire",E966&gt;=1000,MOD(E966,1000)=0),1,0)</f>
        <v>0</v>
      </c>
      <c r="J966" s="1" t="n">
        <f aca="false">IF(AND(F966="ATM",E966&gt;2000,D966&lt;=4),1,0)</f>
        <v>0</v>
      </c>
      <c r="K966" s="1" t="n">
        <f aca="false">IF(COUNTIF('SQL Findings'!$A$4:$A$18,B966)&gt;0,1,0)</f>
        <v>0</v>
      </c>
      <c r="L966" s="1" t="n">
        <f aca="false">SUM(H966:K966)</f>
        <v>0</v>
      </c>
      <c r="M966" s="1" t="str">
        <f aca="false">IF(L966&gt;=2,"High",IF(L966=1,"Medium","Low"))</f>
        <v>Low</v>
      </c>
    </row>
    <row r="967" customFormat="false" ht="15" hidden="false" customHeight="true" outlineLevel="0" collapsed="false">
      <c r="A967" s="1" t="str">
        <f aca="false">Transactions!A967</f>
        <v>TXN500292</v>
      </c>
      <c r="B967" s="1" t="str">
        <f aca="false">Transactions!B967</f>
        <v>ACC1012</v>
      </c>
      <c r="C967" s="1" t="str">
        <f aca="false">Transactions!I967</f>
        <v>2026-02-28</v>
      </c>
      <c r="D967" s="1" t="n">
        <f aca="false">Transactions!J967</f>
        <v>17</v>
      </c>
      <c r="E967" s="1" t="n">
        <f aca="false">Transactions!D967</f>
        <v>42.79</v>
      </c>
      <c r="F967" s="1" t="str">
        <f aca="false">Transactions!H967</f>
        <v>POS</v>
      </c>
      <c r="G967" s="1" t="str">
        <f aca="false">Transactions!G967</f>
        <v>Cash Withdrawal</v>
      </c>
      <c r="H967" s="1" t="n">
        <f aca="false">IF(COUNTIFS($B$2:$B$1489,B967,$C$2:$C$1489,C967,$D$2:$D$1489,D967)&gt;6,1,0)</f>
        <v>0</v>
      </c>
      <c r="I967" s="1" t="n">
        <f aca="false">IF(AND(F967="Wire",E967&gt;=1000,MOD(E967,1000)=0),1,0)</f>
        <v>0</v>
      </c>
      <c r="J967" s="1" t="n">
        <f aca="false">IF(AND(F967="ATM",E967&gt;2000,D967&lt;=4),1,0)</f>
        <v>0</v>
      </c>
      <c r="K967" s="1" t="n">
        <f aca="false">IF(COUNTIF('SQL Findings'!$A$4:$A$18,B967)&gt;0,1,0)</f>
        <v>0</v>
      </c>
      <c r="L967" s="1" t="n">
        <f aca="false">SUM(H967:K967)</f>
        <v>0</v>
      </c>
      <c r="M967" s="1" t="str">
        <f aca="false">IF(L967&gt;=2,"High",IF(L967=1,"Medium","Low"))</f>
        <v>Low</v>
      </c>
    </row>
    <row r="968" customFormat="false" ht="15" hidden="false" customHeight="true" outlineLevel="0" collapsed="false">
      <c r="A968" s="1" t="str">
        <f aca="false">Transactions!A968</f>
        <v>TXN501264</v>
      </c>
      <c r="B968" s="1" t="str">
        <f aca="false">Transactions!B968</f>
        <v>ACC1055</v>
      </c>
      <c r="C968" s="1" t="str">
        <f aca="false">Transactions!I968</f>
        <v>2026-02-28</v>
      </c>
      <c r="D968" s="1" t="n">
        <f aca="false">Transactions!J968</f>
        <v>18</v>
      </c>
      <c r="E968" s="1" t="n">
        <f aca="false">Transactions!D968</f>
        <v>29.12</v>
      </c>
      <c r="F968" s="1" t="str">
        <f aca="false">Transactions!H968</f>
        <v>Online</v>
      </c>
      <c r="G968" s="1" t="str">
        <f aca="false">Transactions!G968</f>
        <v>Cash Withdrawal</v>
      </c>
      <c r="H968" s="1" t="n">
        <f aca="false">IF(COUNTIFS($B$2:$B$1489,B968,$C$2:$C$1489,C968,$D$2:$D$1489,D968)&gt;6,1,0)</f>
        <v>0</v>
      </c>
      <c r="I968" s="1" t="n">
        <f aca="false">IF(AND(F968="Wire",E968&gt;=1000,MOD(E968,1000)=0),1,0)</f>
        <v>0</v>
      </c>
      <c r="J968" s="1" t="n">
        <f aca="false">IF(AND(F968="ATM",E968&gt;2000,D968&lt;=4),1,0)</f>
        <v>0</v>
      </c>
      <c r="K968" s="1" t="n">
        <f aca="false">IF(COUNTIF('SQL Findings'!$A$4:$A$18,B968)&gt;0,1,0)</f>
        <v>1</v>
      </c>
      <c r="L968" s="1" t="n">
        <f aca="false">SUM(H968:K968)</f>
        <v>1</v>
      </c>
      <c r="M968" s="1" t="str">
        <f aca="false">IF(L968&gt;=2,"High",IF(L968=1,"Medium","Low"))</f>
        <v>Medium</v>
      </c>
    </row>
    <row r="969" customFormat="false" ht="15" hidden="false" customHeight="true" outlineLevel="0" collapsed="false">
      <c r="A969" s="1" t="str">
        <f aca="false">Transactions!A969</f>
        <v>TXN500289</v>
      </c>
      <c r="B969" s="1" t="str">
        <f aca="false">Transactions!B969</f>
        <v>ACC1012</v>
      </c>
      <c r="C969" s="1" t="str">
        <f aca="false">Transactions!I969</f>
        <v>2026-02-28</v>
      </c>
      <c r="D969" s="1" t="n">
        <f aca="false">Transactions!J969</f>
        <v>20</v>
      </c>
      <c r="E969" s="1" t="n">
        <f aca="false">Transactions!D969</f>
        <v>85.87</v>
      </c>
      <c r="F969" s="1" t="str">
        <f aca="false">Transactions!H969</f>
        <v>ATM</v>
      </c>
      <c r="G969" s="1" t="str">
        <f aca="false">Transactions!G969</f>
        <v>Cash Withdrawal</v>
      </c>
      <c r="H969" s="1" t="n">
        <f aca="false">IF(COUNTIFS($B$2:$B$1489,B969,$C$2:$C$1489,C969,$D$2:$D$1489,D969)&gt;6,1,0)</f>
        <v>0</v>
      </c>
      <c r="I969" s="1" t="n">
        <f aca="false">IF(AND(F969="Wire",E969&gt;=1000,MOD(E969,1000)=0),1,0)</f>
        <v>0</v>
      </c>
      <c r="J969" s="1" t="n">
        <f aca="false">IF(AND(F969="ATM",E969&gt;2000,D969&lt;=4),1,0)</f>
        <v>0</v>
      </c>
      <c r="K969" s="1" t="n">
        <f aca="false">IF(COUNTIF('SQL Findings'!$A$4:$A$18,B969)&gt;0,1,0)</f>
        <v>0</v>
      </c>
      <c r="L969" s="1" t="n">
        <f aca="false">SUM(H969:K969)</f>
        <v>0</v>
      </c>
      <c r="M969" s="1" t="str">
        <f aca="false">IF(L969&gt;=2,"High",IF(L969=1,"Medium","Low"))</f>
        <v>Low</v>
      </c>
    </row>
    <row r="970" customFormat="false" ht="15" hidden="false" customHeight="true" outlineLevel="0" collapsed="false">
      <c r="A970" s="1" t="str">
        <f aca="false">Transactions!A970</f>
        <v>TXN501224</v>
      </c>
      <c r="B970" s="1" t="str">
        <f aca="false">Transactions!B970</f>
        <v>ACC1054</v>
      </c>
      <c r="C970" s="1" t="str">
        <f aca="false">Transactions!I970</f>
        <v>2026-03-01</v>
      </c>
      <c r="D970" s="1" t="n">
        <f aca="false">Transactions!J970</f>
        <v>6</v>
      </c>
      <c r="E970" s="1" t="n">
        <f aca="false">Transactions!D970</f>
        <v>96.78</v>
      </c>
      <c r="F970" s="1" t="str">
        <f aca="false">Transactions!H970</f>
        <v>ATM</v>
      </c>
      <c r="G970" s="1" t="str">
        <f aca="false">Transactions!G970</f>
        <v>Retail</v>
      </c>
      <c r="H970" s="1" t="n">
        <f aca="false">IF(COUNTIFS($B$2:$B$1489,B970,$C$2:$C$1489,C970,$D$2:$D$1489,D970)&gt;6,1,0)</f>
        <v>0</v>
      </c>
      <c r="I970" s="1" t="n">
        <f aca="false">IF(AND(F970="Wire",E970&gt;=1000,MOD(E970,1000)=0),1,0)</f>
        <v>0</v>
      </c>
      <c r="J970" s="1" t="n">
        <f aca="false">IF(AND(F970="ATM",E970&gt;2000,D970&lt;=4),1,0)</f>
        <v>0</v>
      </c>
      <c r="K970" s="1" t="n">
        <f aca="false">IF(COUNTIF('SQL Findings'!$A$4:$A$18,B970)&gt;0,1,0)</f>
        <v>0</v>
      </c>
      <c r="L970" s="1" t="n">
        <f aca="false">SUM(H970:K970)</f>
        <v>0</v>
      </c>
      <c r="M970" s="1" t="str">
        <f aca="false">IF(L970&gt;=2,"High",IF(L970=1,"Medium","Low"))</f>
        <v>Low</v>
      </c>
    </row>
    <row r="971" customFormat="false" ht="15" hidden="false" customHeight="true" outlineLevel="0" collapsed="false">
      <c r="A971" s="1" t="str">
        <f aca="false">Transactions!A971</f>
        <v>TXN500804</v>
      </c>
      <c r="B971" s="1" t="str">
        <f aca="false">Transactions!B971</f>
        <v>ACC1034</v>
      </c>
      <c r="C971" s="1" t="str">
        <f aca="false">Transactions!I971</f>
        <v>2026-03-01</v>
      </c>
      <c r="D971" s="1" t="n">
        <f aca="false">Transactions!J971</f>
        <v>8</v>
      </c>
      <c r="E971" s="1" t="n">
        <f aca="false">Transactions!D971</f>
        <v>43.99</v>
      </c>
      <c r="F971" s="1" t="str">
        <f aca="false">Transactions!H971</f>
        <v>ATM</v>
      </c>
      <c r="G971" s="1" t="str">
        <f aca="false">Transactions!G971</f>
        <v>Wire Transfer</v>
      </c>
      <c r="H971" s="1" t="n">
        <f aca="false">IF(COUNTIFS($B$2:$B$1489,B971,$C$2:$C$1489,C971,$D$2:$D$1489,D971)&gt;6,1,0)</f>
        <v>0</v>
      </c>
      <c r="I971" s="1" t="n">
        <f aca="false">IF(AND(F971="Wire",E971&gt;=1000,MOD(E971,1000)=0),1,0)</f>
        <v>0</v>
      </c>
      <c r="J971" s="1" t="n">
        <f aca="false">IF(AND(F971="ATM",E971&gt;2000,D971&lt;=4),1,0)</f>
        <v>0</v>
      </c>
      <c r="K971" s="1" t="n">
        <f aca="false">IF(COUNTIF('SQL Findings'!$A$4:$A$18,B971)&gt;0,1,0)</f>
        <v>0</v>
      </c>
      <c r="L971" s="1" t="n">
        <f aca="false">SUM(H971:K971)</f>
        <v>0</v>
      </c>
      <c r="M971" s="1" t="str">
        <f aca="false">IF(L971&gt;=2,"High",IF(L971=1,"Medium","Low"))</f>
        <v>Low</v>
      </c>
    </row>
    <row r="972" customFormat="false" ht="15" hidden="false" customHeight="true" outlineLevel="0" collapsed="false">
      <c r="A972" s="1" t="str">
        <f aca="false">Transactions!A972</f>
        <v>TXN500763</v>
      </c>
      <c r="B972" s="1" t="str">
        <f aca="false">Transactions!B972</f>
        <v>ACC1033</v>
      </c>
      <c r="C972" s="1" t="str">
        <f aca="false">Transactions!I972</f>
        <v>2026-03-01</v>
      </c>
      <c r="D972" s="1" t="n">
        <f aca="false">Transactions!J972</f>
        <v>8</v>
      </c>
      <c r="E972" s="1" t="n">
        <f aca="false">Transactions!D972</f>
        <v>667.86</v>
      </c>
      <c r="F972" s="1" t="str">
        <f aca="false">Transactions!H972</f>
        <v>ATM</v>
      </c>
      <c r="G972" s="1" t="str">
        <f aca="false">Transactions!G972</f>
        <v>Utilities</v>
      </c>
      <c r="H972" s="1" t="n">
        <f aca="false">IF(COUNTIFS($B$2:$B$1489,B972,$C$2:$C$1489,C972,$D$2:$D$1489,D972)&gt;6,1,0)</f>
        <v>0</v>
      </c>
      <c r="I972" s="1" t="n">
        <f aca="false">IF(AND(F972="Wire",E972&gt;=1000,MOD(E972,1000)=0),1,0)</f>
        <v>0</v>
      </c>
      <c r="J972" s="1" t="n">
        <f aca="false">IF(AND(F972="ATM",E972&gt;2000,D972&lt;=4),1,0)</f>
        <v>0</v>
      </c>
      <c r="K972" s="1" t="n">
        <f aca="false">IF(COUNTIF('SQL Findings'!$A$4:$A$18,B972)&gt;0,1,0)</f>
        <v>0</v>
      </c>
      <c r="L972" s="1" t="n">
        <f aca="false">SUM(H972:K972)</f>
        <v>0</v>
      </c>
      <c r="M972" s="1" t="str">
        <f aca="false">IF(L972&gt;=2,"High",IF(L972=1,"Medium","Low"))</f>
        <v>Low</v>
      </c>
    </row>
    <row r="973" customFormat="false" ht="15" hidden="false" customHeight="true" outlineLevel="0" collapsed="false">
      <c r="A973" s="1" t="str">
        <f aca="false">Transactions!A973</f>
        <v>TXN501127</v>
      </c>
      <c r="B973" s="1" t="str">
        <f aca="false">Transactions!B973</f>
        <v>ACC1049</v>
      </c>
      <c r="C973" s="1" t="str">
        <f aca="false">Transactions!I973</f>
        <v>2026-03-01</v>
      </c>
      <c r="D973" s="1" t="n">
        <f aca="false">Transactions!J973</f>
        <v>8</v>
      </c>
      <c r="E973" s="1" t="n">
        <f aca="false">Transactions!D973</f>
        <v>87.56</v>
      </c>
      <c r="F973" s="1" t="str">
        <f aca="false">Transactions!H973</f>
        <v>POS</v>
      </c>
      <c r="G973" s="1" t="str">
        <f aca="false">Transactions!G973</f>
        <v>Travel</v>
      </c>
      <c r="H973" s="1" t="n">
        <f aca="false">IF(COUNTIFS($B$2:$B$1489,B973,$C$2:$C$1489,C973,$D$2:$D$1489,D973)&gt;6,1,0)</f>
        <v>0</v>
      </c>
      <c r="I973" s="1" t="n">
        <f aca="false">IF(AND(F973="Wire",E973&gt;=1000,MOD(E973,1000)=0),1,0)</f>
        <v>0</v>
      </c>
      <c r="J973" s="1" t="n">
        <f aca="false">IF(AND(F973="ATM",E973&gt;2000,D973&lt;=4),1,0)</f>
        <v>0</v>
      </c>
      <c r="K973" s="1" t="n">
        <f aca="false">IF(COUNTIF('SQL Findings'!$A$4:$A$18,B973)&gt;0,1,0)</f>
        <v>0</v>
      </c>
      <c r="L973" s="1" t="n">
        <f aca="false">SUM(H973:K973)</f>
        <v>0</v>
      </c>
      <c r="M973" s="1" t="str">
        <f aca="false">IF(L973&gt;=2,"High",IF(L973=1,"Medium","Low"))</f>
        <v>Low</v>
      </c>
    </row>
    <row r="974" customFormat="false" ht="15" hidden="false" customHeight="true" outlineLevel="0" collapsed="false">
      <c r="A974" s="1" t="str">
        <f aca="false">Transactions!A974</f>
        <v>TXN500971</v>
      </c>
      <c r="B974" s="1" t="str">
        <f aca="false">Transactions!B974</f>
        <v>ACC1042</v>
      </c>
      <c r="C974" s="1" t="str">
        <f aca="false">Transactions!I974</f>
        <v>2026-03-01</v>
      </c>
      <c r="D974" s="1" t="n">
        <f aca="false">Transactions!J974</f>
        <v>12</v>
      </c>
      <c r="E974" s="1" t="n">
        <f aca="false">Transactions!D974</f>
        <v>74.84</v>
      </c>
      <c r="F974" s="1" t="str">
        <f aca="false">Transactions!H974</f>
        <v>Online</v>
      </c>
      <c r="G974" s="1" t="str">
        <f aca="false">Transactions!G974</f>
        <v>Wire Transfer</v>
      </c>
      <c r="H974" s="1" t="n">
        <f aca="false">IF(COUNTIFS($B$2:$B$1489,B974,$C$2:$C$1489,C974,$D$2:$D$1489,D974)&gt;6,1,0)</f>
        <v>0</v>
      </c>
      <c r="I974" s="1" t="n">
        <f aca="false">IF(AND(F974="Wire",E974&gt;=1000,MOD(E974,1000)=0),1,0)</f>
        <v>0</v>
      </c>
      <c r="J974" s="1" t="n">
        <f aca="false">IF(AND(F974="ATM",E974&gt;2000,D974&lt;=4),1,0)</f>
        <v>0</v>
      </c>
      <c r="K974" s="1" t="n">
        <f aca="false">IF(COUNTIF('SQL Findings'!$A$4:$A$18,B974)&gt;0,1,0)</f>
        <v>1</v>
      </c>
      <c r="L974" s="1" t="n">
        <f aca="false">SUM(H974:K974)</f>
        <v>1</v>
      </c>
      <c r="M974" s="1" t="str">
        <f aca="false">IF(L974&gt;=2,"High",IF(L974=1,"Medium","Low"))</f>
        <v>Medium</v>
      </c>
    </row>
    <row r="975" customFormat="false" ht="15" hidden="false" customHeight="true" outlineLevel="0" collapsed="false">
      <c r="A975" s="1" t="str">
        <f aca="false">Transactions!A975</f>
        <v>TXN500014</v>
      </c>
      <c r="B975" s="1" t="str">
        <f aca="false">Transactions!B975</f>
        <v>ACC1000</v>
      </c>
      <c r="C975" s="1" t="str">
        <f aca="false">Transactions!I975</f>
        <v>2026-03-01</v>
      </c>
      <c r="D975" s="1" t="n">
        <f aca="false">Transactions!J975</f>
        <v>12</v>
      </c>
      <c r="E975" s="1" t="n">
        <f aca="false">Transactions!D975</f>
        <v>11.92</v>
      </c>
      <c r="F975" s="1" t="str">
        <f aca="false">Transactions!H975</f>
        <v>ATM</v>
      </c>
      <c r="G975" s="1" t="str">
        <f aca="false">Transactions!G975</f>
        <v>Retail</v>
      </c>
      <c r="H975" s="1" t="n">
        <f aca="false">IF(COUNTIFS($B$2:$B$1489,B975,$C$2:$C$1489,C975,$D$2:$D$1489,D975)&gt;6,1,0)</f>
        <v>0</v>
      </c>
      <c r="I975" s="1" t="n">
        <f aca="false">IF(AND(F975="Wire",E975&gt;=1000,MOD(E975,1000)=0),1,0)</f>
        <v>0</v>
      </c>
      <c r="J975" s="1" t="n">
        <f aca="false">IF(AND(F975="ATM",E975&gt;2000,D975&lt;=4),1,0)</f>
        <v>0</v>
      </c>
      <c r="K975" s="1" t="n">
        <f aca="false">IF(COUNTIF('SQL Findings'!$A$4:$A$18,B975)&gt;0,1,0)</f>
        <v>1</v>
      </c>
      <c r="L975" s="1" t="n">
        <f aca="false">SUM(H975:K975)</f>
        <v>1</v>
      </c>
      <c r="M975" s="1" t="str">
        <f aca="false">IF(L975&gt;=2,"High",IF(L975=1,"Medium","Low"))</f>
        <v>Medium</v>
      </c>
    </row>
    <row r="976" customFormat="false" ht="15" hidden="false" customHeight="true" outlineLevel="0" collapsed="false">
      <c r="A976" s="1" t="str">
        <f aca="false">Transactions!A976</f>
        <v>TXN501188</v>
      </c>
      <c r="B976" s="1" t="str">
        <f aca="false">Transactions!B976</f>
        <v>ACC1052</v>
      </c>
      <c r="C976" s="1" t="str">
        <f aca="false">Transactions!I976</f>
        <v>2026-03-01</v>
      </c>
      <c r="D976" s="1" t="n">
        <f aca="false">Transactions!J976</f>
        <v>14</v>
      </c>
      <c r="E976" s="1" t="n">
        <f aca="false">Transactions!D976</f>
        <v>54.48</v>
      </c>
      <c r="F976" s="1" t="str">
        <f aca="false">Transactions!H976</f>
        <v>Online</v>
      </c>
      <c r="G976" s="1" t="str">
        <f aca="false">Transactions!G976</f>
        <v>Electronics</v>
      </c>
      <c r="H976" s="1" t="n">
        <f aca="false">IF(COUNTIFS($B$2:$B$1489,B976,$C$2:$C$1489,C976,$D$2:$D$1489,D976)&gt;6,1,0)</f>
        <v>0</v>
      </c>
      <c r="I976" s="1" t="n">
        <f aca="false">IF(AND(F976="Wire",E976&gt;=1000,MOD(E976,1000)=0),1,0)</f>
        <v>0</v>
      </c>
      <c r="J976" s="1" t="n">
        <f aca="false">IF(AND(F976="ATM",E976&gt;2000,D976&lt;=4),1,0)</f>
        <v>0</v>
      </c>
      <c r="K976" s="1" t="n">
        <f aca="false">IF(COUNTIF('SQL Findings'!$A$4:$A$18,B976)&gt;0,1,0)</f>
        <v>0</v>
      </c>
      <c r="L976" s="1" t="n">
        <f aca="false">SUM(H976:K976)</f>
        <v>0</v>
      </c>
      <c r="M976" s="1" t="str">
        <f aca="false">IF(L976&gt;=2,"High",IF(L976=1,"Medium","Low"))</f>
        <v>Low</v>
      </c>
    </row>
    <row r="977" customFormat="false" ht="15" hidden="false" customHeight="true" outlineLevel="0" collapsed="false">
      <c r="A977" s="1" t="str">
        <f aca="false">Transactions!A977</f>
        <v>TXN500954</v>
      </c>
      <c r="B977" s="1" t="str">
        <f aca="false">Transactions!B977</f>
        <v>ACC1041</v>
      </c>
      <c r="C977" s="1" t="str">
        <f aca="false">Transactions!I977</f>
        <v>2026-03-01</v>
      </c>
      <c r="D977" s="1" t="n">
        <f aca="false">Transactions!J977</f>
        <v>14</v>
      </c>
      <c r="E977" s="1" t="n">
        <f aca="false">Transactions!D977</f>
        <v>244.54</v>
      </c>
      <c r="F977" s="1" t="str">
        <f aca="false">Transactions!H977</f>
        <v>ATM</v>
      </c>
      <c r="G977" s="1" t="str">
        <f aca="false">Transactions!G977</f>
        <v>Utilities</v>
      </c>
      <c r="H977" s="1" t="n">
        <f aca="false">IF(COUNTIFS($B$2:$B$1489,B977,$C$2:$C$1489,C977,$D$2:$D$1489,D977)&gt;6,1,0)</f>
        <v>0</v>
      </c>
      <c r="I977" s="1" t="n">
        <f aca="false">IF(AND(F977="Wire",E977&gt;=1000,MOD(E977,1000)=0),1,0)</f>
        <v>0</v>
      </c>
      <c r="J977" s="1" t="n">
        <f aca="false">IF(AND(F977="ATM",E977&gt;2000,D977&lt;=4),1,0)</f>
        <v>0</v>
      </c>
      <c r="K977" s="1" t="n">
        <f aca="false">IF(COUNTIF('SQL Findings'!$A$4:$A$18,B977)&gt;0,1,0)</f>
        <v>1</v>
      </c>
      <c r="L977" s="1" t="n">
        <f aca="false">SUM(H977:K977)</f>
        <v>1</v>
      </c>
      <c r="M977" s="1" t="str">
        <f aca="false">IF(L977&gt;=2,"High",IF(L977=1,"Medium","Low"))</f>
        <v>Medium</v>
      </c>
    </row>
    <row r="978" customFormat="false" ht="15" hidden="false" customHeight="true" outlineLevel="0" collapsed="false">
      <c r="A978" s="1" t="str">
        <f aca="false">Transactions!A978</f>
        <v>TXN500477</v>
      </c>
      <c r="B978" s="1" t="str">
        <f aca="false">Transactions!B978</f>
        <v>ACC1021</v>
      </c>
      <c r="C978" s="1" t="str">
        <f aca="false">Transactions!I978</f>
        <v>2026-03-01</v>
      </c>
      <c r="D978" s="1" t="n">
        <f aca="false">Transactions!J978</f>
        <v>14</v>
      </c>
      <c r="E978" s="1" t="n">
        <f aca="false">Transactions!D978</f>
        <v>112.05</v>
      </c>
      <c r="F978" s="1" t="str">
        <f aca="false">Transactions!H978</f>
        <v>Online</v>
      </c>
      <c r="G978" s="1" t="str">
        <f aca="false">Transactions!G978</f>
        <v>Retail</v>
      </c>
      <c r="H978" s="1" t="n">
        <f aca="false">IF(COUNTIFS($B$2:$B$1489,B978,$C$2:$C$1489,C978,$D$2:$D$1489,D978)&gt;6,1,0)</f>
        <v>0</v>
      </c>
      <c r="I978" s="1" t="n">
        <f aca="false">IF(AND(F978="Wire",E978&gt;=1000,MOD(E978,1000)=0),1,0)</f>
        <v>0</v>
      </c>
      <c r="J978" s="1" t="n">
        <f aca="false">IF(AND(F978="ATM",E978&gt;2000,D978&lt;=4),1,0)</f>
        <v>0</v>
      </c>
      <c r="K978" s="1" t="n">
        <f aca="false">IF(COUNTIF('SQL Findings'!$A$4:$A$18,B978)&gt;0,1,0)</f>
        <v>0</v>
      </c>
      <c r="L978" s="1" t="n">
        <f aca="false">SUM(H978:K978)</f>
        <v>0</v>
      </c>
      <c r="M978" s="1" t="str">
        <f aca="false">IF(L978&gt;=2,"High",IF(L978=1,"Medium","Low"))</f>
        <v>Low</v>
      </c>
    </row>
    <row r="979" customFormat="false" ht="15" hidden="false" customHeight="true" outlineLevel="0" collapsed="false">
      <c r="A979" s="1" t="str">
        <f aca="false">Transactions!A979</f>
        <v>TXN501106</v>
      </c>
      <c r="B979" s="1" t="str">
        <f aca="false">Transactions!B979</f>
        <v>ACC1048</v>
      </c>
      <c r="C979" s="1" t="str">
        <f aca="false">Transactions!I979</f>
        <v>2026-03-01</v>
      </c>
      <c r="D979" s="1" t="n">
        <f aca="false">Transactions!J979</f>
        <v>15</v>
      </c>
      <c r="E979" s="1" t="n">
        <f aca="false">Transactions!D979</f>
        <v>26.16</v>
      </c>
      <c r="F979" s="1" t="str">
        <f aca="false">Transactions!H979</f>
        <v>POS</v>
      </c>
      <c r="G979" s="1" t="str">
        <f aca="false">Transactions!G979</f>
        <v>Cash Withdrawal</v>
      </c>
      <c r="H979" s="1" t="n">
        <f aca="false">IF(COUNTIFS($B$2:$B$1489,B979,$C$2:$C$1489,C979,$D$2:$D$1489,D979)&gt;6,1,0)</f>
        <v>0</v>
      </c>
      <c r="I979" s="1" t="n">
        <f aca="false">IF(AND(F979="Wire",E979&gt;=1000,MOD(E979,1000)=0),1,0)</f>
        <v>0</v>
      </c>
      <c r="J979" s="1" t="n">
        <f aca="false">IF(AND(F979="ATM",E979&gt;2000,D979&lt;=4),1,0)</f>
        <v>0</v>
      </c>
      <c r="K979" s="1" t="n">
        <f aca="false">IF(COUNTIF('SQL Findings'!$A$4:$A$18,B979)&gt;0,1,0)</f>
        <v>0</v>
      </c>
      <c r="L979" s="1" t="n">
        <f aca="false">SUM(H979:K979)</f>
        <v>0</v>
      </c>
      <c r="M979" s="1" t="str">
        <f aca="false">IF(L979&gt;=2,"High",IF(L979=1,"Medium","Low"))</f>
        <v>Low</v>
      </c>
    </row>
    <row r="980" customFormat="false" ht="15" hidden="false" customHeight="true" outlineLevel="0" collapsed="false">
      <c r="A980" s="1" t="str">
        <f aca="false">Transactions!A980</f>
        <v>TXN501280</v>
      </c>
      <c r="B980" s="1" t="str">
        <f aca="false">Transactions!B980</f>
        <v>ACC1056</v>
      </c>
      <c r="C980" s="1" t="str">
        <f aca="false">Transactions!I980</f>
        <v>2026-03-01</v>
      </c>
      <c r="D980" s="1" t="n">
        <f aca="false">Transactions!J980</f>
        <v>18</v>
      </c>
      <c r="E980" s="1" t="n">
        <f aca="false">Transactions!D980</f>
        <v>50.49</v>
      </c>
      <c r="F980" s="1" t="str">
        <f aca="false">Transactions!H980</f>
        <v>POS</v>
      </c>
      <c r="G980" s="1" t="str">
        <f aca="false">Transactions!G980</f>
        <v>Utilities</v>
      </c>
      <c r="H980" s="1" t="n">
        <f aca="false">IF(COUNTIFS($B$2:$B$1489,B980,$C$2:$C$1489,C980,$D$2:$D$1489,D980)&gt;6,1,0)</f>
        <v>0</v>
      </c>
      <c r="I980" s="1" t="n">
        <f aca="false">IF(AND(F980="Wire",E980&gt;=1000,MOD(E980,1000)=0),1,0)</f>
        <v>0</v>
      </c>
      <c r="J980" s="1" t="n">
        <f aca="false">IF(AND(F980="ATM",E980&gt;2000,D980&lt;=4),1,0)</f>
        <v>0</v>
      </c>
      <c r="K980" s="1" t="n">
        <f aca="false">IF(COUNTIF('SQL Findings'!$A$4:$A$18,B980)&gt;0,1,0)</f>
        <v>0</v>
      </c>
      <c r="L980" s="1" t="n">
        <f aca="false">SUM(H980:K980)</f>
        <v>0</v>
      </c>
      <c r="M980" s="1" t="str">
        <f aca="false">IF(L980&gt;=2,"High",IF(L980=1,"Medium","Low"))</f>
        <v>Low</v>
      </c>
    </row>
    <row r="981" customFormat="false" ht="15" hidden="false" customHeight="true" outlineLevel="0" collapsed="false">
      <c r="A981" s="1" t="str">
        <f aca="false">Transactions!A981</f>
        <v>TXN500227</v>
      </c>
      <c r="B981" s="1" t="str">
        <f aca="false">Transactions!B981</f>
        <v>ACC1009</v>
      </c>
      <c r="C981" s="1" t="str">
        <f aca="false">Transactions!I981</f>
        <v>2026-03-01</v>
      </c>
      <c r="D981" s="1" t="n">
        <f aca="false">Transactions!J981</f>
        <v>22</v>
      </c>
      <c r="E981" s="1" t="n">
        <f aca="false">Transactions!D981</f>
        <v>70.66</v>
      </c>
      <c r="F981" s="1" t="str">
        <f aca="false">Transactions!H981</f>
        <v>ATM</v>
      </c>
      <c r="G981" s="1" t="str">
        <f aca="false">Transactions!G981</f>
        <v>Dining</v>
      </c>
      <c r="H981" s="1" t="n">
        <f aca="false">IF(COUNTIFS($B$2:$B$1489,B981,$C$2:$C$1489,C981,$D$2:$D$1489,D981)&gt;6,1,0)</f>
        <v>0</v>
      </c>
      <c r="I981" s="1" t="n">
        <f aca="false">IF(AND(F981="Wire",E981&gt;=1000,MOD(E981,1000)=0),1,0)</f>
        <v>0</v>
      </c>
      <c r="J981" s="1" t="n">
        <f aca="false">IF(AND(F981="ATM",E981&gt;2000,D981&lt;=4),1,0)</f>
        <v>0</v>
      </c>
      <c r="K981" s="1" t="n">
        <f aca="false">IF(COUNTIF('SQL Findings'!$A$4:$A$18,B981)&gt;0,1,0)</f>
        <v>1</v>
      </c>
      <c r="L981" s="1" t="n">
        <f aca="false">SUM(H981:K981)</f>
        <v>1</v>
      </c>
      <c r="M981" s="1" t="str">
        <f aca="false">IF(L981&gt;=2,"High",IF(L981=1,"Medium","Low"))</f>
        <v>Medium</v>
      </c>
    </row>
    <row r="982" customFormat="false" ht="15" hidden="false" customHeight="true" outlineLevel="0" collapsed="false">
      <c r="A982" s="1" t="str">
        <f aca="false">Transactions!A982</f>
        <v>TXN500353</v>
      </c>
      <c r="B982" s="1" t="str">
        <f aca="false">Transactions!B982</f>
        <v>ACC1015</v>
      </c>
      <c r="C982" s="1" t="str">
        <f aca="false">Transactions!I982</f>
        <v>2026-03-01</v>
      </c>
      <c r="D982" s="1" t="n">
        <f aca="false">Transactions!J982</f>
        <v>23</v>
      </c>
      <c r="E982" s="1" t="n">
        <f aca="false">Transactions!D982</f>
        <v>144.3</v>
      </c>
      <c r="F982" s="1" t="str">
        <f aca="false">Transactions!H982</f>
        <v>POS</v>
      </c>
      <c r="G982" s="1" t="str">
        <f aca="false">Transactions!G982</f>
        <v>Travel</v>
      </c>
      <c r="H982" s="1" t="n">
        <f aca="false">IF(COUNTIFS($B$2:$B$1489,B982,$C$2:$C$1489,C982,$D$2:$D$1489,D982)&gt;6,1,0)</f>
        <v>0</v>
      </c>
      <c r="I982" s="1" t="n">
        <f aca="false">IF(AND(F982="Wire",E982&gt;=1000,MOD(E982,1000)=0),1,0)</f>
        <v>0</v>
      </c>
      <c r="J982" s="1" t="n">
        <f aca="false">IF(AND(F982="ATM",E982&gt;2000,D982&lt;=4),1,0)</f>
        <v>0</v>
      </c>
      <c r="K982" s="1" t="n">
        <f aca="false">IF(COUNTIF('SQL Findings'!$A$4:$A$18,B982)&gt;0,1,0)</f>
        <v>1</v>
      </c>
      <c r="L982" s="1" t="n">
        <f aca="false">SUM(H982:K982)</f>
        <v>1</v>
      </c>
      <c r="M982" s="1" t="str">
        <f aca="false">IF(L982&gt;=2,"High",IF(L982=1,"Medium","Low"))</f>
        <v>Medium</v>
      </c>
    </row>
    <row r="983" customFormat="false" ht="15" hidden="false" customHeight="true" outlineLevel="0" collapsed="false">
      <c r="A983" s="1" t="str">
        <f aca="false">Transactions!A983</f>
        <v>TXN500349</v>
      </c>
      <c r="B983" s="1" t="str">
        <f aca="false">Transactions!B983</f>
        <v>ACC1015</v>
      </c>
      <c r="C983" s="1" t="str">
        <f aca="false">Transactions!I983</f>
        <v>2026-03-02</v>
      </c>
      <c r="D983" s="1" t="n">
        <f aca="false">Transactions!J983</f>
        <v>2</v>
      </c>
      <c r="E983" s="1" t="n">
        <f aca="false">Transactions!D983</f>
        <v>34.93</v>
      </c>
      <c r="F983" s="1" t="str">
        <f aca="false">Transactions!H983</f>
        <v>Online</v>
      </c>
      <c r="G983" s="1" t="str">
        <f aca="false">Transactions!G983</f>
        <v>Cash Withdrawal</v>
      </c>
      <c r="H983" s="1" t="n">
        <f aca="false">IF(COUNTIFS($B$2:$B$1489,B983,$C$2:$C$1489,C983,$D$2:$D$1489,D983)&gt;6,1,0)</f>
        <v>0</v>
      </c>
      <c r="I983" s="1" t="n">
        <f aca="false">IF(AND(F983="Wire",E983&gt;=1000,MOD(E983,1000)=0),1,0)</f>
        <v>0</v>
      </c>
      <c r="J983" s="1" t="n">
        <f aca="false">IF(AND(F983="ATM",E983&gt;2000,D983&lt;=4),1,0)</f>
        <v>0</v>
      </c>
      <c r="K983" s="1" t="n">
        <f aca="false">IF(COUNTIF('SQL Findings'!$A$4:$A$18,B983)&gt;0,1,0)</f>
        <v>1</v>
      </c>
      <c r="L983" s="1" t="n">
        <f aca="false">SUM(H983:K983)</f>
        <v>1</v>
      </c>
      <c r="M983" s="1" t="str">
        <f aca="false">IF(L983&gt;=2,"High",IF(L983=1,"Medium","Low"))</f>
        <v>Medium</v>
      </c>
    </row>
    <row r="984" customFormat="false" ht="15" hidden="false" customHeight="true" outlineLevel="0" collapsed="false">
      <c r="A984" s="1" t="str">
        <f aca="false">Transactions!A984</f>
        <v>TXN500263</v>
      </c>
      <c r="B984" s="1" t="str">
        <f aca="false">Transactions!B984</f>
        <v>ACC1011</v>
      </c>
      <c r="C984" s="1" t="str">
        <f aca="false">Transactions!I984</f>
        <v>2026-03-02</v>
      </c>
      <c r="D984" s="1" t="n">
        <f aca="false">Transactions!J984</f>
        <v>3</v>
      </c>
      <c r="E984" s="1" t="n">
        <f aca="false">Transactions!D984</f>
        <v>3.61</v>
      </c>
      <c r="F984" s="1" t="str">
        <f aca="false">Transactions!H984</f>
        <v>POS</v>
      </c>
      <c r="G984" s="1" t="str">
        <f aca="false">Transactions!G984</f>
        <v>Electronics</v>
      </c>
      <c r="H984" s="1" t="n">
        <f aca="false">IF(COUNTIFS($B$2:$B$1489,B984,$C$2:$C$1489,C984,$D$2:$D$1489,D984)&gt;6,1,0)</f>
        <v>0</v>
      </c>
      <c r="I984" s="1" t="n">
        <f aca="false">IF(AND(F984="Wire",E984&gt;=1000,MOD(E984,1000)=0),1,0)</f>
        <v>0</v>
      </c>
      <c r="J984" s="1" t="n">
        <f aca="false">IF(AND(F984="ATM",E984&gt;2000,D984&lt;=4),1,0)</f>
        <v>0</v>
      </c>
      <c r="K984" s="1" t="n">
        <f aca="false">IF(COUNTIF('SQL Findings'!$A$4:$A$18,B984)&gt;0,1,0)</f>
        <v>0</v>
      </c>
      <c r="L984" s="1" t="n">
        <f aca="false">SUM(H984:K984)</f>
        <v>0</v>
      </c>
      <c r="M984" s="1" t="str">
        <f aca="false">IF(L984&gt;=2,"High",IF(L984=1,"Medium","Low"))</f>
        <v>Low</v>
      </c>
    </row>
    <row r="985" customFormat="false" ht="15" hidden="false" customHeight="true" outlineLevel="0" collapsed="false">
      <c r="A985" s="1" t="str">
        <f aca="false">Transactions!A985</f>
        <v>TXN500447</v>
      </c>
      <c r="B985" s="1" t="str">
        <f aca="false">Transactions!B985</f>
        <v>ACC1020</v>
      </c>
      <c r="C985" s="1" t="str">
        <f aca="false">Transactions!I985</f>
        <v>2026-03-02</v>
      </c>
      <c r="D985" s="1" t="n">
        <f aca="false">Transactions!J985</f>
        <v>4</v>
      </c>
      <c r="E985" s="1" t="n">
        <f aca="false">Transactions!D985</f>
        <v>92.75</v>
      </c>
      <c r="F985" s="1" t="str">
        <f aca="false">Transactions!H985</f>
        <v>POS</v>
      </c>
      <c r="G985" s="1" t="str">
        <f aca="false">Transactions!G985</f>
        <v>Travel</v>
      </c>
      <c r="H985" s="1" t="n">
        <f aca="false">IF(COUNTIFS($B$2:$B$1489,B985,$C$2:$C$1489,C985,$D$2:$D$1489,D985)&gt;6,1,0)</f>
        <v>0</v>
      </c>
      <c r="I985" s="1" t="n">
        <f aca="false">IF(AND(F985="Wire",E985&gt;=1000,MOD(E985,1000)=0),1,0)</f>
        <v>0</v>
      </c>
      <c r="J985" s="1" t="n">
        <f aca="false">IF(AND(F985="ATM",E985&gt;2000,D985&lt;=4),1,0)</f>
        <v>0</v>
      </c>
      <c r="K985" s="1" t="n">
        <f aca="false">IF(COUNTIF('SQL Findings'!$A$4:$A$18,B985)&gt;0,1,0)</f>
        <v>0</v>
      </c>
      <c r="L985" s="1" t="n">
        <f aca="false">SUM(H985:K985)</f>
        <v>0</v>
      </c>
      <c r="M985" s="1" t="str">
        <f aca="false">IF(L985&gt;=2,"High",IF(L985=1,"Medium","Low"))</f>
        <v>Low</v>
      </c>
    </row>
    <row r="986" customFormat="false" ht="15" hidden="false" customHeight="true" outlineLevel="0" collapsed="false">
      <c r="A986" s="1" t="str">
        <f aca="false">Transactions!A986</f>
        <v>TXN500073</v>
      </c>
      <c r="B986" s="1" t="str">
        <f aca="false">Transactions!B986</f>
        <v>ACC1003</v>
      </c>
      <c r="C986" s="1" t="str">
        <f aca="false">Transactions!I986</f>
        <v>2026-03-02</v>
      </c>
      <c r="D986" s="1" t="n">
        <f aca="false">Transactions!J986</f>
        <v>7</v>
      </c>
      <c r="E986" s="1" t="n">
        <f aca="false">Transactions!D986</f>
        <v>64.57</v>
      </c>
      <c r="F986" s="1" t="str">
        <f aca="false">Transactions!H986</f>
        <v>Online</v>
      </c>
      <c r="G986" s="1" t="str">
        <f aca="false">Transactions!G986</f>
        <v>Online Marketplace</v>
      </c>
      <c r="H986" s="1" t="n">
        <f aca="false">IF(COUNTIFS($B$2:$B$1489,B986,$C$2:$C$1489,C986,$D$2:$D$1489,D986)&gt;6,1,0)</f>
        <v>0</v>
      </c>
      <c r="I986" s="1" t="n">
        <f aca="false">IF(AND(F986="Wire",E986&gt;=1000,MOD(E986,1000)=0),1,0)</f>
        <v>0</v>
      </c>
      <c r="J986" s="1" t="n">
        <f aca="false">IF(AND(F986="ATM",E986&gt;2000,D986&lt;=4),1,0)</f>
        <v>0</v>
      </c>
      <c r="K986" s="1" t="n">
        <f aca="false">IF(COUNTIF('SQL Findings'!$A$4:$A$18,B986)&gt;0,1,0)</f>
        <v>0</v>
      </c>
      <c r="L986" s="1" t="n">
        <f aca="false">SUM(H986:K986)</f>
        <v>0</v>
      </c>
      <c r="M986" s="1" t="str">
        <f aca="false">IF(L986&gt;=2,"High",IF(L986=1,"Medium","Low"))</f>
        <v>Low</v>
      </c>
    </row>
    <row r="987" customFormat="false" ht="15" hidden="false" customHeight="true" outlineLevel="0" collapsed="false">
      <c r="A987" s="1" t="str">
        <f aca="false">Transactions!A987</f>
        <v>TXN500174</v>
      </c>
      <c r="B987" s="1" t="str">
        <f aca="false">Transactions!B987</f>
        <v>ACC1007</v>
      </c>
      <c r="C987" s="1" t="str">
        <f aca="false">Transactions!I987</f>
        <v>2026-03-02</v>
      </c>
      <c r="D987" s="1" t="n">
        <f aca="false">Transactions!J987</f>
        <v>9</v>
      </c>
      <c r="E987" s="1" t="n">
        <f aca="false">Transactions!D987</f>
        <v>90.65</v>
      </c>
      <c r="F987" s="1" t="str">
        <f aca="false">Transactions!H987</f>
        <v>ATM</v>
      </c>
      <c r="G987" s="1" t="str">
        <f aca="false">Transactions!G987</f>
        <v>Cash Withdrawal</v>
      </c>
      <c r="H987" s="1" t="n">
        <f aca="false">IF(COUNTIFS($B$2:$B$1489,B987,$C$2:$C$1489,C987,$D$2:$D$1489,D987)&gt;6,1,0)</f>
        <v>0</v>
      </c>
      <c r="I987" s="1" t="n">
        <f aca="false">IF(AND(F987="Wire",E987&gt;=1000,MOD(E987,1000)=0),1,0)</f>
        <v>0</v>
      </c>
      <c r="J987" s="1" t="n">
        <f aca="false">IF(AND(F987="ATM",E987&gt;2000,D987&lt;=4),1,0)</f>
        <v>0</v>
      </c>
      <c r="K987" s="1" t="n">
        <f aca="false">IF(COUNTIF('SQL Findings'!$A$4:$A$18,B987)&gt;0,1,0)</f>
        <v>0</v>
      </c>
      <c r="L987" s="1" t="n">
        <f aca="false">SUM(H987:K987)</f>
        <v>0</v>
      </c>
      <c r="M987" s="1" t="str">
        <f aca="false">IF(L987&gt;=2,"High",IF(L987=1,"Medium","Low"))</f>
        <v>Low</v>
      </c>
    </row>
    <row r="988" customFormat="false" ht="15" hidden="false" customHeight="true" outlineLevel="0" collapsed="false">
      <c r="A988" s="1" t="str">
        <f aca="false">Transactions!A988</f>
        <v>TXN500449</v>
      </c>
      <c r="B988" s="1" t="str">
        <f aca="false">Transactions!B988</f>
        <v>ACC1020</v>
      </c>
      <c r="C988" s="1" t="str">
        <f aca="false">Transactions!I988</f>
        <v>2026-03-02</v>
      </c>
      <c r="D988" s="1" t="n">
        <f aca="false">Transactions!J988</f>
        <v>11</v>
      </c>
      <c r="E988" s="1" t="n">
        <f aca="false">Transactions!D988</f>
        <v>41.99</v>
      </c>
      <c r="F988" s="1" t="str">
        <f aca="false">Transactions!H988</f>
        <v>Online</v>
      </c>
      <c r="G988" s="1" t="str">
        <f aca="false">Transactions!G988</f>
        <v>Utilities</v>
      </c>
      <c r="H988" s="1" t="n">
        <f aca="false">IF(COUNTIFS($B$2:$B$1489,B988,$C$2:$C$1489,C988,$D$2:$D$1489,D988)&gt;6,1,0)</f>
        <v>0</v>
      </c>
      <c r="I988" s="1" t="n">
        <f aca="false">IF(AND(F988="Wire",E988&gt;=1000,MOD(E988,1000)=0),1,0)</f>
        <v>0</v>
      </c>
      <c r="J988" s="1" t="n">
        <f aca="false">IF(AND(F988="ATM",E988&gt;2000,D988&lt;=4),1,0)</f>
        <v>0</v>
      </c>
      <c r="K988" s="1" t="n">
        <f aca="false">IF(COUNTIF('SQL Findings'!$A$4:$A$18,B988)&gt;0,1,0)</f>
        <v>0</v>
      </c>
      <c r="L988" s="1" t="n">
        <f aca="false">SUM(H988:K988)</f>
        <v>0</v>
      </c>
      <c r="M988" s="1" t="str">
        <f aca="false">IF(L988&gt;=2,"High",IF(L988=1,"Medium","Low"))</f>
        <v>Low</v>
      </c>
    </row>
    <row r="989" customFormat="false" ht="15" hidden="false" customHeight="true" outlineLevel="0" collapsed="false">
      <c r="A989" s="1" t="str">
        <f aca="false">Transactions!A989</f>
        <v>TXN500720</v>
      </c>
      <c r="B989" s="1" t="str">
        <f aca="false">Transactions!B989</f>
        <v>ACC1031</v>
      </c>
      <c r="C989" s="1" t="str">
        <f aca="false">Transactions!I989</f>
        <v>2026-03-02</v>
      </c>
      <c r="D989" s="1" t="n">
        <f aca="false">Transactions!J989</f>
        <v>12</v>
      </c>
      <c r="E989" s="1" t="n">
        <f aca="false">Transactions!D989</f>
        <v>63.35</v>
      </c>
      <c r="F989" s="1" t="str">
        <f aca="false">Transactions!H989</f>
        <v>POS</v>
      </c>
      <c r="G989" s="1" t="str">
        <f aca="false">Transactions!G989</f>
        <v>Dining</v>
      </c>
      <c r="H989" s="1" t="n">
        <f aca="false">IF(COUNTIFS($B$2:$B$1489,B989,$C$2:$C$1489,C989,$D$2:$D$1489,D989)&gt;6,1,0)</f>
        <v>0</v>
      </c>
      <c r="I989" s="1" t="n">
        <f aca="false">IF(AND(F989="Wire",E989&gt;=1000,MOD(E989,1000)=0),1,0)</f>
        <v>0</v>
      </c>
      <c r="J989" s="1" t="n">
        <f aca="false">IF(AND(F989="ATM",E989&gt;2000,D989&lt;=4),1,0)</f>
        <v>0</v>
      </c>
      <c r="K989" s="1" t="n">
        <f aca="false">IF(COUNTIF('SQL Findings'!$A$4:$A$18,B989)&gt;0,1,0)</f>
        <v>0</v>
      </c>
      <c r="L989" s="1" t="n">
        <f aca="false">SUM(H989:K989)</f>
        <v>0</v>
      </c>
      <c r="M989" s="1" t="str">
        <f aca="false">IF(L989&gt;=2,"High",IF(L989=1,"Medium","Low"))</f>
        <v>Low</v>
      </c>
    </row>
    <row r="990" customFormat="false" ht="15" hidden="false" customHeight="true" outlineLevel="0" collapsed="false">
      <c r="A990" s="1" t="str">
        <f aca="false">Transactions!A990</f>
        <v>TXN500140</v>
      </c>
      <c r="B990" s="1" t="str">
        <f aca="false">Transactions!B990</f>
        <v>ACC1006</v>
      </c>
      <c r="C990" s="1" t="str">
        <f aca="false">Transactions!I990</f>
        <v>2026-03-02</v>
      </c>
      <c r="D990" s="1" t="n">
        <f aca="false">Transactions!J990</f>
        <v>14</v>
      </c>
      <c r="E990" s="1" t="n">
        <f aca="false">Transactions!D990</f>
        <v>22.03</v>
      </c>
      <c r="F990" s="1" t="str">
        <f aca="false">Transactions!H990</f>
        <v>POS</v>
      </c>
      <c r="G990" s="1" t="str">
        <f aca="false">Transactions!G990</f>
        <v>Online Marketplace</v>
      </c>
      <c r="H990" s="1" t="n">
        <f aca="false">IF(COUNTIFS($B$2:$B$1489,B990,$C$2:$C$1489,C990,$D$2:$D$1489,D990)&gt;6,1,0)</f>
        <v>0</v>
      </c>
      <c r="I990" s="1" t="n">
        <f aca="false">IF(AND(F990="Wire",E990&gt;=1000,MOD(E990,1000)=0),1,0)</f>
        <v>0</v>
      </c>
      <c r="J990" s="1" t="n">
        <f aca="false">IF(AND(F990="ATM",E990&gt;2000,D990&lt;=4),1,0)</f>
        <v>0</v>
      </c>
      <c r="K990" s="1" t="n">
        <f aca="false">IF(COUNTIF('SQL Findings'!$A$4:$A$18,B990)&gt;0,1,0)</f>
        <v>0</v>
      </c>
      <c r="L990" s="1" t="n">
        <f aca="false">SUM(H990:K990)</f>
        <v>0</v>
      </c>
      <c r="M990" s="1" t="str">
        <f aca="false">IF(L990&gt;=2,"High",IF(L990=1,"Medium","Low"))</f>
        <v>Low</v>
      </c>
    </row>
    <row r="991" customFormat="false" ht="15" hidden="false" customHeight="true" outlineLevel="0" collapsed="false">
      <c r="A991" s="1" t="str">
        <f aca="false">Transactions!A991</f>
        <v>TXN501334</v>
      </c>
      <c r="B991" s="1" t="str">
        <f aca="false">Transactions!B991</f>
        <v>ACC1058</v>
      </c>
      <c r="C991" s="1" t="str">
        <f aca="false">Transactions!I991</f>
        <v>2026-03-02</v>
      </c>
      <c r="D991" s="1" t="n">
        <f aca="false">Transactions!J991</f>
        <v>14</v>
      </c>
      <c r="E991" s="1" t="n">
        <f aca="false">Transactions!D991</f>
        <v>255.1</v>
      </c>
      <c r="F991" s="1" t="str">
        <f aca="false">Transactions!H991</f>
        <v>ATM</v>
      </c>
      <c r="G991" s="1" t="str">
        <f aca="false">Transactions!G991</f>
        <v>Electronics</v>
      </c>
      <c r="H991" s="1" t="n">
        <f aca="false">IF(COUNTIFS($B$2:$B$1489,B991,$C$2:$C$1489,C991,$D$2:$D$1489,D991)&gt;6,1,0)</f>
        <v>0</v>
      </c>
      <c r="I991" s="1" t="n">
        <f aca="false">IF(AND(F991="Wire",E991&gt;=1000,MOD(E991,1000)=0),1,0)</f>
        <v>0</v>
      </c>
      <c r="J991" s="1" t="n">
        <f aca="false">IF(AND(F991="ATM",E991&gt;2000,D991&lt;=4),1,0)</f>
        <v>0</v>
      </c>
      <c r="K991" s="1" t="n">
        <f aca="false">IF(COUNTIF('SQL Findings'!$A$4:$A$18,B991)&gt;0,1,0)</f>
        <v>0</v>
      </c>
      <c r="L991" s="1" t="n">
        <f aca="false">SUM(H991:K991)</f>
        <v>0</v>
      </c>
      <c r="M991" s="1" t="str">
        <f aca="false">IF(L991&gt;=2,"High",IF(L991=1,"Medium","Low"))</f>
        <v>Low</v>
      </c>
    </row>
    <row r="992" customFormat="false" ht="15" hidden="false" customHeight="true" outlineLevel="0" collapsed="false">
      <c r="A992" s="1" t="str">
        <f aca="false">Transactions!A992</f>
        <v>TXN500033</v>
      </c>
      <c r="B992" s="1" t="str">
        <f aca="false">Transactions!B992</f>
        <v>ACC1001</v>
      </c>
      <c r="C992" s="1" t="str">
        <f aca="false">Transactions!I992</f>
        <v>2026-03-02</v>
      </c>
      <c r="D992" s="1" t="n">
        <f aca="false">Transactions!J992</f>
        <v>16</v>
      </c>
      <c r="E992" s="1" t="n">
        <f aca="false">Transactions!D992</f>
        <v>65.88</v>
      </c>
      <c r="F992" s="1" t="str">
        <f aca="false">Transactions!H992</f>
        <v>POS</v>
      </c>
      <c r="G992" s="1" t="str">
        <f aca="false">Transactions!G992</f>
        <v>Electronics</v>
      </c>
      <c r="H992" s="1" t="n">
        <f aca="false">IF(COUNTIFS($B$2:$B$1489,B992,$C$2:$C$1489,C992,$D$2:$D$1489,D992)&gt;6,1,0)</f>
        <v>0</v>
      </c>
      <c r="I992" s="1" t="n">
        <f aca="false">IF(AND(F992="Wire",E992&gt;=1000,MOD(E992,1000)=0),1,0)</f>
        <v>0</v>
      </c>
      <c r="J992" s="1" t="n">
        <f aca="false">IF(AND(F992="ATM",E992&gt;2000,D992&lt;=4),1,0)</f>
        <v>0</v>
      </c>
      <c r="K992" s="1" t="n">
        <f aca="false">IF(COUNTIF('SQL Findings'!$A$4:$A$18,B992)&gt;0,1,0)</f>
        <v>1</v>
      </c>
      <c r="L992" s="1" t="n">
        <f aca="false">SUM(H992:K992)</f>
        <v>1</v>
      </c>
      <c r="M992" s="1" t="str">
        <f aca="false">IF(L992&gt;=2,"High",IF(L992=1,"Medium","Low"))</f>
        <v>Medium</v>
      </c>
    </row>
    <row r="993" customFormat="false" ht="15" hidden="false" customHeight="true" outlineLevel="0" collapsed="false">
      <c r="A993" s="1" t="str">
        <f aca="false">Transactions!A993</f>
        <v>TXN500200</v>
      </c>
      <c r="B993" s="1" t="str">
        <f aca="false">Transactions!B993</f>
        <v>ACC1008</v>
      </c>
      <c r="C993" s="1" t="str">
        <f aca="false">Transactions!I993</f>
        <v>2026-03-02</v>
      </c>
      <c r="D993" s="1" t="n">
        <f aca="false">Transactions!J993</f>
        <v>16</v>
      </c>
      <c r="E993" s="1" t="n">
        <f aca="false">Transactions!D993</f>
        <v>23.84</v>
      </c>
      <c r="F993" s="1" t="str">
        <f aca="false">Transactions!H993</f>
        <v>ATM</v>
      </c>
      <c r="G993" s="1" t="str">
        <f aca="false">Transactions!G993</f>
        <v>Cash Withdrawal</v>
      </c>
      <c r="H993" s="1" t="n">
        <f aca="false">IF(COUNTIFS($B$2:$B$1489,B993,$C$2:$C$1489,C993,$D$2:$D$1489,D993)&gt;6,1,0)</f>
        <v>0</v>
      </c>
      <c r="I993" s="1" t="n">
        <f aca="false">IF(AND(F993="Wire",E993&gt;=1000,MOD(E993,1000)=0),1,0)</f>
        <v>0</v>
      </c>
      <c r="J993" s="1" t="n">
        <f aca="false">IF(AND(F993="ATM",E993&gt;2000,D993&lt;=4),1,0)</f>
        <v>0</v>
      </c>
      <c r="K993" s="1" t="n">
        <f aca="false">IF(COUNTIF('SQL Findings'!$A$4:$A$18,B993)&gt;0,1,0)</f>
        <v>0</v>
      </c>
      <c r="L993" s="1" t="n">
        <f aca="false">SUM(H993:K993)</f>
        <v>0</v>
      </c>
      <c r="M993" s="1" t="str">
        <f aca="false">IF(L993&gt;=2,"High",IF(L993=1,"Medium","Low"))</f>
        <v>Low</v>
      </c>
    </row>
    <row r="994" customFormat="false" ht="15" hidden="false" customHeight="true" outlineLevel="0" collapsed="false">
      <c r="A994" s="1" t="str">
        <f aca="false">Transactions!A994</f>
        <v>TXN500513</v>
      </c>
      <c r="B994" s="1" t="str">
        <f aca="false">Transactions!B994</f>
        <v>ACC1023</v>
      </c>
      <c r="C994" s="1" t="str">
        <f aca="false">Transactions!I994</f>
        <v>2026-03-02</v>
      </c>
      <c r="D994" s="1" t="n">
        <f aca="false">Transactions!J994</f>
        <v>16</v>
      </c>
      <c r="E994" s="1" t="n">
        <f aca="false">Transactions!D994</f>
        <v>53.78</v>
      </c>
      <c r="F994" s="1" t="str">
        <f aca="false">Transactions!H994</f>
        <v>Online</v>
      </c>
      <c r="G994" s="1" t="str">
        <f aca="false">Transactions!G994</f>
        <v>Dining</v>
      </c>
      <c r="H994" s="1" t="n">
        <f aca="false">IF(COUNTIFS($B$2:$B$1489,B994,$C$2:$C$1489,C994,$D$2:$D$1489,D994)&gt;6,1,0)</f>
        <v>0</v>
      </c>
      <c r="I994" s="1" t="n">
        <f aca="false">IF(AND(F994="Wire",E994&gt;=1000,MOD(E994,1000)=0),1,0)</f>
        <v>0</v>
      </c>
      <c r="J994" s="1" t="n">
        <f aca="false">IF(AND(F994="ATM",E994&gt;2000,D994&lt;=4),1,0)</f>
        <v>0</v>
      </c>
      <c r="K994" s="1" t="n">
        <f aca="false">IF(COUNTIF('SQL Findings'!$A$4:$A$18,B994)&gt;0,1,0)</f>
        <v>0</v>
      </c>
      <c r="L994" s="1" t="n">
        <f aca="false">SUM(H994:K994)</f>
        <v>0</v>
      </c>
      <c r="M994" s="1" t="str">
        <f aca="false">IF(L994&gt;=2,"High",IF(L994=1,"Medium","Low"))</f>
        <v>Low</v>
      </c>
    </row>
    <row r="995" customFormat="false" ht="15" hidden="false" customHeight="true" outlineLevel="0" collapsed="false">
      <c r="A995" s="1" t="str">
        <f aca="false">Transactions!A995</f>
        <v>TXN501066</v>
      </c>
      <c r="B995" s="1" t="str">
        <f aca="false">Transactions!B995</f>
        <v>ACC1046</v>
      </c>
      <c r="C995" s="1" t="str">
        <f aca="false">Transactions!I995</f>
        <v>2026-03-02</v>
      </c>
      <c r="D995" s="1" t="n">
        <f aca="false">Transactions!J995</f>
        <v>17</v>
      </c>
      <c r="E995" s="1" t="n">
        <f aca="false">Transactions!D995</f>
        <v>24.34</v>
      </c>
      <c r="F995" s="1" t="str">
        <f aca="false">Transactions!H995</f>
        <v>ATM</v>
      </c>
      <c r="G995" s="1" t="str">
        <f aca="false">Transactions!G995</f>
        <v>Online Marketplace</v>
      </c>
      <c r="H995" s="1" t="n">
        <f aca="false">IF(COUNTIFS($B$2:$B$1489,B995,$C$2:$C$1489,C995,$D$2:$D$1489,D995)&gt;6,1,0)</f>
        <v>0</v>
      </c>
      <c r="I995" s="1" t="n">
        <f aca="false">IF(AND(F995="Wire",E995&gt;=1000,MOD(E995,1000)=0),1,0)</f>
        <v>0</v>
      </c>
      <c r="J995" s="1" t="n">
        <f aca="false">IF(AND(F995="ATM",E995&gt;2000,D995&lt;=4),1,0)</f>
        <v>0</v>
      </c>
      <c r="K995" s="1" t="n">
        <f aca="false">IF(COUNTIF('SQL Findings'!$A$4:$A$18,B995)&gt;0,1,0)</f>
        <v>0</v>
      </c>
      <c r="L995" s="1" t="n">
        <f aca="false">SUM(H995:K995)</f>
        <v>0</v>
      </c>
      <c r="M995" s="1" t="str">
        <f aca="false">IF(L995&gt;=2,"High",IF(L995=1,"Medium","Low"))</f>
        <v>Low</v>
      </c>
    </row>
    <row r="996" customFormat="false" ht="15" hidden="false" customHeight="true" outlineLevel="0" collapsed="false">
      <c r="A996" s="1" t="str">
        <f aca="false">Transactions!A996</f>
        <v>TXN501020</v>
      </c>
      <c r="B996" s="1" t="str">
        <f aca="false">Transactions!B996</f>
        <v>ACC1044</v>
      </c>
      <c r="C996" s="1" t="str">
        <f aca="false">Transactions!I996</f>
        <v>2026-03-02</v>
      </c>
      <c r="D996" s="1" t="n">
        <f aca="false">Transactions!J996</f>
        <v>20</v>
      </c>
      <c r="E996" s="1" t="n">
        <f aca="false">Transactions!D996</f>
        <v>97.69</v>
      </c>
      <c r="F996" s="1" t="str">
        <f aca="false">Transactions!H996</f>
        <v>POS</v>
      </c>
      <c r="G996" s="1" t="str">
        <f aca="false">Transactions!G996</f>
        <v>Electronics</v>
      </c>
      <c r="H996" s="1" t="n">
        <f aca="false">IF(COUNTIFS($B$2:$B$1489,B996,$C$2:$C$1489,C996,$D$2:$D$1489,D996)&gt;6,1,0)</f>
        <v>0</v>
      </c>
      <c r="I996" s="1" t="n">
        <f aca="false">IF(AND(F996="Wire",E996&gt;=1000,MOD(E996,1000)=0),1,0)</f>
        <v>0</v>
      </c>
      <c r="J996" s="1" t="n">
        <f aca="false">IF(AND(F996="ATM",E996&gt;2000,D996&lt;=4),1,0)</f>
        <v>0</v>
      </c>
      <c r="K996" s="1" t="n">
        <f aca="false">IF(COUNTIF('SQL Findings'!$A$4:$A$18,B996)&gt;0,1,0)</f>
        <v>0</v>
      </c>
      <c r="L996" s="1" t="n">
        <f aca="false">SUM(H996:K996)</f>
        <v>0</v>
      </c>
      <c r="M996" s="1" t="str">
        <f aca="false">IF(L996&gt;=2,"High",IF(L996=1,"Medium","Low"))</f>
        <v>Low</v>
      </c>
    </row>
    <row r="997" customFormat="false" ht="15" hidden="false" customHeight="true" outlineLevel="0" collapsed="false">
      <c r="A997" s="1" t="str">
        <f aca="false">Transactions!A997</f>
        <v>TXN500977</v>
      </c>
      <c r="B997" s="1" t="str">
        <f aca="false">Transactions!B997</f>
        <v>ACC1042</v>
      </c>
      <c r="C997" s="1" t="str">
        <f aca="false">Transactions!I997</f>
        <v>2026-03-02</v>
      </c>
      <c r="D997" s="1" t="n">
        <f aca="false">Transactions!J997</f>
        <v>20</v>
      </c>
      <c r="E997" s="1" t="n">
        <f aca="false">Transactions!D997</f>
        <v>44.39</v>
      </c>
      <c r="F997" s="1" t="str">
        <f aca="false">Transactions!H997</f>
        <v>POS</v>
      </c>
      <c r="G997" s="1" t="str">
        <f aca="false">Transactions!G997</f>
        <v>Retail</v>
      </c>
      <c r="H997" s="1" t="n">
        <f aca="false">IF(COUNTIFS($B$2:$B$1489,B997,$C$2:$C$1489,C997,$D$2:$D$1489,D997)&gt;6,1,0)</f>
        <v>0</v>
      </c>
      <c r="I997" s="1" t="n">
        <f aca="false">IF(AND(F997="Wire",E997&gt;=1000,MOD(E997,1000)=0),1,0)</f>
        <v>0</v>
      </c>
      <c r="J997" s="1" t="n">
        <f aca="false">IF(AND(F997="ATM",E997&gt;2000,D997&lt;=4),1,0)</f>
        <v>0</v>
      </c>
      <c r="K997" s="1" t="n">
        <f aca="false">IF(COUNTIF('SQL Findings'!$A$4:$A$18,B997)&gt;0,1,0)</f>
        <v>1</v>
      </c>
      <c r="L997" s="1" t="n">
        <f aca="false">SUM(H997:K997)</f>
        <v>1</v>
      </c>
      <c r="M997" s="1" t="str">
        <f aca="false">IF(L997&gt;=2,"High",IF(L997=1,"Medium","Low"))</f>
        <v>Medium</v>
      </c>
    </row>
    <row r="998" customFormat="false" ht="15" hidden="false" customHeight="true" outlineLevel="0" collapsed="false">
      <c r="A998" s="1" t="str">
        <f aca="false">Transactions!A998</f>
        <v>TXN500782</v>
      </c>
      <c r="B998" s="1" t="str">
        <f aca="false">Transactions!B998</f>
        <v>ACC1033</v>
      </c>
      <c r="C998" s="1" t="str">
        <f aca="false">Transactions!I998</f>
        <v>2026-03-02</v>
      </c>
      <c r="D998" s="1" t="n">
        <f aca="false">Transactions!J998</f>
        <v>20</v>
      </c>
      <c r="E998" s="1" t="n">
        <f aca="false">Transactions!D998</f>
        <v>20.05</v>
      </c>
      <c r="F998" s="1" t="str">
        <f aca="false">Transactions!H998</f>
        <v>POS</v>
      </c>
      <c r="G998" s="1" t="str">
        <f aca="false">Transactions!G998</f>
        <v>Cash Withdrawal</v>
      </c>
      <c r="H998" s="1" t="n">
        <f aca="false">IF(COUNTIFS($B$2:$B$1489,B998,$C$2:$C$1489,C998,$D$2:$D$1489,D998)&gt;6,1,0)</f>
        <v>0</v>
      </c>
      <c r="I998" s="1" t="n">
        <f aca="false">IF(AND(F998="Wire",E998&gt;=1000,MOD(E998,1000)=0),1,0)</f>
        <v>0</v>
      </c>
      <c r="J998" s="1" t="n">
        <f aca="false">IF(AND(F998="ATM",E998&gt;2000,D998&lt;=4),1,0)</f>
        <v>0</v>
      </c>
      <c r="K998" s="1" t="n">
        <f aca="false">IF(COUNTIF('SQL Findings'!$A$4:$A$18,B998)&gt;0,1,0)</f>
        <v>0</v>
      </c>
      <c r="L998" s="1" t="n">
        <f aca="false">SUM(H998:K998)</f>
        <v>0</v>
      </c>
      <c r="M998" s="1" t="str">
        <f aca="false">IF(L998&gt;=2,"High",IF(L998=1,"Medium","Low"))</f>
        <v>Low</v>
      </c>
    </row>
    <row r="999" customFormat="false" ht="15" hidden="false" customHeight="true" outlineLevel="0" collapsed="false">
      <c r="A999" s="1" t="str">
        <f aca="false">Transactions!A999</f>
        <v>TXN500152</v>
      </c>
      <c r="B999" s="1" t="str">
        <f aca="false">Transactions!B999</f>
        <v>ACC1006</v>
      </c>
      <c r="C999" s="1" t="str">
        <f aca="false">Transactions!I999</f>
        <v>2026-03-03</v>
      </c>
      <c r="D999" s="1" t="n">
        <f aca="false">Transactions!J999</f>
        <v>5</v>
      </c>
      <c r="E999" s="1" t="n">
        <f aca="false">Transactions!D999</f>
        <v>91.09</v>
      </c>
      <c r="F999" s="1" t="str">
        <f aca="false">Transactions!H999</f>
        <v>Online</v>
      </c>
      <c r="G999" s="1" t="str">
        <f aca="false">Transactions!G999</f>
        <v>Wire Transfer</v>
      </c>
      <c r="H999" s="1" t="n">
        <f aca="false">IF(COUNTIFS($B$2:$B$1489,B999,$C$2:$C$1489,C999,$D$2:$D$1489,D999)&gt;6,1,0)</f>
        <v>0</v>
      </c>
      <c r="I999" s="1" t="n">
        <f aca="false">IF(AND(F999="Wire",E999&gt;=1000,MOD(E999,1000)=0),1,0)</f>
        <v>0</v>
      </c>
      <c r="J999" s="1" t="n">
        <f aca="false">IF(AND(F999="ATM",E999&gt;2000,D999&lt;=4),1,0)</f>
        <v>0</v>
      </c>
      <c r="K999" s="1" t="n">
        <f aca="false">IF(COUNTIF('SQL Findings'!$A$4:$A$18,B999)&gt;0,1,0)</f>
        <v>0</v>
      </c>
      <c r="L999" s="1" t="n">
        <f aca="false">SUM(H999:K999)</f>
        <v>0</v>
      </c>
      <c r="M999" s="1" t="str">
        <f aca="false">IF(L999&gt;=2,"High",IF(L999=1,"Medium","Low"))</f>
        <v>Low</v>
      </c>
    </row>
    <row r="1000" customFormat="false" ht="15" hidden="false" customHeight="true" outlineLevel="0" collapsed="false">
      <c r="A1000" s="1" t="str">
        <f aca="false">Transactions!A1000</f>
        <v>TXN500269</v>
      </c>
      <c r="B1000" s="1" t="str">
        <f aca="false">Transactions!B1000</f>
        <v>ACC1011</v>
      </c>
      <c r="C1000" s="1" t="str">
        <f aca="false">Transactions!I1000</f>
        <v>2026-03-03</v>
      </c>
      <c r="D1000" s="1" t="n">
        <f aca="false">Transactions!J1000</f>
        <v>7</v>
      </c>
      <c r="E1000" s="1" t="n">
        <f aca="false">Transactions!D1000</f>
        <v>44.88</v>
      </c>
      <c r="F1000" s="1" t="str">
        <f aca="false">Transactions!H1000</f>
        <v>ATM</v>
      </c>
      <c r="G1000" s="1" t="str">
        <f aca="false">Transactions!G1000</f>
        <v>Cash Withdrawal</v>
      </c>
      <c r="H1000" s="1" t="n">
        <f aca="false">IF(COUNTIFS($B$2:$B$1489,B1000,$C$2:$C$1489,C1000,$D$2:$D$1489,D1000)&gt;6,1,0)</f>
        <v>0</v>
      </c>
      <c r="I1000" s="1" t="n">
        <f aca="false">IF(AND(F1000="Wire",E1000&gt;=1000,MOD(E1000,1000)=0),1,0)</f>
        <v>0</v>
      </c>
      <c r="J1000" s="1" t="n">
        <f aca="false">IF(AND(F1000="ATM",E1000&gt;2000,D1000&lt;=4),1,0)</f>
        <v>0</v>
      </c>
      <c r="K1000" s="1" t="n">
        <f aca="false">IF(COUNTIF('SQL Findings'!$A$4:$A$18,B1000)&gt;0,1,0)</f>
        <v>0</v>
      </c>
      <c r="L1000" s="1" t="n">
        <f aca="false">SUM(H1000:K1000)</f>
        <v>0</v>
      </c>
      <c r="M1000" s="1" t="str">
        <f aca="false">IF(L1000&gt;=2,"High",IF(L1000=1,"Medium","Low"))</f>
        <v>Low</v>
      </c>
    </row>
    <row r="1001" customFormat="false" ht="15" hidden="false" customHeight="true" outlineLevel="0" collapsed="false">
      <c r="A1001" s="1" t="str">
        <f aca="false">Transactions!A1001</f>
        <v>TXN500435</v>
      </c>
      <c r="B1001" s="1" t="str">
        <f aca="false">Transactions!B1001</f>
        <v>ACC1019</v>
      </c>
      <c r="C1001" s="1" t="str">
        <f aca="false">Transactions!I1001</f>
        <v>2026-03-03</v>
      </c>
      <c r="D1001" s="1" t="n">
        <f aca="false">Transactions!J1001</f>
        <v>7</v>
      </c>
      <c r="E1001" s="1" t="n">
        <f aca="false">Transactions!D1001</f>
        <v>257.78</v>
      </c>
      <c r="F1001" s="1" t="str">
        <f aca="false">Transactions!H1001</f>
        <v>ATM</v>
      </c>
      <c r="G1001" s="1" t="str">
        <f aca="false">Transactions!G1001</f>
        <v>Utilities</v>
      </c>
      <c r="H1001" s="1" t="n">
        <f aca="false">IF(COUNTIFS($B$2:$B$1489,B1001,$C$2:$C$1489,C1001,$D$2:$D$1489,D1001)&gt;6,1,0)</f>
        <v>0</v>
      </c>
      <c r="I1001" s="1" t="n">
        <f aca="false">IF(AND(F1001="Wire",E1001&gt;=1000,MOD(E1001,1000)=0),1,0)</f>
        <v>0</v>
      </c>
      <c r="J1001" s="1" t="n">
        <f aca="false">IF(AND(F1001="ATM",E1001&gt;2000,D1001&lt;=4),1,0)</f>
        <v>0</v>
      </c>
      <c r="K1001" s="1" t="n">
        <f aca="false">IF(COUNTIF('SQL Findings'!$A$4:$A$18,B1001)&gt;0,1,0)</f>
        <v>0</v>
      </c>
      <c r="L1001" s="1" t="n">
        <f aca="false">SUM(H1001:K1001)</f>
        <v>0</v>
      </c>
      <c r="M1001" s="1" t="str">
        <f aca="false">IF(L1001&gt;=2,"High",IF(L1001=1,"Medium","Low"))</f>
        <v>Low</v>
      </c>
    </row>
    <row r="1002" customFormat="false" ht="15" hidden="false" customHeight="true" outlineLevel="0" collapsed="false">
      <c r="A1002" s="1" t="str">
        <f aca="false">Transactions!A1002</f>
        <v>TXN500851</v>
      </c>
      <c r="B1002" s="1" t="str">
        <f aca="false">Transactions!B1002</f>
        <v>ACC1036</v>
      </c>
      <c r="C1002" s="1" t="str">
        <f aca="false">Transactions!I1002</f>
        <v>2026-03-03</v>
      </c>
      <c r="D1002" s="1" t="n">
        <f aca="false">Transactions!J1002</f>
        <v>9</v>
      </c>
      <c r="E1002" s="1" t="n">
        <f aca="false">Transactions!D1002</f>
        <v>38.06</v>
      </c>
      <c r="F1002" s="1" t="str">
        <f aca="false">Transactions!H1002</f>
        <v>ATM</v>
      </c>
      <c r="G1002" s="1" t="str">
        <f aca="false">Transactions!G1002</f>
        <v>Retail</v>
      </c>
      <c r="H1002" s="1" t="n">
        <f aca="false">IF(COUNTIFS($B$2:$B$1489,B1002,$C$2:$C$1489,C1002,$D$2:$D$1489,D1002)&gt;6,1,0)</f>
        <v>0</v>
      </c>
      <c r="I1002" s="1" t="n">
        <f aca="false">IF(AND(F1002="Wire",E1002&gt;=1000,MOD(E1002,1000)=0),1,0)</f>
        <v>0</v>
      </c>
      <c r="J1002" s="1" t="n">
        <f aca="false">IF(AND(F1002="ATM",E1002&gt;2000,D1002&lt;=4),1,0)</f>
        <v>0</v>
      </c>
      <c r="K1002" s="1" t="n">
        <f aca="false">IF(COUNTIF('SQL Findings'!$A$4:$A$18,B1002)&gt;0,1,0)</f>
        <v>0</v>
      </c>
      <c r="L1002" s="1" t="n">
        <f aca="false">SUM(H1002:K1002)</f>
        <v>0</v>
      </c>
      <c r="M1002" s="1" t="str">
        <f aca="false">IF(L1002&gt;=2,"High",IF(L1002=1,"Medium","Low"))</f>
        <v>Low</v>
      </c>
    </row>
    <row r="1003" customFormat="false" ht="15" hidden="false" customHeight="true" outlineLevel="0" collapsed="false">
      <c r="A1003" s="1" t="str">
        <f aca="false">Transactions!A1003</f>
        <v>TXN500584</v>
      </c>
      <c r="B1003" s="1" t="str">
        <f aca="false">Transactions!B1003</f>
        <v>ACC1025</v>
      </c>
      <c r="C1003" s="1" t="str">
        <f aca="false">Transactions!I1003</f>
        <v>2026-03-03</v>
      </c>
      <c r="D1003" s="1" t="n">
        <f aca="false">Transactions!J1003</f>
        <v>9</v>
      </c>
      <c r="E1003" s="1" t="n">
        <f aca="false">Transactions!D1003</f>
        <v>514.72</v>
      </c>
      <c r="F1003" s="1" t="str">
        <f aca="false">Transactions!H1003</f>
        <v>ATM</v>
      </c>
      <c r="G1003" s="1" t="str">
        <f aca="false">Transactions!G1003</f>
        <v>Online Marketplace</v>
      </c>
      <c r="H1003" s="1" t="n">
        <f aca="false">IF(COUNTIFS($B$2:$B$1489,B1003,$C$2:$C$1489,C1003,$D$2:$D$1489,D1003)&gt;6,1,0)</f>
        <v>0</v>
      </c>
      <c r="I1003" s="1" t="n">
        <f aca="false">IF(AND(F1003="Wire",E1003&gt;=1000,MOD(E1003,1000)=0),1,0)</f>
        <v>0</v>
      </c>
      <c r="J1003" s="1" t="n">
        <f aca="false">IF(AND(F1003="ATM",E1003&gt;2000,D1003&lt;=4),1,0)</f>
        <v>0</v>
      </c>
      <c r="K1003" s="1" t="n">
        <f aca="false">IF(COUNTIF('SQL Findings'!$A$4:$A$18,B1003)&gt;0,1,0)</f>
        <v>0</v>
      </c>
      <c r="L1003" s="1" t="n">
        <f aca="false">SUM(H1003:K1003)</f>
        <v>0</v>
      </c>
      <c r="M1003" s="1" t="str">
        <f aca="false">IF(L1003&gt;=2,"High",IF(L1003=1,"Medium","Low"))</f>
        <v>Low</v>
      </c>
    </row>
    <row r="1004" customFormat="false" ht="15" hidden="false" customHeight="true" outlineLevel="0" collapsed="false">
      <c r="A1004" s="1" t="str">
        <f aca="false">Transactions!A1004</f>
        <v>TXN500829</v>
      </c>
      <c r="B1004" s="1" t="str">
        <f aca="false">Transactions!B1004</f>
        <v>ACC1035</v>
      </c>
      <c r="C1004" s="1" t="str">
        <f aca="false">Transactions!I1004</f>
        <v>2026-03-03</v>
      </c>
      <c r="D1004" s="1" t="n">
        <f aca="false">Transactions!J1004</f>
        <v>10</v>
      </c>
      <c r="E1004" s="1" t="n">
        <f aca="false">Transactions!D1004</f>
        <v>45.69</v>
      </c>
      <c r="F1004" s="1" t="str">
        <f aca="false">Transactions!H1004</f>
        <v>ATM</v>
      </c>
      <c r="G1004" s="1" t="str">
        <f aca="false">Transactions!G1004</f>
        <v>Dining</v>
      </c>
      <c r="H1004" s="1" t="n">
        <f aca="false">IF(COUNTIFS($B$2:$B$1489,B1004,$C$2:$C$1489,C1004,$D$2:$D$1489,D1004)&gt;6,1,0)</f>
        <v>0</v>
      </c>
      <c r="I1004" s="1" t="n">
        <f aca="false">IF(AND(F1004="Wire",E1004&gt;=1000,MOD(E1004,1000)=0),1,0)</f>
        <v>0</v>
      </c>
      <c r="J1004" s="1" t="n">
        <f aca="false">IF(AND(F1004="ATM",E1004&gt;2000,D1004&lt;=4),1,0)</f>
        <v>0</v>
      </c>
      <c r="K1004" s="1" t="n">
        <f aca="false">IF(COUNTIF('SQL Findings'!$A$4:$A$18,B1004)&gt;0,1,0)</f>
        <v>0</v>
      </c>
      <c r="L1004" s="1" t="n">
        <f aca="false">SUM(H1004:K1004)</f>
        <v>0</v>
      </c>
      <c r="M1004" s="1" t="str">
        <f aca="false">IF(L1004&gt;=2,"High",IF(L1004=1,"Medium","Low"))</f>
        <v>Low</v>
      </c>
    </row>
    <row r="1005" customFormat="false" ht="15" hidden="false" customHeight="true" outlineLevel="0" collapsed="false">
      <c r="A1005" s="1" t="str">
        <f aca="false">Transactions!A1005</f>
        <v>TXN500151</v>
      </c>
      <c r="B1005" s="1" t="str">
        <f aca="false">Transactions!B1005</f>
        <v>ACC1006</v>
      </c>
      <c r="C1005" s="1" t="str">
        <f aca="false">Transactions!I1005</f>
        <v>2026-03-03</v>
      </c>
      <c r="D1005" s="1" t="n">
        <f aca="false">Transactions!J1005</f>
        <v>11</v>
      </c>
      <c r="E1005" s="1" t="n">
        <f aca="false">Transactions!D1005</f>
        <v>83.55</v>
      </c>
      <c r="F1005" s="1" t="str">
        <f aca="false">Transactions!H1005</f>
        <v>Online</v>
      </c>
      <c r="G1005" s="1" t="str">
        <f aca="false">Transactions!G1005</f>
        <v>Retail</v>
      </c>
      <c r="H1005" s="1" t="n">
        <f aca="false">IF(COUNTIFS($B$2:$B$1489,B1005,$C$2:$C$1489,C1005,$D$2:$D$1489,D1005)&gt;6,1,0)</f>
        <v>0</v>
      </c>
      <c r="I1005" s="1" t="n">
        <f aca="false">IF(AND(F1005="Wire",E1005&gt;=1000,MOD(E1005,1000)=0),1,0)</f>
        <v>0</v>
      </c>
      <c r="J1005" s="1" t="n">
        <f aca="false">IF(AND(F1005="ATM",E1005&gt;2000,D1005&lt;=4),1,0)</f>
        <v>0</v>
      </c>
      <c r="K1005" s="1" t="n">
        <f aca="false">IF(COUNTIF('SQL Findings'!$A$4:$A$18,B1005)&gt;0,1,0)</f>
        <v>0</v>
      </c>
      <c r="L1005" s="1" t="n">
        <f aca="false">SUM(H1005:K1005)</f>
        <v>0</v>
      </c>
      <c r="M1005" s="1" t="str">
        <f aca="false">IF(L1005&gt;=2,"High",IF(L1005=1,"Medium","Low"))</f>
        <v>Low</v>
      </c>
    </row>
    <row r="1006" customFormat="false" ht="15" hidden="false" customHeight="true" outlineLevel="0" collapsed="false">
      <c r="A1006" s="1" t="str">
        <f aca="false">Transactions!A1006</f>
        <v>TXN501173</v>
      </c>
      <c r="B1006" s="1" t="str">
        <f aca="false">Transactions!B1006</f>
        <v>ACC1051</v>
      </c>
      <c r="C1006" s="1" t="str">
        <f aca="false">Transactions!I1006</f>
        <v>2026-03-03</v>
      </c>
      <c r="D1006" s="1" t="n">
        <f aca="false">Transactions!J1006</f>
        <v>12</v>
      </c>
      <c r="E1006" s="1" t="n">
        <f aca="false">Transactions!D1006</f>
        <v>73.24</v>
      </c>
      <c r="F1006" s="1" t="str">
        <f aca="false">Transactions!H1006</f>
        <v>ATM</v>
      </c>
      <c r="G1006" s="1" t="str">
        <f aca="false">Transactions!G1006</f>
        <v>Wire Transfer</v>
      </c>
      <c r="H1006" s="1" t="n">
        <f aca="false">IF(COUNTIFS($B$2:$B$1489,B1006,$C$2:$C$1489,C1006,$D$2:$D$1489,D1006)&gt;6,1,0)</f>
        <v>0</v>
      </c>
      <c r="I1006" s="1" t="n">
        <f aca="false">IF(AND(F1006="Wire",E1006&gt;=1000,MOD(E1006,1000)=0),1,0)</f>
        <v>0</v>
      </c>
      <c r="J1006" s="1" t="n">
        <f aca="false">IF(AND(F1006="ATM",E1006&gt;2000,D1006&lt;=4),1,0)</f>
        <v>0</v>
      </c>
      <c r="K1006" s="1" t="n">
        <f aca="false">IF(COUNTIF('SQL Findings'!$A$4:$A$18,B1006)&gt;0,1,0)</f>
        <v>0</v>
      </c>
      <c r="L1006" s="1" t="n">
        <f aca="false">SUM(H1006:K1006)</f>
        <v>0</v>
      </c>
      <c r="M1006" s="1" t="str">
        <f aca="false">IF(L1006&gt;=2,"High",IF(L1006=1,"Medium","Low"))</f>
        <v>Low</v>
      </c>
    </row>
    <row r="1007" customFormat="false" ht="15" hidden="false" customHeight="true" outlineLevel="0" collapsed="false">
      <c r="A1007" s="1" t="str">
        <f aca="false">Transactions!A1007</f>
        <v>TXN500717</v>
      </c>
      <c r="B1007" s="1" t="str">
        <f aca="false">Transactions!B1007</f>
        <v>ACC1031</v>
      </c>
      <c r="C1007" s="1" t="str">
        <f aca="false">Transactions!I1007</f>
        <v>2026-03-03</v>
      </c>
      <c r="D1007" s="1" t="n">
        <f aca="false">Transactions!J1007</f>
        <v>12</v>
      </c>
      <c r="E1007" s="1" t="n">
        <f aca="false">Transactions!D1007</f>
        <v>73.91</v>
      </c>
      <c r="F1007" s="1" t="str">
        <f aca="false">Transactions!H1007</f>
        <v>ATM</v>
      </c>
      <c r="G1007" s="1" t="str">
        <f aca="false">Transactions!G1007</f>
        <v>Cash Withdrawal</v>
      </c>
      <c r="H1007" s="1" t="n">
        <f aca="false">IF(COUNTIFS($B$2:$B$1489,B1007,$C$2:$C$1489,C1007,$D$2:$D$1489,D1007)&gt;6,1,0)</f>
        <v>0</v>
      </c>
      <c r="I1007" s="1" t="n">
        <f aca="false">IF(AND(F1007="Wire",E1007&gt;=1000,MOD(E1007,1000)=0),1,0)</f>
        <v>0</v>
      </c>
      <c r="J1007" s="1" t="n">
        <f aca="false">IF(AND(F1007="ATM",E1007&gt;2000,D1007&lt;=4),1,0)</f>
        <v>0</v>
      </c>
      <c r="K1007" s="1" t="n">
        <f aca="false">IF(COUNTIF('SQL Findings'!$A$4:$A$18,B1007)&gt;0,1,0)</f>
        <v>0</v>
      </c>
      <c r="L1007" s="1" t="n">
        <f aca="false">SUM(H1007:K1007)</f>
        <v>0</v>
      </c>
      <c r="M1007" s="1" t="str">
        <f aca="false">IF(L1007&gt;=2,"High",IF(L1007=1,"Medium","Low"))</f>
        <v>Low</v>
      </c>
    </row>
    <row r="1008" customFormat="false" ht="15" hidden="false" customHeight="true" outlineLevel="0" collapsed="false">
      <c r="A1008" s="1" t="str">
        <f aca="false">Transactions!A1008</f>
        <v>TXN501088</v>
      </c>
      <c r="B1008" s="1" t="str">
        <f aca="false">Transactions!B1008</f>
        <v>ACC1047</v>
      </c>
      <c r="C1008" s="1" t="str">
        <f aca="false">Transactions!I1008</f>
        <v>2026-03-03</v>
      </c>
      <c r="D1008" s="1" t="n">
        <f aca="false">Transactions!J1008</f>
        <v>12</v>
      </c>
      <c r="E1008" s="1" t="n">
        <f aca="false">Transactions!D1008</f>
        <v>82.67</v>
      </c>
      <c r="F1008" s="1" t="str">
        <f aca="false">Transactions!H1008</f>
        <v>Online</v>
      </c>
      <c r="G1008" s="1" t="str">
        <f aca="false">Transactions!G1008</f>
        <v>Electronics</v>
      </c>
      <c r="H1008" s="1" t="n">
        <f aca="false">IF(COUNTIFS($B$2:$B$1489,B1008,$C$2:$C$1489,C1008,$D$2:$D$1489,D1008)&gt;6,1,0)</f>
        <v>0</v>
      </c>
      <c r="I1008" s="1" t="n">
        <f aca="false">IF(AND(F1008="Wire",E1008&gt;=1000,MOD(E1008,1000)=0),1,0)</f>
        <v>0</v>
      </c>
      <c r="J1008" s="1" t="n">
        <f aca="false">IF(AND(F1008="ATM",E1008&gt;2000,D1008&lt;=4),1,0)</f>
        <v>0</v>
      </c>
      <c r="K1008" s="1" t="n">
        <f aca="false">IF(COUNTIF('SQL Findings'!$A$4:$A$18,B1008)&gt;0,1,0)</f>
        <v>0</v>
      </c>
      <c r="L1008" s="1" t="n">
        <f aca="false">SUM(H1008:K1008)</f>
        <v>0</v>
      </c>
      <c r="M1008" s="1" t="str">
        <f aca="false">IF(L1008&gt;=2,"High",IF(L1008=1,"Medium","Low"))</f>
        <v>Low</v>
      </c>
    </row>
    <row r="1009" customFormat="false" ht="15" hidden="false" customHeight="true" outlineLevel="0" collapsed="false">
      <c r="A1009" s="1" t="str">
        <f aca="false">Transactions!A1009</f>
        <v>TXN501185</v>
      </c>
      <c r="B1009" s="1" t="str">
        <f aca="false">Transactions!B1009</f>
        <v>ACC1052</v>
      </c>
      <c r="C1009" s="1" t="str">
        <f aca="false">Transactions!I1009</f>
        <v>2026-03-03</v>
      </c>
      <c r="D1009" s="1" t="n">
        <f aca="false">Transactions!J1009</f>
        <v>13</v>
      </c>
      <c r="E1009" s="1" t="n">
        <f aca="false">Transactions!D1009</f>
        <v>27.37</v>
      </c>
      <c r="F1009" s="1" t="str">
        <f aca="false">Transactions!H1009</f>
        <v>Online</v>
      </c>
      <c r="G1009" s="1" t="str">
        <f aca="false">Transactions!G1009</f>
        <v>Retail</v>
      </c>
      <c r="H1009" s="1" t="n">
        <f aca="false">IF(COUNTIFS($B$2:$B$1489,B1009,$C$2:$C$1489,C1009,$D$2:$D$1489,D1009)&gt;6,1,0)</f>
        <v>0</v>
      </c>
      <c r="I1009" s="1" t="n">
        <f aca="false">IF(AND(F1009="Wire",E1009&gt;=1000,MOD(E1009,1000)=0),1,0)</f>
        <v>0</v>
      </c>
      <c r="J1009" s="1" t="n">
        <f aca="false">IF(AND(F1009="ATM",E1009&gt;2000,D1009&lt;=4),1,0)</f>
        <v>0</v>
      </c>
      <c r="K1009" s="1" t="n">
        <f aca="false">IF(COUNTIF('SQL Findings'!$A$4:$A$18,B1009)&gt;0,1,0)</f>
        <v>0</v>
      </c>
      <c r="L1009" s="1" t="n">
        <f aca="false">SUM(H1009:K1009)</f>
        <v>0</v>
      </c>
      <c r="M1009" s="1" t="str">
        <f aca="false">IF(L1009&gt;=2,"High",IF(L1009=1,"Medium","Low"))</f>
        <v>Low</v>
      </c>
    </row>
    <row r="1010" customFormat="false" ht="15" hidden="false" customHeight="true" outlineLevel="0" collapsed="false">
      <c r="A1010" s="1" t="str">
        <f aca="false">Transactions!A1010</f>
        <v>TXN501331</v>
      </c>
      <c r="B1010" s="1" t="str">
        <f aca="false">Transactions!B1010</f>
        <v>ACC1058</v>
      </c>
      <c r="C1010" s="1" t="str">
        <f aca="false">Transactions!I1010</f>
        <v>2026-03-03</v>
      </c>
      <c r="D1010" s="1" t="n">
        <f aca="false">Transactions!J1010</f>
        <v>15</v>
      </c>
      <c r="E1010" s="1" t="n">
        <f aca="false">Transactions!D1010</f>
        <v>264.46</v>
      </c>
      <c r="F1010" s="1" t="str">
        <f aca="false">Transactions!H1010</f>
        <v>ATM</v>
      </c>
      <c r="G1010" s="1" t="str">
        <f aca="false">Transactions!G1010</f>
        <v>Online Marketplace</v>
      </c>
      <c r="H1010" s="1" t="n">
        <f aca="false">IF(COUNTIFS($B$2:$B$1489,B1010,$C$2:$C$1489,C1010,$D$2:$D$1489,D1010)&gt;6,1,0)</f>
        <v>0</v>
      </c>
      <c r="I1010" s="1" t="n">
        <f aca="false">IF(AND(F1010="Wire",E1010&gt;=1000,MOD(E1010,1000)=0),1,0)</f>
        <v>0</v>
      </c>
      <c r="J1010" s="1" t="n">
        <f aca="false">IF(AND(F1010="ATM",E1010&gt;2000,D1010&lt;=4),1,0)</f>
        <v>0</v>
      </c>
      <c r="K1010" s="1" t="n">
        <f aca="false">IF(COUNTIF('SQL Findings'!$A$4:$A$18,B1010)&gt;0,1,0)</f>
        <v>0</v>
      </c>
      <c r="L1010" s="1" t="n">
        <f aca="false">SUM(H1010:K1010)</f>
        <v>0</v>
      </c>
      <c r="M1010" s="1" t="str">
        <f aca="false">IF(L1010&gt;=2,"High",IF(L1010=1,"Medium","Low"))</f>
        <v>Low</v>
      </c>
    </row>
    <row r="1011" customFormat="false" ht="15" hidden="false" customHeight="true" outlineLevel="0" collapsed="false">
      <c r="A1011" s="1" t="str">
        <f aca="false">Transactions!A1011</f>
        <v>TXN500747</v>
      </c>
      <c r="B1011" s="1" t="str">
        <f aca="false">Transactions!B1011</f>
        <v>ACC1032</v>
      </c>
      <c r="C1011" s="1" t="str">
        <f aca="false">Transactions!I1011</f>
        <v>2026-03-03</v>
      </c>
      <c r="D1011" s="1" t="n">
        <f aca="false">Transactions!J1011</f>
        <v>16</v>
      </c>
      <c r="E1011" s="1" t="n">
        <f aca="false">Transactions!D1011</f>
        <v>78.89</v>
      </c>
      <c r="F1011" s="1" t="str">
        <f aca="false">Transactions!H1011</f>
        <v>POS</v>
      </c>
      <c r="G1011" s="1" t="str">
        <f aca="false">Transactions!G1011</f>
        <v>Dining</v>
      </c>
      <c r="H1011" s="1" t="n">
        <f aca="false">IF(COUNTIFS($B$2:$B$1489,B1011,$C$2:$C$1489,C1011,$D$2:$D$1489,D1011)&gt;6,1,0)</f>
        <v>0</v>
      </c>
      <c r="I1011" s="1" t="n">
        <f aca="false">IF(AND(F1011="Wire",E1011&gt;=1000,MOD(E1011,1000)=0),1,0)</f>
        <v>0</v>
      </c>
      <c r="J1011" s="1" t="n">
        <f aca="false">IF(AND(F1011="ATM",E1011&gt;2000,D1011&lt;=4),1,0)</f>
        <v>0</v>
      </c>
      <c r="K1011" s="1" t="n">
        <f aca="false">IF(COUNTIF('SQL Findings'!$A$4:$A$18,B1011)&gt;0,1,0)</f>
        <v>0</v>
      </c>
      <c r="L1011" s="1" t="n">
        <f aca="false">SUM(H1011:K1011)</f>
        <v>0</v>
      </c>
      <c r="M1011" s="1" t="str">
        <f aca="false">IF(L1011&gt;=2,"High",IF(L1011=1,"Medium","Low"))</f>
        <v>Low</v>
      </c>
    </row>
    <row r="1012" customFormat="false" ht="15" hidden="false" customHeight="true" outlineLevel="0" collapsed="false">
      <c r="A1012" s="1" t="str">
        <f aca="false">Transactions!A1012</f>
        <v>TXN500509</v>
      </c>
      <c r="B1012" s="1" t="str">
        <f aca="false">Transactions!B1012</f>
        <v>ACC1022</v>
      </c>
      <c r="C1012" s="1" t="str">
        <f aca="false">Transactions!I1012</f>
        <v>2026-03-03</v>
      </c>
      <c r="D1012" s="1" t="n">
        <f aca="false">Transactions!J1012</f>
        <v>19</v>
      </c>
      <c r="E1012" s="1" t="n">
        <f aca="false">Transactions!D1012</f>
        <v>69.66</v>
      </c>
      <c r="F1012" s="1" t="str">
        <f aca="false">Transactions!H1012</f>
        <v>Online</v>
      </c>
      <c r="G1012" s="1" t="str">
        <f aca="false">Transactions!G1012</f>
        <v>Dining</v>
      </c>
      <c r="H1012" s="1" t="n">
        <f aca="false">IF(COUNTIFS($B$2:$B$1489,B1012,$C$2:$C$1489,C1012,$D$2:$D$1489,D1012)&gt;6,1,0)</f>
        <v>0</v>
      </c>
      <c r="I1012" s="1" t="n">
        <f aca="false">IF(AND(F1012="Wire",E1012&gt;=1000,MOD(E1012,1000)=0),1,0)</f>
        <v>0</v>
      </c>
      <c r="J1012" s="1" t="n">
        <f aca="false">IF(AND(F1012="ATM",E1012&gt;2000,D1012&lt;=4),1,0)</f>
        <v>0</v>
      </c>
      <c r="K1012" s="1" t="n">
        <f aca="false">IF(COUNTIF('SQL Findings'!$A$4:$A$18,B1012)&gt;0,1,0)</f>
        <v>0</v>
      </c>
      <c r="L1012" s="1" t="n">
        <f aca="false">SUM(H1012:K1012)</f>
        <v>0</v>
      </c>
      <c r="M1012" s="1" t="str">
        <f aca="false">IF(L1012&gt;=2,"High",IF(L1012=1,"Medium","Low"))</f>
        <v>Low</v>
      </c>
    </row>
    <row r="1013" customFormat="false" ht="15" hidden="false" customHeight="true" outlineLevel="0" collapsed="false">
      <c r="A1013" s="1" t="str">
        <f aca="false">Transactions!A1013</f>
        <v>TXN500893</v>
      </c>
      <c r="B1013" s="1" t="str">
        <f aca="false">Transactions!B1013</f>
        <v>ACC1038</v>
      </c>
      <c r="C1013" s="1" t="str">
        <f aca="false">Transactions!I1013</f>
        <v>2026-03-03</v>
      </c>
      <c r="D1013" s="1" t="n">
        <f aca="false">Transactions!J1013</f>
        <v>20</v>
      </c>
      <c r="E1013" s="1" t="n">
        <f aca="false">Transactions!D1013</f>
        <v>174.17</v>
      </c>
      <c r="F1013" s="1" t="str">
        <f aca="false">Transactions!H1013</f>
        <v>ATM</v>
      </c>
      <c r="G1013" s="1" t="str">
        <f aca="false">Transactions!G1013</f>
        <v>Travel</v>
      </c>
      <c r="H1013" s="1" t="n">
        <f aca="false">IF(COUNTIFS($B$2:$B$1489,B1013,$C$2:$C$1489,C1013,$D$2:$D$1489,D1013)&gt;6,1,0)</f>
        <v>0</v>
      </c>
      <c r="I1013" s="1" t="n">
        <f aca="false">IF(AND(F1013="Wire",E1013&gt;=1000,MOD(E1013,1000)=0),1,0)</f>
        <v>0</v>
      </c>
      <c r="J1013" s="1" t="n">
        <f aca="false">IF(AND(F1013="ATM",E1013&gt;2000,D1013&lt;=4),1,0)</f>
        <v>0</v>
      </c>
      <c r="K1013" s="1" t="n">
        <f aca="false">IF(COUNTIF('SQL Findings'!$A$4:$A$18,B1013)&gt;0,1,0)</f>
        <v>0</v>
      </c>
      <c r="L1013" s="1" t="n">
        <f aca="false">SUM(H1013:K1013)</f>
        <v>0</v>
      </c>
      <c r="M1013" s="1" t="str">
        <f aca="false">IF(L1013&gt;=2,"High",IF(L1013=1,"Medium","Low"))</f>
        <v>Low</v>
      </c>
    </row>
    <row r="1014" customFormat="false" ht="15" hidden="false" customHeight="true" outlineLevel="0" collapsed="false">
      <c r="A1014" s="1" t="str">
        <f aca="false">Transactions!A1014</f>
        <v>TXN500974</v>
      </c>
      <c r="B1014" s="1" t="str">
        <f aca="false">Transactions!B1014</f>
        <v>ACC1042</v>
      </c>
      <c r="C1014" s="1" t="str">
        <f aca="false">Transactions!I1014</f>
        <v>2026-03-03</v>
      </c>
      <c r="D1014" s="1" t="n">
        <f aca="false">Transactions!J1014</f>
        <v>21</v>
      </c>
      <c r="E1014" s="1" t="n">
        <f aca="false">Transactions!D1014</f>
        <v>37.06</v>
      </c>
      <c r="F1014" s="1" t="str">
        <f aca="false">Transactions!H1014</f>
        <v>Online</v>
      </c>
      <c r="G1014" s="1" t="str">
        <f aca="false">Transactions!G1014</f>
        <v>Dining</v>
      </c>
      <c r="H1014" s="1" t="n">
        <f aca="false">IF(COUNTIFS($B$2:$B$1489,B1014,$C$2:$C$1489,C1014,$D$2:$D$1489,D1014)&gt;6,1,0)</f>
        <v>0</v>
      </c>
      <c r="I1014" s="1" t="n">
        <f aca="false">IF(AND(F1014="Wire",E1014&gt;=1000,MOD(E1014,1000)=0),1,0)</f>
        <v>0</v>
      </c>
      <c r="J1014" s="1" t="n">
        <f aca="false">IF(AND(F1014="ATM",E1014&gt;2000,D1014&lt;=4),1,0)</f>
        <v>0</v>
      </c>
      <c r="K1014" s="1" t="n">
        <f aca="false">IF(COUNTIF('SQL Findings'!$A$4:$A$18,B1014)&gt;0,1,0)</f>
        <v>1</v>
      </c>
      <c r="L1014" s="1" t="n">
        <f aca="false">SUM(H1014:K1014)</f>
        <v>1</v>
      </c>
      <c r="M1014" s="1" t="str">
        <f aca="false">IF(L1014&gt;=2,"High",IF(L1014=1,"Medium","Low"))</f>
        <v>Medium</v>
      </c>
    </row>
    <row r="1015" customFormat="false" ht="15" hidden="false" customHeight="true" outlineLevel="0" collapsed="false">
      <c r="A1015" s="1" t="str">
        <f aca="false">Transactions!A1015</f>
        <v>TXN500226</v>
      </c>
      <c r="B1015" s="1" t="str">
        <f aca="false">Transactions!B1015</f>
        <v>ACC1009</v>
      </c>
      <c r="C1015" s="1" t="str">
        <f aca="false">Transactions!I1015</f>
        <v>2026-03-03</v>
      </c>
      <c r="D1015" s="1" t="n">
        <f aca="false">Transactions!J1015</f>
        <v>22</v>
      </c>
      <c r="E1015" s="1" t="n">
        <f aca="false">Transactions!D1015</f>
        <v>177.69</v>
      </c>
      <c r="F1015" s="1" t="str">
        <f aca="false">Transactions!H1015</f>
        <v>POS</v>
      </c>
      <c r="G1015" s="1" t="str">
        <f aca="false">Transactions!G1015</f>
        <v>Cash Withdrawal</v>
      </c>
      <c r="H1015" s="1" t="n">
        <f aca="false">IF(COUNTIFS($B$2:$B$1489,B1015,$C$2:$C$1489,C1015,$D$2:$D$1489,D1015)&gt;6,1,0)</f>
        <v>0</v>
      </c>
      <c r="I1015" s="1" t="n">
        <f aca="false">IF(AND(F1015="Wire",E1015&gt;=1000,MOD(E1015,1000)=0),1,0)</f>
        <v>0</v>
      </c>
      <c r="J1015" s="1" t="n">
        <f aca="false">IF(AND(F1015="ATM",E1015&gt;2000,D1015&lt;=4),1,0)</f>
        <v>0</v>
      </c>
      <c r="K1015" s="1" t="n">
        <f aca="false">IF(COUNTIF('SQL Findings'!$A$4:$A$18,B1015)&gt;0,1,0)</f>
        <v>1</v>
      </c>
      <c r="L1015" s="1" t="n">
        <f aca="false">SUM(H1015:K1015)</f>
        <v>1</v>
      </c>
      <c r="M1015" s="1" t="str">
        <f aca="false">IF(L1015&gt;=2,"High",IF(L1015=1,"Medium","Low"))</f>
        <v>Medium</v>
      </c>
    </row>
    <row r="1016" customFormat="false" ht="15" hidden="false" customHeight="true" outlineLevel="0" collapsed="false">
      <c r="A1016" s="1" t="str">
        <f aca="false">Transactions!A1016</f>
        <v>TXN500525</v>
      </c>
      <c r="B1016" s="1" t="str">
        <f aca="false">Transactions!B1016</f>
        <v>ACC1023</v>
      </c>
      <c r="C1016" s="1" t="str">
        <f aca="false">Transactions!I1016</f>
        <v>2026-03-04</v>
      </c>
      <c r="D1016" s="1" t="n">
        <f aca="false">Transactions!J1016</f>
        <v>0</v>
      </c>
      <c r="E1016" s="1" t="n">
        <f aca="false">Transactions!D1016</f>
        <v>33.55</v>
      </c>
      <c r="F1016" s="1" t="str">
        <f aca="false">Transactions!H1016</f>
        <v>POS</v>
      </c>
      <c r="G1016" s="1" t="str">
        <f aca="false">Transactions!G1016</f>
        <v>Wire Transfer</v>
      </c>
      <c r="H1016" s="1" t="n">
        <f aca="false">IF(COUNTIFS($B$2:$B$1489,B1016,$C$2:$C$1489,C1016,$D$2:$D$1489,D1016)&gt;6,1,0)</f>
        <v>0</v>
      </c>
      <c r="I1016" s="1" t="n">
        <f aca="false">IF(AND(F1016="Wire",E1016&gt;=1000,MOD(E1016,1000)=0),1,0)</f>
        <v>0</v>
      </c>
      <c r="J1016" s="1" t="n">
        <f aca="false">IF(AND(F1016="ATM",E1016&gt;2000,D1016&lt;=4),1,0)</f>
        <v>0</v>
      </c>
      <c r="K1016" s="1" t="n">
        <f aca="false">IF(COUNTIF('SQL Findings'!$A$4:$A$18,B1016)&gt;0,1,0)</f>
        <v>0</v>
      </c>
      <c r="L1016" s="1" t="n">
        <f aca="false">SUM(H1016:K1016)</f>
        <v>0</v>
      </c>
      <c r="M1016" s="1" t="str">
        <f aca="false">IF(L1016&gt;=2,"High",IF(L1016=1,"Medium","Low"))</f>
        <v>Low</v>
      </c>
    </row>
    <row r="1017" customFormat="false" ht="15" hidden="false" customHeight="true" outlineLevel="0" collapsed="false">
      <c r="A1017" s="1" t="str">
        <f aca="false">Transactions!A1017</f>
        <v>TXN500150</v>
      </c>
      <c r="B1017" s="1" t="str">
        <f aca="false">Transactions!B1017</f>
        <v>ACC1006</v>
      </c>
      <c r="C1017" s="1" t="str">
        <f aca="false">Transactions!I1017</f>
        <v>2026-03-04</v>
      </c>
      <c r="D1017" s="1" t="n">
        <f aca="false">Transactions!J1017</f>
        <v>4</v>
      </c>
      <c r="E1017" s="1" t="n">
        <f aca="false">Transactions!D1017</f>
        <v>87.12</v>
      </c>
      <c r="F1017" s="1" t="str">
        <f aca="false">Transactions!H1017</f>
        <v>Online</v>
      </c>
      <c r="G1017" s="1" t="str">
        <f aca="false">Transactions!G1017</f>
        <v>Utilities</v>
      </c>
      <c r="H1017" s="1" t="n">
        <f aca="false">IF(COUNTIFS($B$2:$B$1489,B1017,$C$2:$C$1489,C1017,$D$2:$D$1489,D1017)&gt;6,1,0)</f>
        <v>0</v>
      </c>
      <c r="I1017" s="1" t="n">
        <f aca="false">IF(AND(F1017="Wire",E1017&gt;=1000,MOD(E1017,1000)=0),1,0)</f>
        <v>0</v>
      </c>
      <c r="J1017" s="1" t="n">
        <f aca="false">IF(AND(F1017="ATM",E1017&gt;2000,D1017&lt;=4),1,0)</f>
        <v>0</v>
      </c>
      <c r="K1017" s="1" t="n">
        <f aca="false">IF(COUNTIF('SQL Findings'!$A$4:$A$18,B1017)&gt;0,1,0)</f>
        <v>0</v>
      </c>
      <c r="L1017" s="1" t="n">
        <f aca="false">SUM(H1017:K1017)</f>
        <v>0</v>
      </c>
      <c r="M1017" s="1" t="str">
        <f aca="false">IF(L1017&gt;=2,"High",IF(L1017=1,"Medium","Low"))</f>
        <v>Low</v>
      </c>
    </row>
    <row r="1018" customFormat="false" ht="15" hidden="false" customHeight="true" outlineLevel="0" collapsed="false">
      <c r="A1018" s="1" t="str">
        <f aca="false">Transactions!A1018</f>
        <v>TXN500605</v>
      </c>
      <c r="B1018" s="1" t="str">
        <f aca="false">Transactions!B1018</f>
        <v>ACC1026</v>
      </c>
      <c r="C1018" s="1" t="str">
        <f aca="false">Transactions!I1018</f>
        <v>2026-03-04</v>
      </c>
      <c r="D1018" s="1" t="n">
        <f aca="false">Transactions!J1018</f>
        <v>6</v>
      </c>
      <c r="E1018" s="1" t="n">
        <f aca="false">Transactions!D1018</f>
        <v>96.75</v>
      </c>
      <c r="F1018" s="1" t="str">
        <f aca="false">Transactions!H1018</f>
        <v>ATM</v>
      </c>
      <c r="G1018" s="1" t="str">
        <f aca="false">Transactions!G1018</f>
        <v>Wire Transfer</v>
      </c>
      <c r="H1018" s="1" t="n">
        <f aca="false">IF(COUNTIFS($B$2:$B$1489,B1018,$C$2:$C$1489,C1018,$D$2:$D$1489,D1018)&gt;6,1,0)</f>
        <v>0</v>
      </c>
      <c r="I1018" s="1" t="n">
        <f aca="false">IF(AND(F1018="Wire",E1018&gt;=1000,MOD(E1018,1000)=0),1,0)</f>
        <v>0</v>
      </c>
      <c r="J1018" s="1" t="n">
        <f aca="false">IF(AND(F1018="ATM",E1018&gt;2000,D1018&lt;=4),1,0)</f>
        <v>0</v>
      </c>
      <c r="K1018" s="1" t="n">
        <f aca="false">IF(COUNTIF('SQL Findings'!$A$4:$A$18,B1018)&gt;0,1,0)</f>
        <v>0</v>
      </c>
      <c r="L1018" s="1" t="n">
        <f aca="false">SUM(H1018:K1018)</f>
        <v>0</v>
      </c>
      <c r="M1018" s="1" t="str">
        <f aca="false">IF(L1018&gt;=2,"High",IF(L1018=1,"Medium","Low"))</f>
        <v>Low</v>
      </c>
    </row>
    <row r="1019" customFormat="false" ht="15" hidden="false" customHeight="true" outlineLevel="0" collapsed="false">
      <c r="A1019" s="1" t="str">
        <f aca="false">Transactions!A1019</f>
        <v>TXN500376</v>
      </c>
      <c r="B1019" s="1" t="str">
        <f aca="false">Transactions!B1019</f>
        <v>ACC1016</v>
      </c>
      <c r="C1019" s="1" t="str">
        <f aca="false">Transactions!I1019</f>
        <v>2026-03-04</v>
      </c>
      <c r="D1019" s="1" t="n">
        <f aca="false">Transactions!J1019</f>
        <v>7</v>
      </c>
      <c r="E1019" s="1" t="n">
        <f aca="false">Transactions!D1019</f>
        <v>33.43</v>
      </c>
      <c r="F1019" s="1" t="str">
        <f aca="false">Transactions!H1019</f>
        <v>Online</v>
      </c>
      <c r="G1019" s="1" t="str">
        <f aca="false">Transactions!G1019</f>
        <v>Electronics</v>
      </c>
      <c r="H1019" s="1" t="n">
        <f aca="false">IF(COUNTIFS($B$2:$B$1489,B1019,$C$2:$C$1489,C1019,$D$2:$D$1489,D1019)&gt;6,1,0)</f>
        <v>0</v>
      </c>
      <c r="I1019" s="1" t="n">
        <f aca="false">IF(AND(F1019="Wire",E1019&gt;=1000,MOD(E1019,1000)=0),1,0)</f>
        <v>0</v>
      </c>
      <c r="J1019" s="1" t="n">
        <f aca="false">IF(AND(F1019="ATM",E1019&gt;2000,D1019&lt;=4),1,0)</f>
        <v>0</v>
      </c>
      <c r="K1019" s="1" t="n">
        <f aca="false">IF(COUNTIF('SQL Findings'!$A$4:$A$18,B1019)&gt;0,1,0)</f>
        <v>0</v>
      </c>
      <c r="L1019" s="1" t="n">
        <f aca="false">SUM(H1019:K1019)</f>
        <v>0</v>
      </c>
      <c r="M1019" s="1" t="str">
        <f aca="false">IF(L1019&gt;=2,"High",IF(L1019=1,"Medium","Low"))</f>
        <v>Low</v>
      </c>
    </row>
    <row r="1020" customFormat="false" ht="15" hidden="false" customHeight="true" outlineLevel="0" collapsed="false">
      <c r="A1020" s="1" t="str">
        <f aca="false">Transactions!A1020</f>
        <v>TXN500136</v>
      </c>
      <c r="B1020" s="1" t="str">
        <f aca="false">Transactions!B1020</f>
        <v>ACC1006</v>
      </c>
      <c r="C1020" s="1" t="str">
        <f aca="false">Transactions!I1020</f>
        <v>2026-03-04</v>
      </c>
      <c r="D1020" s="1" t="n">
        <f aca="false">Transactions!J1020</f>
        <v>7</v>
      </c>
      <c r="E1020" s="1" t="n">
        <f aca="false">Transactions!D1020</f>
        <v>269.06</v>
      </c>
      <c r="F1020" s="1" t="str">
        <f aca="false">Transactions!H1020</f>
        <v>Online</v>
      </c>
      <c r="G1020" s="1" t="str">
        <f aca="false">Transactions!G1020</f>
        <v>Utilities</v>
      </c>
      <c r="H1020" s="1" t="n">
        <f aca="false">IF(COUNTIFS($B$2:$B$1489,B1020,$C$2:$C$1489,C1020,$D$2:$D$1489,D1020)&gt;6,1,0)</f>
        <v>0</v>
      </c>
      <c r="I1020" s="1" t="n">
        <f aca="false">IF(AND(F1020="Wire",E1020&gt;=1000,MOD(E1020,1000)=0),1,0)</f>
        <v>0</v>
      </c>
      <c r="J1020" s="1" t="n">
        <f aca="false">IF(AND(F1020="ATM",E1020&gt;2000,D1020&lt;=4),1,0)</f>
        <v>0</v>
      </c>
      <c r="K1020" s="1" t="n">
        <f aca="false">IF(COUNTIF('SQL Findings'!$A$4:$A$18,B1020)&gt;0,1,0)</f>
        <v>0</v>
      </c>
      <c r="L1020" s="1" t="n">
        <f aca="false">SUM(H1020:K1020)</f>
        <v>0</v>
      </c>
      <c r="M1020" s="1" t="str">
        <f aca="false">IF(L1020&gt;=2,"High",IF(L1020=1,"Medium","Low"))</f>
        <v>Low</v>
      </c>
    </row>
    <row r="1021" customFormat="false" ht="15" hidden="false" customHeight="true" outlineLevel="0" collapsed="false">
      <c r="A1021" s="1" t="str">
        <f aca="false">Transactions!A1021</f>
        <v>TXN500624</v>
      </c>
      <c r="B1021" s="1" t="str">
        <f aca="false">Transactions!B1021</f>
        <v>ACC1027</v>
      </c>
      <c r="C1021" s="1" t="str">
        <f aca="false">Transactions!I1021</f>
        <v>2026-03-04</v>
      </c>
      <c r="D1021" s="1" t="n">
        <f aca="false">Transactions!J1021</f>
        <v>9</v>
      </c>
      <c r="E1021" s="1" t="n">
        <f aca="false">Transactions!D1021</f>
        <v>223.83</v>
      </c>
      <c r="F1021" s="1" t="str">
        <f aca="false">Transactions!H1021</f>
        <v>ATM</v>
      </c>
      <c r="G1021" s="1" t="str">
        <f aca="false">Transactions!G1021</f>
        <v>Electronics</v>
      </c>
      <c r="H1021" s="1" t="n">
        <f aca="false">IF(COUNTIFS($B$2:$B$1489,B1021,$C$2:$C$1489,C1021,$D$2:$D$1489,D1021)&gt;6,1,0)</f>
        <v>0</v>
      </c>
      <c r="I1021" s="1" t="n">
        <f aca="false">IF(AND(F1021="Wire",E1021&gt;=1000,MOD(E1021,1000)=0),1,0)</f>
        <v>0</v>
      </c>
      <c r="J1021" s="1" t="n">
        <f aca="false">IF(AND(F1021="ATM",E1021&gt;2000,D1021&lt;=4),1,0)</f>
        <v>0</v>
      </c>
      <c r="K1021" s="1" t="n">
        <f aca="false">IF(COUNTIF('SQL Findings'!$A$4:$A$18,B1021)&gt;0,1,0)</f>
        <v>0</v>
      </c>
      <c r="L1021" s="1" t="n">
        <f aca="false">SUM(H1021:K1021)</f>
        <v>0</v>
      </c>
      <c r="M1021" s="1" t="str">
        <f aca="false">IF(L1021&gt;=2,"High",IF(L1021=1,"Medium","Low"))</f>
        <v>Low</v>
      </c>
    </row>
    <row r="1022" customFormat="false" ht="15" hidden="false" customHeight="true" outlineLevel="0" collapsed="false">
      <c r="A1022" s="1" t="str">
        <f aca="false">Transactions!A1022</f>
        <v>TXN500595</v>
      </c>
      <c r="B1022" s="1" t="str">
        <f aca="false">Transactions!B1022</f>
        <v>ACC1026</v>
      </c>
      <c r="C1022" s="1" t="str">
        <f aca="false">Transactions!I1022</f>
        <v>2026-03-04</v>
      </c>
      <c r="D1022" s="1" t="n">
        <f aca="false">Transactions!J1022</f>
        <v>12</v>
      </c>
      <c r="E1022" s="1" t="n">
        <f aca="false">Transactions!D1022</f>
        <v>169.66</v>
      </c>
      <c r="F1022" s="1" t="str">
        <f aca="false">Transactions!H1022</f>
        <v>ATM</v>
      </c>
      <c r="G1022" s="1" t="str">
        <f aca="false">Transactions!G1022</f>
        <v>Cash Withdrawal</v>
      </c>
      <c r="H1022" s="1" t="n">
        <f aca="false">IF(COUNTIFS($B$2:$B$1489,B1022,$C$2:$C$1489,C1022,$D$2:$D$1489,D1022)&gt;6,1,0)</f>
        <v>0</v>
      </c>
      <c r="I1022" s="1" t="n">
        <f aca="false">IF(AND(F1022="Wire",E1022&gt;=1000,MOD(E1022,1000)=0),1,0)</f>
        <v>0</v>
      </c>
      <c r="J1022" s="1" t="n">
        <f aca="false">IF(AND(F1022="ATM",E1022&gt;2000,D1022&lt;=4),1,0)</f>
        <v>0</v>
      </c>
      <c r="K1022" s="1" t="n">
        <f aca="false">IF(COUNTIF('SQL Findings'!$A$4:$A$18,B1022)&gt;0,1,0)</f>
        <v>0</v>
      </c>
      <c r="L1022" s="1" t="n">
        <f aca="false">SUM(H1022:K1022)</f>
        <v>0</v>
      </c>
      <c r="M1022" s="1" t="str">
        <f aca="false">IF(L1022&gt;=2,"High",IF(L1022=1,"Medium","Low"))</f>
        <v>Low</v>
      </c>
    </row>
    <row r="1023" customFormat="false" ht="15" hidden="false" customHeight="true" outlineLevel="0" collapsed="false">
      <c r="A1023" s="1" t="str">
        <f aca="false">Transactions!A1023</f>
        <v>TXN501137</v>
      </c>
      <c r="B1023" s="1" t="str">
        <f aca="false">Transactions!B1023</f>
        <v>ACC1050</v>
      </c>
      <c r="C1023" s="1" t="str">
        <f aca="false">Transactions!I1023</f>
        <v>2026-03-04</v>
      </c>
      <c r="D1023" s="1" t="n">
        <f aca="false">Transactions!J1023</f>
        <v>12</v>
      </c>
      <c r="E1023" s="1" t="n">
        <f aca="false">Transactions!D1023</f>
        <v>194.52</v>
      </c>
      <c r="F1023" s="1" t="str">
        <f aca="false">Transactions!H1023</f>
        <v>POS</v>
      </c>
      <c r="G1023" s="1" t="str">
        <f aca="false">Transactions!G1023</f>
        <v>Utilities</v>
      </c>
      <c r="H1023" s="1" t="n">
        <f aca="false">IF(COUNTIFS($B$2:$B$1489,B1023,$C$2:$C$1489,C1023,$D$2:$D$1489,D1023)&gt;6,1,0)</f>
        <v>0</v>
      </c>
      <c r="I1023" s="1" t="n">
        <f aca="false">IF(AND(F1023="Wire",E1023&gt;=1000,MOD(E1023,1000)=0),1,0)</f>
        <v>0</v>
      </c>
      <c r="J1023" s="1" t="n">
        <f aca="false">IF(AND(F1023="ATM",E1023&gt;2000,D1023&lt;=4),1,0)</f>
        <v>0</v>
      </c>
      <c r="K1023" s="1" t="n">
        <f aca="false">IF(COUNTIF('SQL Findings'!$A$4:$A$18,B1023)&gt;0,1,0)</f>
        <v>0</v>
      </c>
      <c r="L1023" s="1" t="n">
        <f aca="false">SUM(H1023:K1023)</f>
        <v>0</v>
      </c>
      <c r="M1023" s="1" t="str">
        <f aca="false">IF(L1023&gt;=2,"High",IF(L1023=1,"Medium","Low"))</f>
        <v>Low</v>
      </c>
    </row>
    <row r="1024" customFormat="false" ht="15" hidden="false" customHeight="true" outlineLevel="0" collapsed="false">
      <c r="A1024" s="1" t="str">
        <f aca="false">Transactions!A1024</f>
        <v>TXN500779</v>
      </c>
      <c r="B1024" s="1" t="str">
        <f aca="false">Transactions!B1024</f>
        <v>ACC1033</v>
      </c>
      <c r="C1024" s="1" t="str">
        <f aca="false">Transactions!I1024</f>
        <v>2026-03-04</v>
      </c>
      <c r="D1024" s="1" t="n">
        <f aca="false">Transactions!J1024</f>
        <v>13</v>
      </c>
      <c r="E1024" s="1" t="n">
        <f aca="false">Transactions!D1024</f>
        <v>62.37</v>
      </c>
      <c r="F1024" s="1" t="str">
        <f aca="false">Transactions!H1024</f>
        <v>POS</v>
      </c>
      <c r="G1024" s="1" t="str">
        <f aca="false">Transactions!G1024</f>
        <v>Retail</v>
      </c>
      <c r="H1024" s="1" t="n">
        <f aca="false">IF(COUNTIFS($B$2:$B$1489,B1024,$C$2:$C$1489,C1024,$D$2:$D$1489,D1024)&gt;6,1,0)</f>
        <v>0</v>
      </c>
      <c r="I1024" s="1" t="n">
        <f aca="false">IF(AND(F1024="Wire",E1024&gt;=1000,MOD(E1024,1000)=0),1,0)</f>
        <v>0</v>
      </c>
      <c r="J1024" s="1" t="n">
        <f aca="false">IF(AND(F1024="ATM",E1024&gt;2000,D1024&lt;=4),1,0)</f>
        <v>0</v>
      </c>
      <c r="K1024" s="1" t="n">
        <f aca="false">IF(COUNTIF('SQL Findings'!$A$4:$A$18,B1024)&gt;0,1,0)</f>
        <v>0</v>
      </c>
      <c r="L1024" s="1" t="n">
        <f aca="false">SUM(H1024:K1024)</f>
        <v>0</v>
      </c>
      <c r="M1024" s="1" t="str">
        <f aca="false">IF(L1024&gt;=2,"High",IF(L1024=1,"Medium","Low"))</f>
        <v>Low</v>
      </c>
    </row>
    <row r="1025" customFormat="false" ht="15" hidden="false" customHeight="true" outlineLevel="0" collapsed="false">
      <c r="A1025" s="1" t="str">
        <f aca="false">Transactions!A1025</f>
        <v>TXN500735</v>
      </c>
      <c r="B1025" s="1" t="str">
        <f aca="false">Transactions!B1025</f>
        <v>ACC1031</v>
      </c>
      <c r="C1025" s="1" t="str">
        <f aca="false">Transactions!I1025</f>
        <v>2026-03-04</v>
      </c>
      <c r="D1025" s="1" t="n">
        <f aca="false">Transactions!J1025</f>
        <v>14</v>
      </c>
      <c r="E1025" s="1" t="n">
        <f aca="false">Transactions!D1025</f>
        <v>168.38</v>
      </c>
      <c r="F1025" s="1" t="str">
        <f aca="false">Transactions!H1025</f>
        <v>POS</v>
      </c>
      <c r="G1025" s="1" t="str">
        <f aca="false">Transactions!G1025</f>
        <v>Cash Withdrawal</v>
      </c>
      <c r="H1025" s="1" t="n">
        <f aca="false">IF(COUNTIFS($B$2:$B$1489,B1025,$C$2:$C$1489,C1025,$D$2:$D$1489,D1025)&gt;6,1,0)</f>
        <v>0</v>
      </c>
      <c r="I1025" s="1" t="n">
        <f aca="false">IF(AND(F1025="Wire",E1025&gt;=1000,MOD(E1025,1000)=0),1,0)</f>
        <v>0</v>
      </c>
      <c r="J1025" s="1" t="n">
        <f aca="false">IF(AND(F1025="ATM",E1025&gt;2000,D1025&lt;=4),1,0)</f>
        <v>0</v>
      </c>
      <c r="K1025" s="1" t="n">
        <f aca="false">IF(COUNTIF('SQL Findings'!$A$4:$A$18,B1025)&gt;0,1,0)</f>
        <v>0</v>
      </c>
      <c r="L1025" s="1" t="n">
        <f aca="false">SUM(H1025:K1025)</f>
        <v>0</v>
      </c>
      <c r="M1025" s="1" t="str">
        <f aca="false">IF(L1025&gt;=2,"High",IF(L1025=1,"Medium","Low"))</f>
        <v>Low</v>
      </c>
    </row>
    <row r="1026" customFormat="false" ht="15" hidden="false" customHeight="true" outlineLevel="0" collapsed="false">
      <c r="A1026" s="1" t="str">
        <f aca="false">Transactions!A1026</f>
        <v>TXN500103</v>
      </c>
      <c r="B1026" s="1" t="str">
        <f aca="false">Transactions!B1026</f>
        <v>ACC1004</v>
      </c>
      <c r="C1026" s="1" t="str">
        <f aca="false">Transactions!I1026</f>
        <v>2026-03-04</v>
      </c>
      <c r="D1026" s="1" t="n">
        <f aca="false">Transactions!J1026</f>
        <v>14</v>
      </c>
      <c r="E1026" s="1" t="n">
        <f aca="false">Transactions!D1026</f>
        <v>48.99</v>
      </c>
      <c r="F1026" s="1" t="str">
        <f aca="false">Transactions!H1026</f>
        <v>POS</v>
      </c>
      <c r="G1026" s="1" t="str">
        <f aca="false">Transactions!G1026</f>
        <v>Online Marketplace</v>
      </c>
      <c r="H1026" s="1" t="n">
        <f aca="false">IF(COUNTIFS($B$2:$B$1489,B1026,$C$2:$C$1489,C1026,$D$2:$D$1489,D1026)&gt;6,1,0)</f>
        <v>0</v>
      </c>
      <c r="I1026" s="1" t="n">
        <f aca="false">IF(AND(F1026="Wire",E1026&gt;=1000,MOD(E1026,1000)=0),1,0)</f>
        <v>0</v>
      </c>
      <c r="J1026" s="1" t="n">
        <f aca="false">IF(AND(F1026="ATM",E1026&gt;2000,D1026&lt;=4),1,0)</f>
        <v>0</v>
      </c>
      <c r="K1026" s="1" t="n">
        <f aca="false">IF(COUNTIF('SQL Findings'!$A$4:$A$18,B1026)&gt;0,1,0)</f>
        <v>1</v>
      </c>
      <c r="L1026" s="1" t="n">
        <f aca="false">SUM(H1026:K1026)</f>
        <v>1</v>
      </c>
      <c r="M1026" s="1" t="str">
        <f aca="false">IF(L1026&gt;=2,"High",IF(L1026=1,"Medium","Low"))</f>
        <v>Medium</v>
      </c>
    </row>
    <row r="1027" customFormat="false" ht="15" hidden="false" customHeight="true" outlineLevel="0" collapsed="false">
      <c r="A1027" s="1" t="str">
        <f aca="false">Transactions!A1027</f>
        <v>TXN500602</v>
      </c>
      <c r="B1027" s="1" t="str">
        <f aca="false">Transactions!B1027</f>
        <v>ACC1026</v>
      </c>
      <c r="C1027" s="1" t="str">
        <f aca="false">Transactions!I1027</f>
        <v>2026-03-04</v>
      </c>
      <c r="D1027" s="1" t="n">
        <f aca="false">Transactions!J1027</f>
        <v>14</v>
      </c>
      <c r="E1027" s="1" t="n">
        <f aca="false">Transactions!D1027</f>
        <v>29.08</v>
      </c>
      <c r="F1027" s="1" t="str">
        <f aca="false">Transactions!H1027</f>
        <v>ATM</v>
      </c>
      <c r="G1027" s="1" t="str">
        <f aca="false">Transactions!G1027</f>
        <v>Travel</v>
      </c>
      <c r="H1027" s="1" t="n">
        <f aca="false">IF(COUNTIFS($B$2:$B$1489,B1027,$C$2:$C$1489,C1027,$D$2:$D$1489,D1027)&gt;6,1,0)</f>
        <v>0</v>
      </c>
      <c r="I1027" s="1" t="n">
        <f aca="false">IF(AND(F1027="Wire",E1027&gt;=1000,MOD(E1027,1000)=0),1,0)</f>
        <v>0</v>
      </c>
      <c r="J1027" s="1" t="n">
        <f aca="false">IF(AND(F1027="ATM",E1027&gt;2000,D1027&lt;=4),1,0)</f>
        <v>0</v>
      </c>
      <c r="K1027" s="1" t="n">
        <f aca="false">IF(COUNTIF('SQL Findings'!$A$4:$A$18,B1027)&gt;0,1,0)</f>
        <v>0</v>
      </c>
      <c r="L1027" s="1" t="n">
        <f aca="false">SUM(H1027:K1027)</f>
        <v>0</v>
      </c>
      <c r="M1027" s="1" t="str">
        <f aca="false">IF(L1027&gt;=2,"High",IF(L1027=1,"Medium","Low"))</f>
        <v>Low</v>
      </c>
    </row>
    <row r="1028" customFormat="false" ht="15" hidden="false" customHeight="true" outlineLevel="0" collapsed="false">
      <c r="A1028" s="1" t="str">
        <f aca="false">Transactions!A1028</f>
        <v>TXN501192</v>
      </c>
      <c r="B1028" s="1" t="str">
        <f aca="false">Transactions!B1028</f>
        <v>ACC1052</v>
      </c>
      <c r="C1028" s="1" t="str">
        <f aca="false">Transactions!I1028</f>
        <v>2026-03-04</v>
      </c>
      <c r="D1028" s="1" t="n">
        <f aca="false">Transactions!J1028</f>
        <v>17</v>
      </c>
      <c r="E1028" s="1" t="n">
        <f aca="false">Transactions!D1028</f>
        <v>20.07</v>
      </c>
      <c r="F1028" s="1" t="str">
        <f aca="false">Transactions!H1028</f>
        <v>POS</v>
      </c>
      <c r="G1028" s="1" t="str">
        <f aca="false">Transactions!G1028</f>
        <v>Electronics</v>
      </c>
      <c r="H1028" s="1" t="n">
        <f aca="false">IF(COUNTIFS($B$2:$B$1489,B1028,$C$2:$C$1489,C1028,$D$2:$D$1489,D1028)&gt;6,1,0)</f>
        <v>0</v>
      </c>
      <c r="I1028" s="1" t="n">
        <f aca="false">IF(AND(F1028="Wire",E1028&gt;=1000,MOD(E1028,1000)=0),1,0)</f>
        <v>0</v>
      </c>
      <c r="J1028" s="1" t="n">
        <f aca="false">IF(AND(F1028="ATM",E1028&gt;2000,D1028&lt;=4),1,0)</f>
        <v>0</v>
      </c>
      <c r="K1028" s="1" t="n">
        <f aca="false">IF(COUNTIF('SQL Findings'!$A$4:$A$18,B1028)&gt;0,1,0)</f>
        <v>0</v>
      </c>
      <c r="L1028" s="1" t="n">
        <f aca="false">SUM(H1028:K1028)</f>
        <v>0</v>
      </c>
      <c r="M1028" s="1" t="str">
        <f aca="false">IF(L1028&gt;=2,"High",IF(L1028=1,"Medium","Low"))</f>
        <v>Low</v>
      </c>
    </row>
    <row r="1029" customFormat="false" ht="15" hidden="false" customHeight="true" outlineLevel="0" collapsed="false">
      <c r="A1029" s="1" t="str">
        <f aca="false">Transactions!A1029</f>
        <v>TXN500784</v>
      </c>
      <c r="B1029" s="1" t="str">
        <f aca="false">Transactions!B1029</f>
        <v>ACC1033</v>
      </c>
      <c r="C1029" s="1" t="str">
        <f aca="false">Transactions!I1029</f>
        <v>2026-03-04</v>
      </c>
      <c r="D1029" s="1" t="n">
        <f aca="false">Transactions!J1029</f>
        <v>17</v>
      </c>
      <c r="E1029" s="1" t="n">
        <f aca="false">Transactions!D1029</f>
        <v>115.53</v>
      </c>
      <c r="F1029" s="1" t="str">
        <f aca="false">Transactions!H1029</f>
        <v>POS</v>
      </c>
      <c r="G1029" s="1" t="str">
        <f aca="false">Transactions!G1029</f>
        <v>Electronics</v>
      </c>
      <c r="H1029" s="1" t="n">
        <f aca="false">IF(COUNTIFS($B$2:$B$1489,B1029,$C$2:$C$1489,C1029,$D$2:$D$1489,D1029)&gt;6,1,0)</f>
        <v>0</v>
      </c>
      <c r="I1029" s="1" t="n">
        <f aca="false">IF(AND(F1029="Wire",E1029&gt;=1000,MOD(E1029,1000)=0),1,0)</f>
        <v>0</v>
      </c>
      <c r="J1029" s="1" t="n">
        <f aca="false">IF(AND(F1029="ATM",E1029&gt;2000,D1029&lt;=4),1,0)</f>
        <v>0</v>
      </c>
      <c r="K1029" s="1" t="n">
        <f aca="false">IF(COUNTIF('SQL Findings'!$A$4:$A$18,B1029)&gt;0,1,0)</f>
        <v>0</v>
      </c>
      <c r="L1029" s="1" t="n">
        <f aca="false">SUM(H1029:K1029)</f>
        <v>0</v>
      </c>
      <c r="M1029" s="1" t="str">
        <f aca="false">IF(L1029&gt;=2,"High",IF(L1029=1,"Medium","Low"))</f>
        <v>Low</v>
      </c>
    </row>
    <row r="1030" customFormat="false" ht="15" hidden="false" customHeight="true" outlineLevel="0" collapsed="false">
      <c r="A1030" s="1" t="str">
        <f aca="false">Transactions!A1030</f>
        <v>TXN501161</v>
      </c>
      <c r="B1030" s="1" t="str">
        <f aca="false">Transactions!B1030</f>
        <v>ACC1051</v>
      </c>
      <c r="C1030" s="1" t="str">
        <f aca="false">Transactions!I1030</f>
        <v>2026-03-04</v>
      </c>
      <c r="D1030" s="1" t="n">
        <f aca="false">Transactions!J1030</f>
        <v>17</v>
      </c>
      <c r="E1030" s="1" t="n">
        <f aca="false">Transactions!D1030</f>
        <v>7.03</v>
      </c>
      <c r="F1030" s="1" t="str">
        <f aca="false">Transactions!H1030</f>
        <v>ATM</v>
      </c>
      <c r="G1030" s="1" t="str">
        <f aca="false">Transactions!G1030</f>
        <v>Electronics</v>
      </c>
      <c r="H1030" s="1" t="n">
        <f aca="false">IF(COUNTIFS($B$2:$B$1489,B1030,$C$2:$C$1489,C1030,$D$2:$D$1489,D1030)&gt;6,1,0)</f>
        <v>0</v>
      </c>
      <c r="I1030" s="1" t="n">
        <f aca="false">IF(AND(F1030="Wire",E1030&gt;=1000,MOD(E1030,1000)=0),1,0)</f>
        <v>0</v>
      </c>
      <c r="J1030" s="1" t="n">
        <f aca="false">IF(AND(F1030="ATM",E1030&gt;2000,D1030&lt;=4),1,0)</f>
        <v>0</v>
      </c>
      <c r="K1030" s="1" t="n">
        <f aca="false">IF(COUNTIF('SQL Findings'!$A$4:$A$18,B1030)&gt;0,1,0)</f>
        <v>0</v>
      </c>
      <c r="L1030" s="1" t="n">
        <f aca="false">SUM(H1030:K1030)</f>
        <v>0</v>
      </c>
      <c r="M1030" s="1" t="str">
        <f aca="false">IF(L1030&gt;=2,"High",IF(L1030=1,"Medium","Low"))</f>
        <v>Low</v>
      </c>
    </row>
    <row r="1031" customFormat="false" ht="15" hidden="false" customHeight="true" outlineLevel="0" collapsed="false">
      <c r="A1031" s="1" t="str">
        <f aca="false">Transactions!A1031</f>
        <v>TXN500518</v>
      </c>
      <c r="B1031" s="1" t="str">
        <f aca="false">Transactions!B1031</f>
        <v>ACC1023</v>
      </c>
      <c r="C1031" s="1" t="str">
        <f aca="false">Transactions!I1031</f>
        <v>2026-03-04</v>
      </c>
      <c r="D1031" s="1" t="n">
        <f aca="false">Transactions!J1031</f>
        <v>22</v>
      </c>
      <c r="E1031" s="1" t="n">
        <f aca="false">Transactions!D1031</f>
        <v>27.67</v>
      </c>
      <c r="F1031" s="1" t="str">
        <f aca="false">Transactions!H1031</f>
        <v>Online</v>
      </c>
      <c r="G1031" s="1" t="str">
        <f aca="false">Transactions!G1031</f>
        <v>Online Marketplace</v>
      </c>
      <c r="H1031" s="1" t="n">
        <f aca="false">IF(COUNTIFS($B$2:$B$1489,B1031,$C$2:$C$1489,C1031,$D$2:$D$1489,D1031)&gt;6,1,0)</f>
        <v>0</v>
      </c>
      <c r="I1031" s="1" t="n">
        <f aca="false">IF(AND(F1031="Wire",E1031&gt;=1000,MOD(E1031,1000)=0),1,0)</f>
        <v>0</v>
      </c>
      <c r="J1031" s="1" t="n">
        <f aca="false">IF(AND(F1031="ATM",E1031&gt;2000,D1031&lt;=4),1,0)</f>
        <v>0</v>
      </c>
      <c r="K1031" s="1" t="n">
        <f aca="false">IF(COUNTIF('SQL Findings'!$A$4:$A$18,B1031)&gt;0,1,0)</f>
        <v>0</v>
      </c>
      <c r="L1031" s="1" t="n">
        <f aca="false">SUM(H1031:K1031)</f>
        <v>0</v>
      </c>
      <c r="M1031" s="1" t="str">
        <f aca="false">IF(L1031&gt;=2,"High",IF(L1031=1,"Medium","Low"))</f>
        <v>Low</v>
      </c>
    </row>
    <row r="1032" customFormat="false" ht="15" hidden="false" customHeight="true" outlineLevel="0" collapsed="false">
      <c r="A1032" s="1" t="str">
        <f aca="false">Transactions!A1032</f>
        <v>TXN500382</v>
      </c>
      <c r="B1032" s="1" t="str">
        <f aca="false">Transactions!B1032</f>
        <v>ACC1016</v>
      </c>
      <c r="C1032" s="1" t="str">
        <f aca="false">Transactions!I1032</f>
        <v>2026-03-05</v>
      </c>
      <c r="D1032" s="1" t="n">
        <f aca="false">Transactions!J1032</f>
        <v>1</v>
      </c>
      <c r="E1032" s="1" t="n">
        <f aca="false">Transactions!D1032</f>
        <v>38.88</v>
      </c>
      <c r="F1032" s="1" t="str">
        <f aca="false">Transactions!H1032</f>
        <v>Online</v>
      </c>
      <c r="G1032" s="1" t="str">
        <f aca="false">Transactions!G1032</f>
        <v>Cash Withdrawal</v>
      </c>
      <c r="H1032" s="1" t="n">
        <f aca="false">IF(COUNTIFS($B$2:$B$1489,B1032,$C$2:$C$1489,C1032,$D$2:$D$1489,D1032)&gt;6,1,0)</f>
        <v>0</v>
      </c>
      <c r="I1032" s="1" t="n">
        <f aca="false">IF(AND(F1032="Wire",E1032&gt;=1000,MOD(E1032,1000)=0),1,0)</f>
        <v>0</v>
      </c>
      <c r="J1032" s="1" t="n">
        <f aca="false">IF(AND(F1032="ATM",E1032&gt;2000,D1032&lt;=4),1,0)</f>
        <v>0</v>
      </c>
      <c r="K1032" s="1" t="n">
        <f aca="false">IF(COUNTIF('SQL Findings'!$A$4:$A$18,B1032)&gt;0,1,0)</f>
        <v>0</v>
      </c>
      <c r="L1032" s="1" t="n">
        <f aca="false">SUM(H1032:K1032)</f>
        <v>0</v>
      </c>
      <c r="M1032" s="1" t="str">
        <f aca="false">IF(L1032&gt;=2,"High",IF(L1032=1,"Medium","Low"))</f>
        <v>Low</v>
      </c>
    </row>
    <row r="1033" customFormat="false" ht="15" hidden="false" customHeight="true" outlineLevel="0" collapsed="false">
      <c r="A1033" s="1" t="str">
        <f aca="false">Transactions!A1033</f>
        <v>TXN500558</v>
      </c>
      <c r="B1033" s="1" t="str">
        <f aca="false">Transactions!B1033</f>
        <v>ACC1024</v>
      </c>
      <c r="C1033" s="1" t="str">
        <f aca="false">Transactions!I1033</f>
        <v>2026-03-05</v>
      </c>
      <c r="D1033" s="1" t="n">
        <f aca="false">Transactions!J1033</f>
        <v>6</v>
      </c>
      <c r="E1033" s="1" t="n">
        <f aca="false">Transactions!D1033</f>
        <v>45.18</v>
      </c>
      <c r="F1033" s="1" t="str">
        <f aca="false">Transactions!H1033</f>
        <v>Online</v>
      </c>
      <c r="G1033" s="1" t="str">
        <f aca="false">Transactions!G1033</f>
        <v>Wire Transfer</v>
      </c>
      <c r="H1033" s="1" t="n">
        <f aca="false">IF(COUNTIFS($B$2:$B$1489,B1033,$C$2:$C$1489,C1033,$D$2:$D$1489,D1033)&gt;6,1,0)</f>
        <v>0</v>
      </c>
      <c r="I1033" s="1" t="n">
        <f aca="false">IF(AND(F1033="Wire",E1033&gt;=1000,MOD(E1033,1000)=0),1,0)</f>
        <v>0</v>
      </c>
      <c r="J1033" s="1" t="n">
        <f aca="false">IF(AND(F1033="ATM",E1033&gt;2000,D1033&lt;=4),1,0)</f>
        <v>0</v>
      </c>
      <c r="K1033" s="1" t="n">
        <f aca="false">IF(COUNTIF('SQL Findings'!$A$4:$A$18,B1033)&gt;0,1,0)</f>
        <v>1</v>
      </c>
      <c r="L1033" s="1" t="n">
        <f aca="false">SUM(H1033:K1033)</f>
        <v>1</v>
      </c>
      <c r="M1033" s="1" t="str">
        <f aca="false">IF(L1033&gt;=2,"High",IF(L1033=1,"Medium","Low"))</f>
        <v>Medium</v>
      </c>
    </row>
    <row r="1034" customFormat="false" ht="15" hidden="false" customHeight="true" outlineLevel="0" collapsed="false">
      <c r="A1034" s="1" t="str">
        <f aca="false">Transactions!A1034</f>
        <v>TXN500453</v>
      </c>
      <c r="B1034" s="1" t="str">
        <f aca="false">Transactions!B1034</f>
        <v>ACC1020</v>
      </c>
      <c r="C1034" s="1" t="str">
        <f aca="false">Transactions!I1034</f>
        <v>2026-03-05</v>
      </c>
      <c r="D1034" s="1" t="n">
        <f aca="false">Transactions!J1034</f>
        <v>6</v>
      </c>
      <c r="E1034" s="1" t="n">
        <f aca="false">Transactions!D1034</f>
        <v>27.46</v>
      </c>
      <c r="F1034" s="1" t="str">
        <f aca="false">Transactions!H1034</f>
        <v>POS</v>
      </c>
      <c r="G1034" s="1" t="str">
        <f aca="false">Transactions!G1034</f>
        <v>Utilities</v>
      </c>
      <c r="H1034" s="1" t="n">
        <f aca="false">IF(COUNTIFS($B$2:$B$1489,B1034,$C$2:$C$1489,C1034,$D$2:$D$1489,D1034)&gt;6,1,0)</f>
        <v>0</v>
      </c>
      <c r="I1034" s="1" t="n">
        <f aca="false">IF(AND(F1034="Wire",E1034&gt;=1000,MOD(E1034,1000)=0),1,0)</f>
        <v>0</v>
      </c>
      <c r="J1034" s="1" t="n">
        <f aca="false">IF(AND(F1034="ATM",E1034&gt;2000,D1034&lt;=4),1,0)</f>
        <v>0</v>
      </c>
      <c r="K1034" s="1" t="n">
        <f aca="false">IF(COUNTIF('SQL Findings'!$A$4:$A$18,B1034)&gt;0,1,0)</f>
        <v>0</v>
      </c>
      <c r="L1034" s="1" t="n">
        <f aca="false">SUM(H1034:K1034)</f>
        <v>0</v>
      </c>
      <c r="M1034" s="1" t="str">
        <f aca="false">IF(L1034&gt;=2,"High",IF(L1034=1,"Medium","Low"))</f>
        <v>Low</v>
      </c>
    </row>
    <row r="1035" customFormat="false" ht="15" hidden="false" customHeight="true" outlineLevel="0" collapsed="false">
      <c r="A1035" s="1" t="str">
        <f aca="false">Transactions!A1035</f>
        <v>TXN501239</v>
      </c>
      <c r="B1035" s="1" t="str">
        <f aca="false">Transactions!B1035</f>
        <v>ACC1054</v>
      </c>
      <c r="C1035" s="1" t="str">
        <f aca="false">Transactions!I1035</f>
        <v>2026-03-05</v>
      </c>
      <c r="D1035" s="1" t="n">
        <f aca="false">Transactions!J1035</f>
        <v>7</v>
      </c>
      <c r="E1035" s="1" t="n">
        <f aca="false">Transactions!D1035</f>
        <v>111.28</v>
      </c>
      <c r="F1035" s="1" t="str">
        <f aca="false">Transactions!H1035</f>
        <v>Online</v>
      </c>
      <c r="G1035" s="1" t="str">
        <f aca="false">Transactions!G1035</f>
        <v>Online Marketplace</v>
      </c>
      <c r="H1035" s="1" t="n">
        <f aca="false">IF(COUNTIFS($B$2:$B$1489,B1035,$C$2:$C$1489,C1035,$D$2:$D$1489,D1035)&gt;6,1,0)</f>
        <v>0</v>
      </c>
      <c r="I1035" s="1" t="n">
        <f aca="false">IF(AND(F1035="Wire",E1035&gt;=1000,MOD(E1035,1000)=0),1,0)</f>
        <v>0</v>
      </c>
      <c r="J1035" s="1" t="n">
        <f aca="false">IF(AND(F1035="ATM",E1035&gt;2000,D1035&lt;=4),1,0)</f>
        <v>0</v>
      </c>
      <c r="K1035" s="1" t="n">
        <f aca="false">IF(COUNTIF('SQL Findings'!$A$4:$A$18,B1035)&gt;0,1,0)</f>
        <v>0</v>
      </c>
      <c r="L1035" s="1" t="n">
        <f aca="false">SUM(H1035:K1035)</f>
        <v>0</v>
      </c>
      <c r="M1035" s="1" t="str">
        <f aca="false">IF(L1035&gt;=2,"High",IF(L1035=1,"Medium","Low"))</f>
        <v>Low</v>
      </c>
    </row>
    <row r="1036" customFormat="false" ht="15" hidden="false" customHeight="true" outlineLevel="0" collapsed="false">
      <c r="A1036" s="1" t="str">
        <f aca="false">Transactions!A1036</f>
        <v>TXN500176</v>
      </c>
      <c r="B1036" s="1" t="str">
        <f aca="false">Transactions!B1036</f>
        <v>ACC1007</v>
      </c>
      <c r="C1036" s="1" t="str">
        <f aca="false">Transactions!I1036</f>
        <v>2026-03-05</v>
      </c>
      <c r="D1036" s="1" t="n">
        <f aca="false">Transactions!J1036</f>
        <v>8</v>
      </c>
      <c r="E1036" s="1" t="n">
        <f aca="false">Transactions!D1036</f>
        <v>140.4</v>
      </c>
      <c r="F1036" s="1" t="str">
        <f aca="false">Transactions!H1036</f>
        <v>Online</v>
      </c>
      <c r="G1036" s="1" t="str">
        <f aca="false">Transactions!G1036</f>
        <v>Retail</v>
      </c>
      <c r="H1036" s="1" t="n">
        <f aca="false">IF(COUNTIFS($B$2:$B$1489,B1036,$C$2:$C$1489,C1036,$D$2:$D$1489,D1036)&gt;6,1,0)</f>
        <v>0</v>
      </c>
      <c r="I1036" s="1" t="n">
        <f aca="false">IF(AND(F1036="Wire",E1036&gt;=1000,MOD(E1036,1000)=0),1,0)</f>
        <v>0</v>
      </c>
      <c r="J1036" s="1" t="n">
        <f aca="false">IF(AND(F1036="ATM",E1036&gt;2000,D1036&lt;=4),1,0)</f>
        <v>0</v>
      </c>
      <c r="K1036" s="1" t="n">
        <f aca="false">IF(COUNTIF('SQL Findings'!$A$4:$A$18,B1036)&gt;0,1,0)</f>
        <v>0</v>
      </c>
      <c r="L1036" s="1" t="n">
        <f aca="false">SUM(H1036:K1036)</f>
        <v>0</v>
      </c>
      <c r="M1036" s="1" t="str">
        <f aca="false">IF(L1036&gt;=2,"High",IF(L1036=1,"Medium","Low"))</f>
        <v>Low</v>
      </c>
    </row>
    <row r="1037" customFormat="false" ht="15" hidden="false" customHeight="true" outlineLevel="0" collapsed="false">
      <c r="A1037" s="1" t="str">
        <f aca="false">Transactions!A1037</f>
        <v>TXN501024</v>
      </c>
      <c r="B1037" s="1" t="str">
        <f aca="false">Transactions!B1037</f>
        <v>ACC1044</v>
      </c>
      <c r="C1037" s="1" t="str">
        <f aca="false">Transactions!I1037</f>
        <v>2026-03-05</v>
      </c>
      <c r="D1037" s="1" t="n">
        <f aca="false">Transactions!J1037</f>
        <v>11</v>
      </c>
      <c r="E1037" s="1" t="n">
        <f aca="false">Transactions!D1037</f>
        <v>458.54</v>
      </c>
      <c r="F1037" s="1" t="str">
        <f aca="false">Transactions!H1037</f>
        <v>POS</v>
      </c>
      <c r="G1037" s="1" t="str">
        <f aca="false">Transactions!G1037</f>
        <v>Utilities</v>
      </c>
      <c r="H1037" s="1" t="n">
        <f aca="false">IF(COUNTIFS($B$2:$B$1489,B1037,$C$2:$C$1489,C1037,$D$2:$D$1489,D1037)&gt;6,1,0)</f>
        <v>0</v>
      </c>
      <c r="I1037" s="1" t="n">
        <f aca="false">IF(AND(F1037="Wire",E1037&gt;=1000,MOD(E1037,1000)=0),1,0)</f>
        <v>0</v>
      </c>
      <c r="J1037" s="1" t="n">
        <f aca="false">IF(AND(F1037="ATM",E1037&gt;2000,D1037&lt;=4),1,0)</f>
        <v>0</v>
      </c>
      <c r="K1037" s="1" t="n">
        <f aca="false">IF(COUNTIF('SQL Findings'!$A$4:$A$18,B1037)&gt;0,1,0)</f>
        <v>0</v>
      </c>
      <c r="L1037" s="1" t="n">
        <f aca="false">SUM(H1037:K1037)</f>
        <v>0</v>
      </c>
      <c r="M1037" s="1" t="str">
        <f aca="false">IF(L1037&gt;=2,"High",IF(L1037=1,"Medium","Low"))</f>
        <v>Low</v>
      </c>
    </row>
    <row r="1038" customFormat="false" ht="15" hidden="false" customHeight="true" outlineLevel="0" collapsed="false">
      <c r="A1038" s="1" t="str">
        <f aca="false">Transactions!A1038</f>
        <v>TXN500411</v>
      </c>
      <c r="B1038" s="1" t="str">
        <f aca="false">Transactions!B1038</f>
        <v>ACC1017</v>
      </c>
      <c r="C1038" s="1" t="str">
        <f aca="false">Transactions!I1038</f>
        <v>2026-03-05</v>
      </c>
      <c r="D1038" s="1" t="n">
        <f aca="false">Transactions!J1038</f>
        <v>13</v>
      </c>
      <c r="E1038" s="1" t="n">
        <f aca="false">Transactions!D1038</f>
        <v>126.53</v>
      </c>
      <c r="F1038" s="1" t="str">
        <f aca="false">Transactions!H1038</f>
        <v>Online</v>
      </c>
      <c r="G1038" s="1" t="str">
        <f aca="false">Transactions!G1038</f>
        <v>Online Marketplace</v>
      </c>
      <c r="H1038" s="1" t="n">
        <f aca="false">IF(COUNTIFS($B$2:$B$1489,B1038,$C$2:$C$1489,C1038,$D$2:$D$1489,D1038)&gt;6,1,0)</f>
        <v>0</v>
      </c>
      <c r="I1038" s="1" t="n">
        <f aca="false">IF(AND(F1038="Wire",E1038&gt;=1000,MOD(E1038,1000)=0),1,0)</f>
        <v>0</v>
      </c>
      <c r="J1038" s="1" t="n">
        <f aca="false">IF(AND(F1038="ATM",E1038&gt;2000,D1038&lt;=4),1,0)</f>
        <v>0</v>
      </c>
      <c r="K1038" s="1" t="n">
        <f aca="false">IF(COUNTIF('SQL Findings'!$A$4:$A$18,B1038)&gt;0,1,0)</f>
        <v>0</v>
      </c>
      <c r="L1038" s="1" t="n">
        <f aca="false">SUM(H1038:K1038)</f>
        <v>0</v>
      </c>
      <c r="M1038" s="1" t="str">
        <f aca="false">IF(L1038&gt;=2,"High",IF(L1038=1,"Medium","Low"))</f>
        <v>Low</v>
      </c>
    </row>
    <row r="1039" customFormat="false" ht="15" hidden="false" customHeight="true" outlineLevel="0" collapsed="false">
      <c r="A1039" s="1" t="str">
        <f aca="false">Transactions!A1039</f>
        <v>TXN501309</v>
      </c>
      <c r="B1039" s="1" t="str">
        <f aca="false">Transactions!B1039</f>
        <v>ACC1057</v>
      </c>
      <c r="C1039" s="1" t="str">
        <f aca="false">Transactions!I1039</f>
        <v>2026-03-05</v>
      </c>
      <c r="D1039" s="1" t="n">
        <f aca="false">Transactions!J1039</f>
        <v>14</v>
      </c>
      <c r="E1039" s="1" t="n">
        <f aca="false">Transactions!D1039</f>
        <v>177.2</v>
      </c>
      <c r="F1039" s="1" t="str">
        <f aca="false">Transactions!H1039</f>
        <v>POS</v>
      </c>
      <c r="G1039" s="1" t="str">
        <f aca="false">Transactions!G1039</f>
        <v>Electronics</v>
      </c>
      <c r="H1039" s="1" t="n">
        <f aca="false">IF(COUNTIFS($B$2:$B$1489,B1039,$C$2:$C$1489,C1039,$D$2:$D$1489,D1039)&gt;6,1,0)</f>
        <v>0</v>
      </c>
      <c r="I1039" s="1" t="n">
        <f aca="false">IF(AND(F1039="Wire",E1039&gt;=1000,MOD(E1039,1000)=0),1,0)</f>
        <v>0</v>
      </c>
      <c r="J1039" s="1" t="n">
        <f aca="false">IF(AND(F1039="ATM",E1039&gt;2000,D1039&lt;=4),1,0)</f>
        <v>0</v>
      </c>
      <c r="K1039" s="1" t="n">
        <f aca="false">IF(COUNTIF('SQL Findings'!$A$4:$A$18,B1039)&gt;0,1,0)</f>
        <v>1</v>
      </c>
      <c r="L1039" s="1" t="n">
        <f aca="false">SUM(H1039:K1039)</f>
        <v>1</v>
      </c>
      <c r="M1039" s="1" t="str">
        <f aca="false">IF(L1039&gt;=2,"High",IF(L1039=1,"Medium","Low"))</f>
        <v>Medium</v>
      </c>
    </row>
    <row r="1040" customFormat="false" ht="15" hidden="false" customHeight="true" outlineLevel="0" collapsed="false">
      <c r="A1040" s="1" t="str">
        <f aca="false">Transactions!A1040</f>
        <v>TXN501329</v>
      </c>
      <c r="B1040" s="1" t="str">
        <f aca="false">Transactions!B1040</f>
        <v>ACC1058</v>
      </c>
      <c r="C1040" s="1" t="str">
        <f aca="false">Transactions!I1040</f>
        <v>2026-03-05</v>
      </c>
      <c r="D1040" s="1" t="n">
        <f aca="false">Transactions!J1040</f>
        <v>17</v>
      </c>
      <c r="E1040" s="1" t="n">
        <f aca="false">Transactions!D1040</f>
        <v>22.45</v>
      </c>
      <c r="F1040" s="1" t="str">
        <f aca="false">Transactions!H1040</f>
        <v>Online</v>
      </c>
      <c r="G1040" s="1" t="str">
        <f aca="false">Transactions!G1040</f>
        <v>Utilities</v>
      </c>
      <c r="H1040" s="1" t="n">
        <f aca="false">IF(COUNTIFS($B$2:$B$1489,B1040,$C$2:$C$1489,C1040,$D$2:$D$1489,D1040)&gt;6,1,0)</f>
        <v>0</v>
      </c>
      <c r="I1040" s="1" t="n">
        <f aca="false">IF(AND(F1040="Wire",E1040&gt;=1000,MOD(E1040,1000)=0),1,0)</f>
        <v>0</v>
      </c>
      <c r="J1040" s="1" t="n">
        <f aca="false">IF(AND(F1040="ATM",E1040&gt;2000,D1040&lt;=4),1,0)</f>
        <v>0</v>
      </c>
      <c r="K1040" s="1" t="n">
        <f aca="false">IF(COUNTIF('SQL Findings'!$A$4:$A$18,B1040)&gt;0,1,0)</f>
        <v>0</v>
      </c>
      <c r="L1040" s="1" t="n">
        <f aca="false">SUM(H1040:K1040)</f>
        <v>0</v>
      </c>
      <c r="M1040" s="1" t="str">
        <f aca="false">IF(L1040&gt;=2,"High",IF(L1040=1,"Medium","Low"))</f>
        <v>Low</v>
      </c>
    </row>
    <row r="1041" customFormat="false" ht="15" hidden="false" customHeight="true" outlineLevel="0" collapsed="false">
      <c r="A1041" s="1" t="str">
        <f aca="false">Transactions!A1041</f>
        <v>TXN501238</v>
      </c>
      <c r="B1041" s="1" t="str">
        <f aca="false">Transactions!B1041</f>
        <v>ACC1054</v>
      </c>
      <c r="C1041" s="1" t="str">
        <f aca="false">Transactions!I1041</f>
        <v>2026-03-05</v>
      </c>
      <c r="D1041" s="1" t="n">
        <f aca="false">Transactions!J1041</f>
        <v>17</v>
      </c>
      <c r="E1041" s="1" t="n">
        <f aca="false">Transactions!D1041</f>
        <v>40.52</v>
      </c>
      <c r="F1041" s="1" t="str">
        <f aca="false">Transactions!H1041</f>
        <v>ATM</v>
      </c>
      <c r="G1041" s="1" t="str">
        <f aca="false">Transactions!G1041</f>
        <v>Retail</v>
      </c>
      <c r="H1041" s="1" t="n">
        <f aca="false">IF(COUNTIFS($B$2:$B$1489,B1041,$C$2:$C$1489,C1041,$D$2:$D$1489,D1041)&gt;6,1,0)</f>
        <v>0</v>
      </c>
      <c r="I1041" s="1" t="n">
        <f aca="false">IF(AND(F1041="Wire",E1041&gt;=1000,MOD(E1041,1000)=0),1,0)</f>
        <v>0</v>
      </c>
      <c r="J1041" s="1" t="n">
        <f aca="false">IF(AND(F1041="ATM",E1041&gt;2000,D1041&lt;=4),1,0)</f>
        <v>0</v>
      </c>
      <c r="K1041" s="1" t="n">
        <f aca="false">IF(COUNTIF('SQL Findings'!$A$4:$A$18,B1041)&gt;0,1,0)</f>
        <v>0</v>
      </c>
      <c r="L1041" s="1" t="n">
        <f aca="false">SUM(H1041:K1041)</f>
        <v>0</v>
      </c>
      <c r="M1041" s="1" t="str">
        <f aca="false">IF(L1041&gt;=2,"High",IF(L1041=1,"Medium","Low"))</f>
        <v>Low</v>
      </c>
    </row>
    <row r="1042" customFormat="false" ht="15" hidden="false" customHeight="true" outlineLevel="0" collapsed="false">
      <c r="A1042" s="1" t="str">
        <f aca="false">Transactions!A1042</f>
        <v>TXN500218</v>
      </c>
      <c r="B1042" s="1" t="str">
        <f aca="false">Transactions!B1042</f>
        <v>ACC1009</v>
      </c>
      <c r="C1042" s="1" t="str">
        <f aca="false">Transactions!I1042</f>
        <v>2026-03-05</v>
      </c>
      <c r="D1042" s="1" t="n">
        <f aca="false">Transactions!J1042</f>
        <v>17</v>
      </c>
      <c r="E1042" s="1" t="n">
        <f aca="false">Transactions!D1042</f>
        <v>53.89</v>
      </c>
      <c r="F1042" s="1" t="str">
        <f aca="false">Transactions!H1042</f>
        <v>POS</v>
      </c>
      <c r="G1042" s="1" t="str">
        <f aca="false">Transactions!G1042</f>
        <v>Utilities</v>
      </c>
      <c r="H1042" s="1" t="n">
        <f aca="false">IF(COUNTIFS($B$2:$B$1489,B1042,$C$2:$C$1489,C1042,$D$2:$D$1489,D1042)&gt;6,1,0)</f>
        <v>0</v>
      </c>
      <c r="I1042" s="1" t="n">
        <f aca="false">IF(AND(F1042="Wire",E1042&gt;=1000,MOD(E1042,1000)=0),1,0)</f>
        <v>0</v>
      </c>
      <c r="J1042" s="1" t="n">
        <f aca="false">IF(AND(F1042="ATM",E1042&gt;2000,D1042&lt;=4),1,0)</f>
        <v>0</v>
      </c>
      <c r="K1042" s="1" t="n">
        <f aca="false">IF(COUNTIF('SQL Findings'!$A$4:$A$18,B1042)&gt;0,1,0)</f>
        <v>1</v>
      </c>
      <c r="L1042" s="1" t="n">
        <f aca="false">SUM(H1042:K1042)</f>
        <v>1</v>
      </c>
      <c r="M1042" s="1" t="str">
        <f aca="false">IF(L1042&gt;=2,"High",IF(L1042=1,"Medium","Low"))</f>
        <v>Medium</v>
      </c>
    </row>
    <row r="1043" customFormat="false" ht="15" hidden="false" customHeight="true" outlineLevel="0" collapsed="false">
      <c r="A1043" s="1" t="str">
        <f aca="false">Transactions!A1043</f>
        <v>TXN500746</v>
      </c>
      <c r="B1043" s="1" t="str">
        <f aca="false">Transactions!B1043</f>
        <v>ACC1032</v>
      </c>
      <c r="C1043" s="1" t="str">
        <f aca="false">Transactions!I1043</f>
        <v>2026-03-05</v>
      </c>
      <c r="D1043" s="1" t="n">
        <f aca="false">Transactions!J1043</f>
        <v>18</v>
      </c>
      <c r="E1043" s="1" t="n">
        <f aca="false">Transactions!D1043</f>
        <v>34.7</v>
      </c>
      <c r="F1043" s="1" t="str">
        <f aca="false">Transactions!H1043</f>
        <v>POS</v>
      </c>
      <c r="G1043" s="1" t="str">
        <f aca="false">Transactions!G1043</f>
        <v>Wire Transfer</v>
      </c>
      <c r="H1043" s="1" t="n">
        <f aca="false">IF(COUNTIFS($B$2:$B$1489,B1043,$C$2:$C$1489,C1043,$D$2:$D$1489,D1043)&gt;6,1,0)</f>
        <v>0</v>
      </c>
      <c r="I1043" s="1" t="n">
        <f aca="false">IF(AND(F1043="Wire",E1043&gt;=1000,MOD(E1043,1000)=0),1,0)</f>
        <v>0</v>
      </c>
      <c r="J1043" s="1" t="n">
        <f aca="false">IF(AND(F1043="ATM",E1043&gt;2000,D1043&lt;=4),1,0)</f>
        <v>0</v>
      </c>
      <c r="K1043" s="1" t="n">
        <f aca="false">IF(COUNTIF('SQL Findings'!$A$4:$A$18,B1043)&gt;0,1,0)</f>
        <v>0</v>
      </c>
      <c r="L1043" s="1" t="n">
        <f aca="false">SUM(H1043:K1043)</f>
        <v>0</v>
      </c>
      <c r="M1043" s="1" t="str">
        <f aca="false">IF(L1043&gt;=2,"High",IF(L1043=1,"Medium","Low"))</f>
        <v>Low</v>
      </c>
    </row>
    <row r="1044" customFormat="false" ht="15" hidden="false" customHeight="true" outlineLevel="0" collapsed="false">
      <c r="A1044" s="1" t="str">
        <f aca="false">Transactions!A1044</f>
        <v>TXN500666</v>
      </c>
      <c r="B1044" s="1" t="str">
        <f aca="false">Transactions!B1044</f>
        <v>ACC1028</v>
      </c>
      <c r="C1044" s="1" t="str">
        <f aca="false">Transactions!I1044</f>
        <v>2026-03-05</v>
      </c>
      <c r="D1044" s="1" t="n">
        <f aca="false">Transactions!J1044</f>
        <v>21</v>
      </c>
      <c r="E1044" s="1" t="n">
        <f aca="false">Transactions!D1044</f>
        <v>73.39</v>
      </c>
      <c r="F1044" s="1" t="str">
        <f aca="false">Transactions!H1044</f>
        <v>POS</v>
      </c>
      <c r="G1044" s="1" t="str">
        <f aca="false">Transactions!G1044</f>
        <v>Utilities</v>
      </c>
      <c r="H1044" s="1" t="n">
        <f aca="false">IF(COUNTIFS($B$2:$B$1489,B1044,$C$2:$C$1489,C1044,$D$2:$D$1489,D1044)&gt;6,1,0)</f>
        <v>0</v>
      </c>
      <c r="I1044" s="1" t="n">
        <f aca="false">IF(AND(F1044="Wire",E1044&gt;=1000,MOD(E1044,1000)=0),1,0)</f>
        <v>0</v>
      </c>
      <c r="J1044" s="1" t="n">
        <f aca="false">IF(AND(F1044="ATM",E1044&gt;2000,D1044&lt;=4),1,0)</f>
        <v>0</v>
      </c>
      <c r="K1044" s="1" t="n">
        <f aca="false">IF(COUNTIF('SQL Findings'!$A$4:$A$18,B1044)&gt;0,1,0)</f>
        <v>0</v>
      </c>
      <c r="L1044" s="1" t="n">
        <f aca="false">SUM(H1044:K1044)</f>
        <v>0</v>
      </c>
      <c r="M1044" s="1" t="str">
        <f aca="false">IF(L1044&gt;=2,"High",IF(L1044=1,"Medium","Low"))</f>
        <v>Low</v>
      </c>
    </row>
    <row r="1045" customFormat="false" ht="15" hidden="false" customHeight="true" outlineLevel="0" collapsed="false">
      <c r="A1045" s="1" t="str">
        <f aca="false">Transactions!A1045</f>
        <v>TXN500972</v>
      </c>
      <c r="B1045" s="1" t="str">
        <f aca="false">Transactions!B1045</f>
        <v>ACC1042</v>
      </c>
      <c r="C1045" s="1" t="str">
        <f aca="false">Transactions!I1045</f>
        <v>2026-03-06</v>
      </c>
      <c r="D1045" s="1" t="n">
        <f aca="false">Transactions!J1045</f>
        <v>0</v>
      </c>
      <c r="E1045" s="1" t="n">
        <f aca="false">Transactions!D1045</f>
        <v>36.13</v>
      </c>
      <c r="F1045" s="1" t="str">
        <f aca="false">Transactions!H1045</f>
        <v>ATM</v>
      </c>
      <c r="G1045" s="1" t="str">
        <f aca="false">Transactions!G1045</f>
        <v>Travel</v>
      </c>
      <c r="H1045" s="1" t="n">
        <f aca="false">IF(COUNTIFS($B$2:$B$1489,B1045,$C$2:$C$1489,C1045,$D$2:$D$1489,D1045)&gt;6,1,0)</f>
        <v>0</v>
      </c>
      <c r="I1045" s="1" t="n">
        <f aca="false">IF(AND(F1045="Wire",E1045&gt;=1000,MOD(E1045,1000)=0),1,0)</f>
        <v>0</v>
      </c>
      <c r="J1045" s="1" t="n">
        <f aca="false">IF(AND(F1045="ATM",E1045&gt;2000,D1045&lt;=4),1,0)</f>
        <v>0</v>
      </c>
      <c r="K1045" s="1" t="n">
        <f aca="false">IF(COUNTIF('SQL Findings'!$A$4:$A$18,B1045)&gt;0,1,0)</f>
        <v>1</v>
      </c>
      <c r="L1045" s="1" t="n">
        <f aca="false">SUM(H1045:K1045)</f>
        <v>1</v>
      </c>
      <c r="M1045" s="1" t="str">
        <f aca="false">IF(L1045&gt;=2,"High",IF(L1045=1,"Medium","Low"))</f>
        <v>Medium</v>
      </c>
    </row>
    <row r="1046" customFormat="false" ht="15" hidden="false" customHeight="true" outlineLevel="0" collapsed="false">
      <c r="A1046" s="1" t="str">
        <f aca="false">Transactions!A1046</f>
        <v>TXN500303</v>
      </c>
      <c r="B1046" s="1" t="str">
        <f aca="false">Transactions!B1046</f>
        <v>ACC1013</v>
      </c>
      <c r="C1046" s="1" t="str">
        <f aca="false">Transactions!I1046</f>
        <v>2026-03-06</v>
      </c>
      <c r="D1046" s="1" t="n">
        <f aca="false">Transactions!J1046</f>
        <v>3</v>
      </c>
      <c r="E1046" s="1" t="n">
        <f aca="false">Transactions!D1046</f>
        <v>130.66</v>
      </c>
      <c r="F1046" s="1" t="str">
        <f aca="false">Transactions!H1046</f>
        <v>POS</v>
      </c>
      <c r="G1046" s="1" t="str">
        <f aca="false">Transactions!G1046</f>
        <v>Online Marketplace</v>
      </c>
      <c r="H1046" s="1" t="n">
        <f aca="false">IF(COUNTIFS($B$2:$B$1489,B1046,$C$2:$C$1489,C1046,$D$2:$D$1489,D1046)&gt;6,1,0)</f>
        <v>0</v>
      </c>
      <c r="I1046" s="1" t="n">
        <f aca="false">IF(AND(F1046="Wire",E1046&gt;=1000,MOD(E1046,1000)=0),1,0)</f>
        <v>0</v>
      </c>
      <c r="J1046" s="1" t="n">
        <f aca="false">IF(AND(F1046="ATM",E1046&gt;2000,D1046&lt;=4),1,0)</f>
        <v>0</v>
      </c>
      <c r="K1046" s="1" t="n">
        <f aca="false">IF(COUNTIF('SQL Findings'!$A$4:$A$18,B1046)&gt;0,1,0)</f>
        <v>0</v>
      </c>
      <c r="L1046" s="1" t="n">
        <f aca="false">SUM(H1046:K1046)</f>
        <v>0</v>
      </c>
      <c r="M1046" s="1" t="str">
        <f aca="false">IF(L1046&gt;=2,"High",IF(L1046=1,"Medium","Low"))</f>
        <v>Low</v>
      </c>
    </row>
    <row r="1047" customFormat="false" ht="15" hidden="false" customHeight="true" outlineLevel="0" collapsed="false">
      <c r="A1047" s="1" t="str">
        <f aca="false">Transactions!A1047</f>
        <v>TXN501343</v>
      </c>
      <c r="B1047" s="1" t="str">
        <f aca="false">Transactions!B1047</f>
        <v>ACC1058</v>
      </c>
      <c r="C1047" s="1" t="str">
        <f aca="false">Transactions!I1047</f>
        <v>2026-03-06</v>
      </c>
      <c r="D1047" s="1" t="n">
        <f aca="false">Transactions!J1047</f>
        <v>3</v>
      </c>
      <c r="E1047" s="1" t="n">
        <f aca="false">Transactions!D1047</f>
        <v>98.81</v>
      </c>
      <c r="F1047" s="1" t="str">
        <f aca="false">Transactions!H1047</f>
        <v>Online</v>
      </c>
      <c r="G1047" s="1" t="str">
        <f aca="false">Transactions!G1047</f>
        <v>Utilities</v>
      </c>
      <c r="H1047" s="1" t="n">
        <f aca="false">IF(COUNTIFS($B$2:$B$1489,B1047,$C$2:$C$1489,C1047,$D$2:$D$1489,D1047)&gt;6,1,0)</f>
        <v>0</v>
      </c>
      <c r="I1047" s="1" t="n">
        <f aca="false">IF(AND(F1047="Wire",E1047&gt;=1000,MOD(E1047,1000)=0),1,0)</f>
        <v>0</v>
      </c>
      <c r="J1047" s="1" t="n">
        <f aca="false">IF(AND(F1047="ATM",E1047&gt;2000,D1047&lt;=4),1,0)</f>
        <v>0</v>
      </c>
      <c r="K1047" s="1" t="n">
        <f aca="false">IF(COUNTIF('SQL Findings'!$A$4:$A$18,B1047)&gt;0,1,0)</f>
        <v>0</v>
      </c>
      <c r="L1047" s="1" t="n">
        <f aca="false">SUM(H1047:K1047)</f>
        <v>0</v>
      </c>
      <c r="M1047" s="1" t="str">
        <f aca="false">IF(L1047&gt;=2,"High",IF(L1047=1,"Medium","Low"))</f>
        <v>Low</v>
      </c>
    </row>
    <row r="1048" customFormat="false" ht="15" hidden="false" customHeight="true" outlineLevel="0" collapsed="false">
      <c r="A1048" s="1" t="str">
        <f aca="false">Transactions!A1048</f>
        <v>TXN501226</v>
      </c>
      <c r="B1048" s="1" t="str">
        <f aca="false">Transactions!B1048</f>
        <v>ACC1054</v>
      </c>
      <c r="C1048" s="1" t="str">
        <f aca="false">Transactions!I1048</f>
        <v>2026-03-06</v>
      </c>
      <c r="D1048" s="1" t="n">
        <f aca="false">Transactions!J1048</f>
        <v>5</v>
      </c>
      <c r="E1048" s="1" t="n">
        <f aca="false">Transactions!D1048</f>
        <v>59.33</v>
      </c>
      <c r="F1048" s="1" t="str">
        <f aca="false">Transactions!H1048</f>
        <v>Online</v>
      </c>
      <c r="G1048" s="1" t="str">
        <f aca="false">Transactions!G1048</f>
        <v>Travel</v>
      </c>
      <c r="H1048" s="1" t="n">
        <f aca="false">IF(COUNTIFS($B$2:$B$1489,B1048,$C$2:$C$1489,C1048,$D$2:$D$1489,D1048)&gt;6,1,0)</f>
        <v>0</v>
      </c>
      <c r="I1048" s="1" t="n">
        <f aca="false">IF(AND(F1048="Wire",E1048&gt;=1000,MOD(E1048,1000)=0),1,0)</f>
        <v>0</v>
      </c>
      <c r="J1048" s="1" t="n">
        <f aca="false">IF(AND(F1048="ATM",E1048&gt;2000,D1048&lt;=4),1,0)</f>
        <v>0</v>
      </c>
      <c r="K1048" s="1" t="n">
        <f aca="false">IF(COUNTIF('SQL Findings'!$A$4:$A$18,B1048)&gt;0,1,0)</f>
        <v>0</v>
      </c>
      <c r="L1048" s="1" t="n">
        <f aca="false">SUM(H1048:K1048)</f>
        <v>0</v>
      </c>
      <c r="M1048" s="1" t="str">
        <f aca="false">IF(L1048&gt;=2,"High",IF(L1048=1,"Medium","Low"))</f>
        <v>Low</v>
      </c>
    </row>
    <row r="1049" customFormat="false" ht="15" hidden="false" customHeight="true" outlineLevel="0" collapsed="false">
      <c r="A1049" s="1" t="str">
        <f aca="false">Transactions!A1049</f>
        <v>TXN501275</v>
      </c>
      <c r="B1049" s="1" t="str">
        <f aca="false">Transactions!B1049</f>
        <v>ACC1056</v>
      </c>
      <c r="C1049" s="1" t="str">
        <f aca="false">Transactions!I1049</f>
        <v>2026-03-06</v>
      </c>
      <c r="D1049" s="1" t="n">
        <f aca="false">Transactions!J1049</f>
        <v>6</v>
      </c>
      <c r="E1049" s="1" t="n">
        <f aca="false">Transactions!D1049</f>
        <v>198.7</v>
      </c>
      <c r="F1049" s="1" t="str">
        <f aca="false">Transactions!H1049</f>
        <v>ATM</v>
      </c>
      <c r="G1049" s="1" t="str">
        <f aca="false">Transactions!G1049</f>
        <v>Online Marketplace</v>
      </c>
      <c r="H1049" s="1" t="n">
        <f aca="false">IF(COUNTIFS($B$2:$B$1489,B1049,$C$2:$C$1489,C1049,$D$2:$D$1489,D1049)&gt;6,1,0)</f>
        <v>0</v>
      </c>
      <c r="I1049" s="1" t="n">
        <f aca="false">IF(AND(F1049="Wire",E1049&gt;=1000,MOD(E1049,1000)=0),1,0)</f>
        <v>0</v>
      </c>
      <c r="J1049" s="1" t="n">
        <f aca="false">IF(AND(F1049="ATM",E1049&gt;2000,D1049&lt;=4),1,0)</f>
        <v>0</v>
      </c>
      <c r="K1049" s="1" t="n">
        <f aca="false">IF(COUNTIF('SQL Findings'!$A$4:$A$18,B1049)&gt;0,1,0)</f>
        <v>0</v>
      </c>
      <c r="L1049" s="1" t="n">
        <f aca="false">SUM(H1049:K1049)</f>
        <v>0</v>
      </c>
      <c r="M1049" s="1" t="str">
        <f aca="false">IF(L1049&gt;=2,"High",IF(L1049=1,"Medium","Low"))</f>
        <v>Low</v>
      </c>
    </row>
    <row r="1050" customFormat="false" ht="15" hidden="false" customHeight="true" outlineLevel="0" collapsed="false">
      <c r="A1050" s="1" t="str">
        <f aca="false">Transactions!A1050</f>
        <v>TXN500190</v>
      </c>
      <c r="B1050" s="1" t="str">
        <f aca="false">Transactions!B1050</f>
        <v>ACC1008</v>
      </c>
      <c r="C1050" s="1" t="str">
        <f aca="false">Transactions!I1050</f>
        <v>2026-03-06</v>
      </c>
      <c r="D1050" s="1" t="n">
        <f aca="false">Transactions!J1050</f>
        <v>8</v>
      </c>
      <c r="E1050" s="1" t="n">
        <f aca="false">Transactions!D1050</f>
        <v>17.06</v>
      </c>
      <c r="F1050" s="1" t="str">
        <f aca="false">Transactions!H1050</f>
        <v>ATM</v>
      </c>
      <c r="G1050" s="1" t="str">
        <f aca="false">Transactions!G1050</f>
        <v>Utilities</v>
      </c>
      <c r="H1050" s="1" t="n">
        <f aca="false">IF(COUNTIFS($B$2:$B$1489,B1050,$C$2:$C$1489,C1050,$D$2:$D$1489,D1050)&gt;6,1,0)</f>
        <v>0</v>
      </c>
      <c r="I1050" s="1" t="n">
        <f aca="false">IF(AND(F1050="Wire",E1050&gt;=1000,MOD(E1050,1000)=0),1,0)</f>
        <v>0</v>
      </c>
      <c r="J1050" s="1" t="n">
        <f aca="false">IF(AND(F1050="ATM",E1050&gt;2000,D1050&lt;=4),1,0)</f>
        <v>0</v>
      </c>
      <c r="K1050" s="1" t="n">
        <f aca="false">IF(COUNTIF('SQL Findings'!$A$4:$A$18,B1050)&gt;0,1,0)</f>
        <v>0</v>
      </c>
      <c r="L1050" s="1" t="n">
        <f aca="false">SUM(H1050:K1050)</f>
        <v>0</v>
      </c>
      <c r="M1050" s="1" t="str">
        <f aca="false">IF(L1050&gt;=2,"High",IF(L1050=1,"Medium","Low"))</f>
        <v>Low</v>
      </c>
    </row>
    <row r="1051" customFormat="false" ht="15" hidden="false" customHeight="true" outlineLevel="0" collapsed="false">
      <c r="A1051" s="1" t="str">
        <f aca="false">Transactions!A1051</f>
        <v>TXN500718</v>
      </c>
      <c r="B1051" s="1" t="str">
        <f aca="false">Transactions!B1051</f>
        <v>ACC1031</v>
      </c>
      <c r="C1051" s="1" t="str">
        <f aca="false">Transactions!I1051</f>
        <v>2026-03-06</v>
      </c>
      <c r="D1051" s="1" t="n">
        <f aca="false">Transactions!J1051</f>
        <v>9</v>
      </c>
      <c r="E1051" s="1" t="n">
        <f aca="false">Transactions!D1051</f>
        <v>76.35</v>
      </c>
      <c r="F1051" s="1" t="str">
        <f aca="false">Transactions!H1051</f>
        <v>POS</v>
      </c>
      <c r="G1051" s="1" t="str">
        <f aca="false">Transactions!G1051</f>
        <v>Travel</v>
      </c>
      <c r="H1051" s="1" t="n">
        <f aca="false">IF(COUNTIFS($B$2:$B$1489,B1051,$C$2:$C$1489,C1051,$D$2:$D$1489,D1051)&gt;6,1,0)</f>
        <v>0</v>
      </c>
      <c r="I1051" s="1" t="n">
        <f aca="false">IF(AND(F1051="Wire",E1051&gt;=1000,MOD(E1051,1000)=0),1,0)</f>
        <v>0</v>
      </c>
      <c r="J1051" s="1" t="n">
        <f aca="false">IF(AND(F1051="ATM",E1051&gt;2000,D1051&lt;=4),1,0)</f>
        <v>0</v>
      </c>
      <c r="K1051" s="1" t="n">
        <f aca="false">IF(COUNTIF('SQL Findings'!$A$4:$A$18,B1051)&gt;0,1,0)</f>
        <v>0</v>
      </c>
      <c r="L1051" s="1" t="n">
        <f aca="false">SUM(H1051:K1051)</f>
        <v>0</v>
      </c>
      <c r="M1051" s="1" t="str">
        <f aca="false">IF(L1051&gt;=2,"High",IF(L1051=1,"Medium","Low"))</f>
        <v>Low</v>
      </c>
    </row>
    <row r="1052" customFormat="false" ht="15" hidden="false" customHeight="true" outlineLevel="0" collapsed="false">
      <c r="A1052" s="1" t="str">
        <f aca="false">Transactions!A1052</f>
        <v>TXN500456</v>
      </c>
      <c r="B1052" s="1" t="str">
        <f aca="false">Transactions!B1052</f>
        <v>ACC1020</v>
      </c>
      <c r="C1052" s="1" t="str">
        <f aca="false">Transactions!I1052</f>
        <v>2026-03-06</v>
      </c>
      <c r="D1052" s="1" t="n">
        <f aca="false">Transactions!J1052</f>
        <v>11</v>
      </c>
      <c r="E1052" s="1" t="n">
        <f aca="false">Transactions!D1052</f>
        <v>32.67</v>
      </c>
      <c r="F1052" s="1" t="str">
        <f aca="false">Transactions!H1052</f>
        <v>Online</v>
      </c>
      <c r="G1052" s="1" t="str">
        <f aca="false">Transactions!G1052</f>
        <v>Electronics</v>
      </c>
      <c r="H1052" s="1" t="n">
        <f aca="false">IF(COUNTIFS($B$2:$B$1489,B1052,$C$2:$C$1489,C1052,$D$2:$D$1489,D1052)&gt;6,1,0)</f>
        <v>0</v>
      </c>
      <c r="I1052" s="1" t="n">
        <f aca="false">IF(AND(F1052="Wire",E1052&gt;=1000,MOD(E1052,1000)=0),1,0)</f>
        <v>0</v>
      </c>
      <c r="J1052" s="1" t="n">
        <f aca="false">IF(AND(F1052="ATM",E1052&gt;2000,D1052&lt;=4),1,0)</f>
        <v>0</v>
      </c>
      <c r="K1052" s="1" t="n">
        <f aca="false">IF(COUNTIF('SQL Findings'!$A$4:$A$18,B1052)&gt;0,1,0)</f>
        <v>0</v>
      </c>
      <c r="L1052" s="1" t="n">
        <f aca="false">SUM(H1052:K1052)</f>
        <v>0</v>
      </c>
      <c r="M1052" s="1" t="str">
        <f aca="false">IF(L1052&gt;=2,"High",IF(L1052=1,"Medium","Low"))</f>
        <v>Low</v>
      </c>
    </row>
    <row r="1053" customFormat="false" ht="15" hidden="false" customHeight="true" outlineLevel="0" collapsed="false">
      <c r="A1053" s="1" t="str">
        <f aca="false">Transactions!A1053</f>
        <v>TXN500019</v>
      </c>
      <c r="B1053" s="1" t="str">
        <f aca="false">Transactions!B1053</f>
        <v>ACC1000</v>
      </c>
      <c r="C1053" s="1" t="str">
        <f aca="false">Transactions!I1053</f>
        <v>2026-03-06</v>
      </c>
      <c r="D1053" s="1" t="n">
        <f aca="false">Transactions!J1053</f>
        <v>13</v>
      </c>
      <c r="E1053" s="1" t="n">
        <f aca="false">Transactions!D1053</f>
        <v>29.45</v>
      </c>
      <c r="F1053" s="1" t="str">
        <f aca="false">Transactions!H1053</f>
        <v>POS</v>
      </c>
      <c r="G1053" s="1" t="str">
        <f aca="false">Transactions!G1053</f>
        <v>Cash Withdrawal</v>
      </c>
      <c r="H1053" s="1" t="n">
        <f aca="false">IF(COUNTIFS($B$2:$B$1489,B1053,$C$2:$C$1489,C1053,$D$2:$D$1489,D1053)&gt;6,1,0)</f>
        <v>0</v>
      </c>
      <c r="I1053" s="1" t="n">
        <f aca="false">IF(AND(F1053="Wire",E1053&gt;=1000,MOD(E1053,1000)=0),1,0)</f>
        <v>0</v>
      </c>
      <c r="J1053" s="1" t="n">
        <f aca="false">IF(AND(F1053="ATM",E1053&gt;2000,D1053&lt;=4),1,0)</f>
        <v>0</v>
      </c>
      <c r="K1053" s="1" t="n">
        <f aca="false">IF(COUNTIF('SQL Findings'!$A$4:$A$18,B1053)&gt;0,1,0)</f>
        <v>1</v>
      </c>
      <c r="L1053" s="1" t="n">
        <f aca="false">SUM(H1053:K1053)</f>
        <v>1</v>
      </c>
      <c r="M1053" s="1" t="str">
        <f aca="false">IF(L1053&gt;=2,"High",IF(L1053=1,"Medium","Low"))</f>
        <v>Medium</v>
      </c>
    </row>
    <row r="1054" customFormat="false" ht="15" hidden="false" customHeight="true" outlineLevel="0" collapsed="false">
      <c r="A1054" s="1" t="str">
        <f aca="false">Transactions!A1054</f>
        <v>TXN500129</v>
      </c>
      <c r="B1054" s="1" t="str">
        <f aca="false">Transactions!B1054</f>
        <v>ACC1005</v>
      </c>
      <c r="C1054" s="1" t="str">
        <f aca="false">Transactions!I1054</f>
        <v>2026-03-06</v>
      </c>
      <c r="D1054" s="1" t="n">
        <f aca="false">Transactions!J1054</f>
        <v>14</v>
      </c>
      <c r="E1054" s="1" t="n">
        <f aca="false">Transactions!D1054</f>
        <v>72.94</v>
      </c>
      <c r="F1054" s="1" t="str">
        <f aca="false">Transactions!H1054</f>
        <v>Online</v>
      </c>
      <c r="G1054" s="1" t="str">
        <f aca="false">Transactions!G1054</f>
        <v>Wire Transfer</v>
      </c>
      <c r="H1054" s="1" t="n">
        <f aca="false">IF(COUNTIFS($B$2:$B$1489,B1054,$C$2:$C$1489,C1054,$D$2:$D$1489,D1054)&gt;6,1,0)</f>
        <v>0</v>
      </c>
      <c r="I1054" s="1" t="n">
        <f aca="false">IF(AND(F1054="Wire",E1054&gt;=1000,MOD(E1054,1000)=0),1,0)</f>
        <v>0</v>
      </c>
      <c r="J1054" s="1" t="n">
        <f aca="false">IF(AND(F1054="ATM",E1054&gt;2000,D1054&lt;=4),1,0)</f>
        <v>0</v>
      </c>
      <c r="K1054" s="1" t="n">
        <f aca="false">IF(COUNTIF('SQL Findings'!$A$4:$A$18,B1054)&gt;0,1,0)</f>
        <v>0</v>
      </c>
      <c r="L1054" s="1" t="n">
        <f aca="false">SUM(H1054:K1054)</f>
        <v>0</v>
      </c>
      <c r="M1054" s="1" t="str">
        <f aca="false">IF(L1054&gt;=2,"High",IF(L1054=1,"Medium","Low"))</f>
        <v>Low</v>
      </c>
    </row>
    <row r="1055" customFormat="false" ht="15" hidden="false" customHeight="true" outlineLevel="0" collapsed="false">
      <c r="A1055" s="1" t="str">
        <f aca="false">Transactions!A1055</f>
        <v>TXN500677</v>
      </c>
      <c r="B1055" s="1" t="str">
        <f aca="false">Transactions!B1055</f>
        <v>ACC1029</v>
      </c>
      <c r="C1055" s="1" t="str">
        <f aca="false">Transactions!I1055</f>
        <v>2026-03-06</v>
      </c>
      <c r="D1055" s="1" t="n">
        <f aca="false">Transactions!J1055</f>
        <v>14</v>
      </c>
      <c r="E1055" s="1" t="n">
        <f aca="false">Transactions!D1055</f>
        <v>24.54</v>
      </c>
      <c r="F1055" s="1" t="str">
        <f aca="false">Transactions!H1055</f>
        <v>POS</v>
      </c>
      <c r="G1055" s="1" t="str">
        <f aca="false">Transactions!G1055</f>
        <v>Travel</v>
      </c>
      <c r="H1055" s="1" t="n">
        <f aca="false">IF(COUNTIFS($B$2:$B$1489,B1055,$C$2:$C$1489,C1055,$D$2:$D$1489,D1055)&gt;6,1,0)</f>
        <v>0</v>
      </c>
      <c r="I1055" s="1" t="n">
        <f aca="false">IF(AND(F1055="Wire",E1055&gt;=1000,MOD(E1055,1000)=0),1,0)</f>
        <v>0</v>
      </c>
      <c r="J1055" s="1" t="n">
        <f aca="false">IF(AND(F1055="ATM",E1055&gt;2000,D1055&lt;=4),1,0)</f>
        <v>0</v>
      </c>
      <c r="K1055" s="1" t="n">
        <f aca="false">IF(COUNTIF('SQL Findings'!$A$4:$A$18,B1055)&gt;0,1,0)</f>
        <v>0</v>
      </c>
      <c r="L1055" s="1" t="n">
        <f aca="false">SUM(H1055:K1055)</f>
        <v>0</v>
      </c>
      <c r="M1055" s="1" t="str">
        <f aca="false">IF(L1055&gt;=2,"High",IF(L1055=1,"Medium","Low"))</f>
        <v>Low</v>
      </c>
    </row>
    <row r="1056" customFormat="false" ht="15" hidden="false" customHeight="true" outlineLevel="0" collapsed="false">
      <c r="A1056" s="1" t="str">
        <f aca="false">Transactions!A1056</f>
        <v>TXN500606</v>
      </c>
      <c r="B1056" s="1" t="str">
        <f aca="false">Transactions!B1056</f>
        <v>ACC1026</v>
      </c>
      <c r="C1056" s="1" t="str">
        <f aca="false">Transactions!I1056</f>
        <v>2026-03-06</v>
      </c>
      <c r="D1056" s="1" t="n">
        <f aca="false">Transactions!J1056</f>
        <v>14</v>
      </c>
      <c r="E1056" s="1" t="n">
        <f aca="false">Transactions!D1056</f>
        <v>361.09</v>
      </c>
      <c r="F1056" s="1" t="str">
        <f aca="false">Transactions!H1056</f>
        <v>Online</v>
      </c>
      <c r="G1056" s="1" t="str">
        <f aca="false">Transactions!G1056</f>
        <v>Online Marketplace</v>
      </c>
      <c r="H1056" s="1" t="n">
        <f aca="false">IF(COUNTIFS($B$2:$B$1489,B1056,$C$2:$C$1489,C1056,$D$2:$D$1489,D1056)&gt;6,1,0)</f>
        <v>0</v>
      </c>
      <c r="I1056" s="1" t="n">
        <f aca="false">IF(AND(F1056="Wire",E1056&gt;=1000,MOD(E1056,1000)=0),1,0)</f>
        <v>0</v>
      </c>
      <c r="J1056" s="1" t="n">
        <f aca="false">IF(AND(F1056="ATM",E1056&gt;2000,D1056&lt;=4),1,0)</f>
        <v>0</v>
      </c>
      <c r="K1056" s="1" t="n">
        <f aca="false">IF(COUNTIF('SQL Findings'!$A$4:$A$18,B1056)&gt;0,1,0)</f>
        <v>0</v>
      </c>
      <c r="L1056" s="1" t="n">
        <f aca="false">SUM(H1056:K1056)</f>
        <v>0</v>
      </c>
      <c r="M1056" s="1" t="str">
        <f aca="false">IF(L1056&gt;=2,"High",IF(L1056=1,"Medium","Low"))</f>
        <v>Low</v>
      </c>
    </row>
    <row r="1057" customFormat="false" ht="15" hidden="false" customHeight="true" outlineLevel="0" collapsed="false">
      <c r="A1057" s="1" t="str">
        <f aca="false">Transactions!A1057</f>
        <v>TXN501000</v>
      </c>
      <c r="B1057" s="1" t="str">
        <f aca="false">Transactions!B1057</f>
        <v>ACC1043</v>
      </c>
      <c r="C1057" s="1" t="str">
        <f aca="false">Transactions!I1057</f>
        <v>2026-03-06</v>
      </c>
      <c r="D1057" s="1" t="n">
        <f aca="false">Transactions!J1057</f>
        <v>16</v>
      </c>
      <c r="E1057" s="1" t="n">
        <f aca="false">Transactions!D1057</f>
        <v>111.65</v>
      </c>
      <c r="F1057" s="1" t="str">
        <f aca="false">Transactions!H1057</f>
        <v>ATM</v>
      </c>
      <c r="G1057" s="1" t="str">
        <f aca="false">Transactions!G1057</f>
        <v>Online Marketplace</v>
      </c>
      <c r="H1057" s="1" t="n">
        <f aca="false">IF(COUNTIFS($B$2:$B$1489,B1057,$C$2:$C$1489,C1057,$D$2:$D$1489,D1057)&gt;6,1,0)</f>
        <v>0</v>
      </c>
      <c r="I1057" s="1" t="n">
        <f aca="false">IF(AND(F1057="Wire",E1057&gt;=1000,MOD(E1057,1000)=0),1,0)</f>
        <v>0</v>
      </c>
      <c r="J1057" s="1" t="n">
        <f aca="false">IF(AND(F1057="ATM",E1057&gt;2000,D1057&lt;=4),1,0)</f>
        <v>0</v>
      </c>
      <c r="K1057" s="1" t="n">
        <f aca="false">IF(COUNTIF('SQL Findings'!$A$4:$A$18,B1057)&gt;0,1,0)</f>
        <v>0</v>
      </c>
      <c r="L1057" s="1" t="n">
        <f aca="false">SUM(H1057:K1057)</f>
        <v>0</v>
      </c>
      <c r="M1057" s="1" t="str">
        <f aca="false">IF(L1057&gt;=2,"High",IF(L1057=1,"Medium","Low"))</f>
        <v>Low</v>
      </c>
    </row>
    <row r="1058" customFormat="false" ht="15" hidden="false" customHeight="true" outlineLevel="0" collapsed="false">
      <c r="A1058" s="1" t="str">
        <f aca="false">Transactions!A1058</f>
        <v>TXN501213</v>
      </c>
      <c r="B1058" s="1" t="str">
        <f aca="false">Transactions!B1058</f>
        <v>ACC1053</v>
      </c>
      <c r="C1058" s="1" t="str">
        <f aca="false">Transactions!I1058</f>
        <v>2026-03-06</v>
      </c>
      <c r="D1058" s="1" t="n">
        <f aca="false">Transactions!J1058</f>
        <v>17</v>
      </c>
      <c r="E1058" s="1" t="n">
        <f aca="false">Transactions!D1058</f>
        <v>34.93</v>
      </c>
      <c r="F1058" s="1" t="str">
        <f aca="false">Transactions!H1058</f>
        <v>POS</v>
      </c>
      <c r="G1058" s="1" t="str">
        <f aca="false">Transactions!G1058</f>
        <v>Cash Withdrawal</v>
      </c>
      <c r="H1058" s="1" t="n">
        <f aca="false">IF(COUNTIFS($B$2:$B$1489,B1058,$C$2:$C$1489,C1058,$D$2:$D$1489,D1058)&gt;6,1,0)</f>
        <v>0</v>
      </c>
      <c r="I1058" s="1" t="n">
        <f aca="false">IF(AND(F1058="Wire",E1058&gt;=1000,MOD(E1058,1000)=0),1,0)</f>
        <v>0</v>
      </c>
      <c r="J1058" s="1" t="n">
        <f aca="false">IF(AND(F1058="ATM",E1058&gt;2000,D1058&lt;=4),1,0)</f>
        <v>0</v>
      </c>
      <c r="K1058" s="1" t="n">
        <f aca="false">IF(COUNTIF('SQL Findings'!$A$4:$A$18,B1058)&gt;0,1,0)</f>
        <v>0</v>
      </c>
      <c r="L1058" s="1" t="n">
        <f aca="false">SUM(H1058:K1058)</f>
        <v>0</v>
      </c>
      <c r="M1058" s="1" t="str">
        <f aca="false">IF(L1058&gt;=2,"High",IF(L1058=1,"Medium","Low"))</f>
        <v>Low</v>
      </c>
    </row>
    <row r="1059" customFormat="false" ht="15" hidden="false" customHeight="true" outlineLevel="0" collapsed="false">
      <c r="A1059" s="1" t="str">
        <f aca="false">Transactions!A1059</f>
        <v>TXN500527</v>
      </c>
      <c r="B1059" s="1" t="str">
        <f aca="false">Transactions!B1059</f>
        <v>ACC1023</v>
      </c>
      <c r="C1059" s="1" t="str">
        <f aca="false">Transactions!I1059</f>
        <v>2026-03-06</v>
      </c>
      <c r="D1059" s="1" t="n">
        <f aca="false">Transactions!J1059</f>
        <v>17</v>
      </c>
      <c r="E1059" s="1" t="n">
        <f aca="false">Transactions!D1059</f>
        <v>15.41</v>
      </c>
      <c r="F1059" s="1" t="str">
        <f aca="false">Transactions!H1059</f>
        <v>POS</v>
      </c>
      <c r="G1059" s="1" t="str">
        <f aca="false">Transactions!G1059</f>
        <v>Wire Transfer</v>
      </c>
      <c r="H1059" s="1" t="n">
        <f aca="false">IF(COUNTIFS($B$2:$B$1489,B1059,$C$2:$C$1489,C1059,$D$2:$D$1489,D1059)&gt;6,1,0)</f>
        <v>0</v>
      </c>
      <c r="I1059" s="1" t="n">
        <f aca="false">IF(AND(F1059="Wire",E1059&gt;=1000,MOD(E1059,1000)=0),1,0)</f>
        <v>0</v>
      </c>
      <c r="J1059" s="1" t="n">
        <f aca="false">IF(AND(F1059="ATM",E1059&gt;2000,D1059&lt;=4),1,0)</f>
        <v>0</v>
      </c>
      <c r="K1059" s="1" t="n">
        <f aca="false">IF(COUNTIF('SQL Findings'!$A$4:$A$18,B1059)&gt;0,1,0)</f>
        <v>0</v>
      </c>
      <c r="L1059" s="1" t="n">
        <f aca="false">SUM(H1059:K1059)</f>
        <v>0</v>
      </c>
      <c r="M1059" s="1" t="str">
        <f aca="false">IF(L1059&gt;=2,"High",IF(L1059=1,"Medium","Low"))</f>
        <v>Low</v>
      </c>
    </row>
    <row r="1060" customFormat="false" ht="15" hidden="false" customHeight="true" outlineLevel="0" collapsed="false">
      <c r="A1060" s="1" t="str">
        <f aca="false">Transactions!A1060</f>
        <v>TXN500225</v>
      </c>
      <c r="B1060" s="1" t="str">
        <f aca="false">Transactions!B1060</f>
        <v>ACC1009</v>
      </c>
      <c r="C1060" s="1" t="str">
        <f aca="false">Transactions!I1060</f>
        <v>2026-03-06</v>
      </c>
      <c r="D1060" s="1" t="n">
        <f aca="false">Transactions!J1060</f>
        <v>19</v>
      </c>
      <c r="E1060" s="1" t="n">
        <f aca="false">Transactions!D1060</f>
        <v>43.61</v>
      </c>
      <c r="F1060" s="1" t="str">
        <f aca="false">Transactions!H1060</f>
        <v>Online</v>
      </c>
      <c r="G1060" s="1" t="str">
        <f aca="false">Transactions!G1060</f>
        <v>Travel</v>
      </c>
      <c r="H1060" s="1" t="n">
        <f aca="false">IF(COUNTIFS($B$2:$B$1489,B1060,$C$2:$C$1489,C1060,$D$2:$D$1489,D1060)&gt;6,1,0)</f>
        <v>0</v>
      </c>
      <c r="I1060" s="1" t="n">
        <f aca="false">IF(AND(F1060="Wire",E1060&gt;=1000,MOD(E1060,1000)=0),1,0)</f>
        <v>0</v>
      </c>
      <c r="J1060" s="1" t="n">
        <f aca="false">IF(AND(F1060="ATM",E1060&gt;2000,D1060&lt;=4),1,0)</f>
        <v>0</v>
      </c>
      <c r="K1060" s="1" t="n">
        <f aca="false">IF(COUNTIF('SQL Findings'!$A$4:$A$18,B1060)&gt;0,1,0)</f>
        <v>1</v>
      </c>
      <c r="L1060" s="1" t="n">
        <f aca="false">SUM(H1060:K1060)</f>
        <v>1</v>
      </c>
      <c r="M1060" s="1" t="str">
        <f aca="false">IF(L1060&gt;=2,"High",IF(L1060=1,"Medium","Low"))</f>
        <v>Medium</v>
      </c>
    </row>
    <row r="1061" customFormat="false" ht="15" hidden="false" customHeight="true" outlineLevel="0" collapsed="false">
      <c r="A1061" s="1" t="str">
        <f aca="false">Transactions!A1061</f>
        <v>TXN500933</v>
      </c>
      <c r="B1061" s="1" t="str">
        <f aca="false">Transactions!B1061</f>
        <v>ACC1040</v>
      </c>
      <c r="C1061" s="1" t="str">
        <f aca="false">Transactions!I1061</f>
        <v>2026-03-07</v>
      </c>
      <c r="D1061" s="1" t="n">
        <f aca="false">Transactions!J1061</f>
        <v>3</v>
      </c>
      <c r="E1061" s="1" t="n">
        <f aca="false">Transactions!D1061</f>
        <v>18.12</v>
      </c>
      <c r="F1061" s="1" t="str">
        <f aca="false">Transactions!H1061</f>
        <v>ATM</v>
      </c>
      <c r="G1061" s="1" t="str">
        <f aca="false">Transactions!G1061</f>
        <v>Travel</v>
      </c>
      <c r="H1061" s="1" t="n">
        <f aca="false">IF(COUNTIFS($B$2:$B$1489,B1061,$C$2:$C$1489,C1061,$D$2:$D$1489,D1061)&gt;6,1,0)</f>
        <v>0</v>
      </c>
      <c r="I1061" s="1" t="n">
        <f aca="false">IF(AND(F1061="Wire",E1061&gt;=1000,MOD(E1061,1000)=0),1,0)</f>
        <v>0</v>
      </c>
      <c r="J1061" s="1" t="n">
        <f aca="false">IF(AND(F1061="ATM",E1061&gt;2000,D1061&lt;=4),1,0)</f>
        <v>0</v>
      </c>
      <c r="K1061" s="1" t="n">
        <f aca="false">IF(COUNTIF('SQL Findings'!$A$4:$A$18,B1061)&gt;0,1,0)</f>
        <v>1</v>
      </c>
      <c r="L1061" s="1" t="n">
        <f aca="false">SUM(H1061:K1061)</f>
        <v>1</v>
      </c>
      <c r="M1061" s="1" t="str">
        <f aca="false">IF(L1061&gt;=2,"High",IF(L1061=1,"Medium","Low"))</f>
        <v>Medium</v>
      </c>
    </row>
    <row r="1062" customFormat="false" ht="15" hidden="false" customHeight="true" outlineLevel="0" collapsed="false">
      <c r="A1062" s="1" t="str">
        <f aca="false">Transactions!A1062</f>
        <v>TXN500610</v>
      </c>
      <c r="B1062" s="1" t="str">
        <f aca="false">Transactions!B1062</f>
        <v>ACC1026</v>
      </c>
      <c r="C1062" s="1" t="str">
        <f aca="false">Transactions!I1062</f>
        <v>2026-03-07</v>
      </c>
      <c r="D1062" s="1" t="n">
        <f aca="false">Transactions!J1062</f>
        <v>5</v>
      </c>
      <c r="E1062" s="1" t="n">
        <f aca="false">Transactions!D1062</f>
        <v>256.32</v>
      </c>
      <c r="F1062" s="1" t="str">
        <f aca="false">Transactions!H1062</f>
        <v>ATM</v>
      </c>
      <c r="G1062" s="1" t="str">
        <f aca="false">Transactions!G1062</f>
        <v>Utilities</v>
      </c>
      <c r="H1062" s="1" t="n">
        <f aca="false">IF(COUNTIFS($B$2:$B$1489,B1062,$C$2:$C$1489,C1062,$D$2:$D$1489,D1062)&gt;6,1,0)</f>
        <v>0</v>
      </c>
      <c r="I1062" s="1" t="n">
        <f aca="false">IF(AND(F1062="Wire",E1062&gt;=1000,MOD(E1062,1000)=0),1,0)</f>
        <v>0</v>
      </c>
      <c r="J1062" s="1" t="n">
        <f aca="false">IF(AND(F1062="ATM",E1062&gt;2000,D1062&lt;=4),1,0)</f>
        <v>0</v>
      </c>
      <c r="K1062" s="1" t="n">
        <f aca="false">IF(COUNTIF('SQL Findings'!$A$4:$A$18,B1062)&gt;0,1,0)</f>
        <v>0</v>
      </c>
      <c r="L1062" s="1" t="n">
        <f aca="false">SUM(H1062:K1062)</f>
        <v>0</v>
      </c>
      <c r="M1062" s="1" t="str">
        <f aca="false">IF(L1062&gt;=2,"High",IF(L1062=1,"Medium","Low"))</f>
        <v>Low</v>
      </c>
    </row>
    <row r="1063" customFormat="false" ht="15" hidden="false" customHeight="true" outlineLevel="0" collapsed="false">
      <c r="A1063" s="1" t="str">
        <f aca="false">Transactions!A1063</f>
        <v>TXN500460</v>
      </c>
      <c r="B1063" s="1" t="str">
        <f aca="false">Transactions!B1063</f>
        <v>ACC1020</v>
      </c>
      <c r="C1063" s="1" t="str">
        <f aca="false">Transactions!I1063</f>
        <v>2026-03-07</v>
      </c>
      <c r="D1063" s="1" t="n">
        <f aca="false">Transactions!J1063</f>
        <v>9</v>
      </c>
      <c r="E1063" s="1" t="n">
        <f aca="false">Transactions!D1063</f>
        <v>22.69</v>
      </c>
      <c r="F1063" s="1" t="str">
        <f aca="false">Transactions!H1063</f>
        <v>POS</v>
      </c>
      <c r="G1063" s="1" t="str">
        <f aca="false">Transactions!G1063</f>
        <v>Electronics</v>
      </c>
      <c r="H1063" s="1" t="n">
        <f aca="false">IF(COUNTIFS($B$2:$B$1489,B1063,$C$2:$C$1489,C1063,$D$2:$D$1489,D1063)&gt;6,1,0)</f>
        <v>0</v>
      </c>
      <c r="I1063" s="1" t="n">
        <f aca="false">IF(AND(F1063="Wire",E1063&gt;=1000,MOD(E1063,1000)=0),1,0)</f>
        <v>0</v>
      </c>
      <c r="J1063" s="1" t="n">
        <f aca="false">IF(AND(F1063="ATM",E1063&gt;2000,D1063&lt;=4),1,0)</f>
        <v>0</v>
      </c>
      <c r="K1063" s="1" t="n">
        <f aca="false">IF(COUNTIF('SQL Findings'!$A$4:$A$18,B1063)&gt;0,1,0)</f>
        <v>0</v>
      </c>
      <c r="L1063" s="1" t="n">
        <f aca="false">SUM(H1063:K1063)</f>
        <v>0</v>
      </c>
      <c r="M1063" s="1" t="str">
        <f aca="false">IF(L1063&gt;=2,"High",IF(L1063=1,"Medium","Low"))</f>
        <v>Low</v>
      </c>
    </row>
    <row r="1064" customFormat="false" ht="15" hidden="false" customHeight="true" outlineLevel="0" collapsed="false">
      <c r="A1064" s="1" t="str">
        <f aca="false">Transactions!A1064</f>
        <v>TXN501315</v>
      </c>
      <c r="B1064" s="1" t="str">
        <f aca="false">Transactions!B1064</f>
        <v>ACC1057</v>
      </c>
      <c r="C1064" s="1" t="str">
        <f aca="false">Transactions!I1064</f>
        <v>2026-03-07</v>
      </c>
      <c r="D1064" s="1" t="n">
        <f aca="false">Transactions!J1064</f>
        <v>10</v>
      </c>
      <c r="E1064" s="1" t="n">
        <f aca="false">Transactions!D1064</f>
        <v>67.31</v>
      </c>
      <c r="F1064" s="1" t="str">
        <f aca="false">Transactions!H1064</f>
        <v>POS</v>
      </c>
      <c r="G1064" s="1" t="str">
        <f aca="false">Transactions!G1064</f>
        <v>Utilities</v>
      </c>
      <c r="H1064" s="1" t="n">
        <f aca="false">IF(COUNTIFS($B$2:$B$1489,B1064,$C$2:$C$1489,C1064,$D$2:$D$1489,D1064)&gt;6,1,0)</f>
        <v>0</v>
      </c>
      <c r="I1064" s="1" t="n">
        <f aca="false">IF(AND(F1064="Wire",E1064&gt;=1000,MOD(E1064,1000)=0),1,0)</f>
        <v>0</v>
      </c>
      <c r="J1064" s="1" t="n">
        <f aca="false">IF(AND(F1064="ATM",E1064&gt;2000,D1064&lt;=4),1,0)</f>
        <v>0</v>
      </c>
      <c r="K1064" s="1" t="n">
        <f aca="false">IF(COUNTIF('SQL Findings'!$A$4:$A$18,B1064)&gt;0,1,0)</f>
        <v>1</v>
      </c>
      <c r="L1064" s="1" t="n">
        <f aca="false">SUM(H1064:K1064)</f>
        <v>1</v>
      </c>
      <c r="M1064" s="1" t="str">
        <f aca="false">IF(L1064&gt;=2,"High",IF(L1064=1,"Medium","Low"))</f>
        <v>Medium</v>
      </c>
    </row>
    <row r="1065" customFormat="false" ht="15" hidden="false" customHeight="true" outlineLevel="0" collapsed="false">
      <c r="A1065" s="1" t="str">
        <f aca="false">Transactions!A1065</f>
        <v>TXN500476</v>
      </c>
      <c r="B1065" s="1" t="str">
        <f aca="false">Transactions!B1065</f>
        <v>ACC1021</v>
      </c>
      <c r="C1065" s="1" t="str">
        <f aca="false">Transactions!I1065</f>
        <v>2026-03-07</v>
      </c>
      <c r="D1065" s="1" t="n">
        <f aca="false">Transactions!J1065</f>
        <v>10</v>
      </c>
      <c r="E1065" s="1" t="n">
        <f aca="false">Transactions!D1065</f>
        <v>53.3</v>
      </c>
      <c r="F1065" s="1" t="str">
        <f aca="false">Transactions!H1065</f>
        <v>ATM</v>
      </c>
      <c r="G1065" s="1" t="str">
        <f aca="false">Transactions!G1065</f>
        <v>Retail</v>
      </c>
      <c r="H1065" s="1" t="n">
        <f aca="false">IF(COUNTIFS($B$2:$B$1489,B1065,$C$2:$C$1489,C1065,$D$2:$D$1489,D1065)&gt;6,1,0)</f>
        <v>0</v>
      </c>
      <c r="I1065" s="1" t="n">
        <f aca="false">IF(AND(F1065="Wire",E1065&gt;=1000,MOD(E1065,1000)=0),1,0)</f>
        <v>0</v>
      </c>
      <c r="J1065" s="1" t="n">
        <f aca="false">IF(AND(F1065="ATM",E1065&gt;2000,D1065&lt;=4),1,0)</f>
        <v>0</v>
      </c>
      <c r="K1065" s="1" t="n">
        <f aca="false">IF(COUNTIF('SQL Findings'!$A$4:$A$18,B1065)&gt;0,1,0)</f>
        <v>0</v>
      </c>
      <c r="L1065" s="1" t="n">
        <f aca="false">SUM(H1065:K1065)</f>
        <v>0</v>
      </c>
      <c r="M1065" s="1" t="str">
        <f aca="false">IF(L1065&gt;=2,"High",IF(L1065=1,"Medium","Low"))</f>
        <v>Low</v>
      </c>
    </row>
    <row r="1066" customFormat="false" ht="15" hidden="false" customHeight="true" outlineLevel="0" collapsed="false">
      <c r="A1066" s="1" t="str">
        <f aca="false">Transactions!A1066</f>
        <v>TXN501327</v>
      </c>
      <c r="B1066" s="1" t="str">
        <f aca="false">Transactions!B1066</f>
        <v>ACC1058</v>
      </c>
      <c r="C1066" s="1" t="str">
        <f aca="false">Transactions!I1066</f>
        <v>2026-03-07</v>
      </c>
      <c r="D1066" s="1" t="n">
        <f aca="false">Transactions!J1066</f>
        <v>10</v>
      </c>
      <c r="E1066" s="1" t="n">
        <f aca="false">Transactions!D1066</f>
        <v>28.63</v>
      </c>
      <c r="F1066" s="1" t="str">
        <f aca="false">Transactions!H1066</f>
        <v>Online</v>
      </c>
      <c r="G1066" s="1" t="str">
        <f aca="false">Transactions!G1066</f>
        <v>Online Marketplace</v>
      </c>
      <c r="H1066" s="1" t="n">
        <f aca="false">IF(COUNTIFS($B$2:$B$1489,B1066,$C$2:$C$1489,C1066,$D$2:$D$1489,D1066)&gt;6,1,0)</f>
        <v>0</v>
      </c>
      <c r="I1066" s="1" t="n">
        <f aca="false">IF(AND(F1066="Wire",E1066&gt;=1000,MOD(E1066,1000)=0),1,0)</f>
        <v>0</v>
      </c>
      <c r="J1066" s="1" t="n">
        <f aca="false">IF(AND(F1066="ATM",E1066&gt;2000,D1066&lt;=4),1,0)</f>
        <v>0</v>
      </c>
      <c r="K1066" s="1" t="n">
        <f aca="false">IF(COUNTIF('SQL Findings'!$A$4:$A$18,B1066)&gt;0,1,0)</f>
        <v>0</v>
      </c>
      <c r="L1066" s="1" t="n">
        <f aca="false">SUM(H1066:K1066)</f>
        <v>0</v>
      </c>
      <c r="M1066" s="1" t="str">
        <f aca="false">IF(L1066&gt;=2,"High",IF(L1066=1,"Medium","Low"))</f>
        <v>Low</v>
      </c>
    </row>
    <row r="1067" customFormat="false" ht="15" hidden="false" customHeight="true" outlineLevel="0" collapsed="false">
      <c r="A1067" s="1" t="str">
        <f aca="false">Transactions!A1067</f>
        <v>TXN500077</v>
      </c>
      <c r="B1067" s="1" t="str">
        <f aca="false">Transactions!B1067</f>
        <v>ACC1003</v>
      </c>
      <c r="C1067" s="1" t="str">
        <f aca="false">Transactions!I1067</f>
        <v>2026-03-07</v>
      </c>
      <c r="D1067" s="1" t="n">
        <f aca="false">Transactions!J1067</f>
        <v>10</v>
      </c>
      <c r="E1067" s="1" t="n">
        <f aca="false">Transactions!D1067</f>
        <v>72.12</v>
      </c>
      <c r="F1067" s="1" t="str">
        <f aca="false">Transactions!H1067</f>
        <v>POS</v>
      </c>
      <c r="G1067" s="1" t="str">
        <f aca="false">Transactions!G1067</f>
        <v>Cash Withdrawal</v>
      </c>
      <c r="H1067" s="1" t="n">
        <f aca="false">IF(COUNTIFS($B$2:$B$1489,B1067,$C$2:$C$1489,C1067,$D$2:$D$1489,D1067)&gt;6,1,0)</f>
        <v>0</v>
      </c>
      <c r="I1067" s="1" t="n">
        <f aca="false">IF(AND(F1067="Wire",E1067&gt;=1000,MOD(E1067,1000)=0),1,0)</f>
        <v>0</v>
      </c>
      <c r="J1067" s="1" t="n">
        <f aca="false">IF(AND(F1067="ATM",E1067&gt;2000,D1067&lt;=4),1,0)</f>
        <v>0</v>
      </c>
      <c r="K1067" s="1" t="n">
        <f aca="false">IF(COUNTIF('SQL Findings'!$A$4:$A$18,B1067)&gt;0,1,0)</f>
        <v>0</v>
      </c>
      <c r="L1067" s="1" t="n">
        <f aca="false">SUM(H1067:K1067)</f>
        <v>0</v>
      </c>
      <c r="M1067" s="1" t="str">
        <f aca="false">IF(L1067&gt;=2,"High",IF(L1067=1,"Medium","Low"))</f>
        <v>Low</v>
      </c>
    </row>
    <row r="1068" customFormat="false" ht="15" hidden="false" customHeight="true" outlineLevel="0" collapsed="false">
      <c r="A1068" s="1" t="str">
        <f aca="false">Transactions!A1068</f>
        <v>TXN500475</v>
      </c>
      <c r="B1068" s="1" t="str">
        <f aca="false">Transactions!B1068</f>
        <v>ACC1021</v>
      </c>
      <c r="C1068" s="1" t="str">
        <f aca="false">Transactions!I1068</f>
        <v>2026-03-07</v>
      </c>
      <c r="D1068" s="1" t="n">
        <f aca="false">Transactions!J1068</f>
        <v>11</v>
      </c>
      <c r="E1068" s="1" t="n">
        <f aca="false">Transactions!D1068</f>
        <v>293.09</v>
      </c>
      <c r="F1068" s="1" t="str">
        <f aca="false">Transactions!H1068</f>
        <v>POS</v>
      </c>
      <c r="G1068" s="1" t="str">
        <f aca="false">Transactions!G1068</f>
        <v>Online Marketplace</v>
      </c>
      <c r="H1068" s="1" t="n">
        <f aca="false">IF(COUNTIFS($B$2:$B$1489,B1068,$C$2:$C$1489,C1068,$D$2:$D$1489,D1068)&gt;6,1,0)</f>
        <v>0</v>
      </c>
      <c r="I1068" s="1" t="n">
        <f aca="false">IF(AND(F1068="Wire",E1068&gt;=1000,MOD(E1068,1000)=0),1,0)</f>
        <v>0</v>
      </c>
      <c r="J1068" s="1" t="n">
        <f aca="false">IF(AND(F1068="ATM",E1068&gt;2000,D1068&lt;=4),1,0)</f>
        <v>0</v>
      </c>
      <c r="K1068" s="1" t="n">
        <f aca="false">IF(COUNTIF('SQL Findings'!$A$4:$A$18,B1068)&gt;0,1,0)</f>
        <v>0</v>
      </c>
      <c r="L1068" s="1" t="n">
        <f aca="false">SUM(H1068:K1068)</f>
        <v>0</v>
      </c>
      <c r="M1068" s="1" t="str">
        <f aca="false">IF(L1068&gt;=2,"High",IF(L1068=1,"Medium","Low"))</f>
        <v>Low</v>
      </c>
    </row>
    <row r="1069" customFormat="false" ht="15" hidden="false" customHeight="true" outlineLevel="0" collapsed="false">
      <c r="A1069" s="1" t="str">
        <f aca="false">Transactions!A1069</f>
        <v>TXN500408</v>
      </c>
      <c r="B1069" s="1" t="str">
        <f aca="false">Transactions!B1069</f>
        <v>ACC1017</v>
      </c>
      <c r="C1069" s="1" t="str">
        <f aca="false">Transactions!I1069</f>
        <v>2026-03-07</v>
      </c>
      <c r="D1069" s="1" t="n">
        <f aca="false">Transactions!J1069</f>
        <v>11</v>
      </c>
      <c r="E1069" s="1" t="n">
        <f aca="false">Transactions!D1069</f>
        <v>58.67</v>
      </c>
      <c r="F1069" s="1" t="str">
        <f aca="false">Transactions!H1069</f>
        <v>Online</v>
      </c>
      <c r="G1069" s="1" t="str">
        <f aca="false">Transactions!G1069</f>
        <v>Utilities</v>
      </c>
      <c r="H1069" s="1" t="n">
        <f aca="false">IF(COUNTIFS($B$2:$B$1489,B1069,$C$2:$C$1489,C1069,$D$2:$D$1489,D1069)&gt;6,1,0)</f>
        <v>0</v>
      </c>
      <c r="I1069" s="1" t="n">
        <f aca="false">IF(AND(F1069="Wire",E1069&gt;=1000,MOD(E1069,1000)=0),1,0)</f>
        <v>0</v>
      </c>
      <c r="J1069" s="1" t="n">
        <f aca="false">IF(AND(F1069="ATM",E1069&gt;2000,D1069&lt;=4),1,0)</f>
        <v>0</v>
      </c>
      <c r="K1069" s="1" t="n">
        <f aca="false">IF(COUNTIF('SQL Findings'!$A$4:$A$18,B1069)&gt;0,1,0)</f>
        <v>0</v>
      </c>
      <c r="L1069" s="1" t="n">
        <f aca="false">SUM(H1069:K1069)</f>
        <v>0</v>
      </c>
      <c r="M1069" s="1" t="str">
        <f aca="false">IF(L1069&gt;=2,"High",IF(L1069=1,"Medium","Low"))</f>
        <v>Low</v>
      </c>
    </row>
    <row r="1070" customFormat="false" ht="15" hidden="false" customHeight="true" outlineLevel="0" collapsed="false">
      <c r="A1070" s="1" t="str">
        <f aca="false">Transactions!A1070</f>
        <v>TXN501156</v>
      </c>
      <c r="B1070" s="1" t="str">
        <f aca="false">Transactions!B1070</f>
        <v>ACC1051</v>
      </c>
      <c r="C1070" s="1" t="str">
        <f aca="false">Transactions!I1070</f>
        <v>2026-03-07</v>
      </c>
      <c r="D1070" s="1" t="n">
        <f aca="false">Transactions!J1070</f>
        <v>12</v>
      </c>
      <c r="E1070" s="1" t="n">
        <f aca="false">Transactions!D1070</f>
        <v>165.48</v>
      </c>
      <c r="F1070" s="1" t="str">
        <f aca="false">Transactions!H1070</f>
        <v>POS</v>
      </c>
      <c r="G1070" s="1" t="str">
        <f aca="false">Transactions!G1070</f>
        <v>Travel</v>
      </c>
      <c r="H1070" s="1" t="n">
        <f aca="false">IF(COUNTIFS($B$2:$B$1489,B1070,$C$2:$C$1489,C1070,$D$2:$D$1489,D1070)&gt;6,1,0)</f>
        <v>0</v>
      </c>
      <c r="I1070" s="1" t="n">
        <f aca="false">IF(AND(F1070="Wire",E1070&gt;=1000,MOD(E1070,1000)=0),1,0)</f>
        <v>0</v>
      </c>
      <c r="J1070" s="1" t="n">
        <f aca="false">IF(AND(F1070="ATM",E1070&gt;2000,D1070&lt;=4),1,0)</f>
        <v>0</v>
      </c>
      <c r="K1070" s="1" t="n">
        <f aca="false">IF(COUNTIF('SQL Findings'!$A$4:$A$18,B1070)&gt;0,1,0)</f>
        <v>0</v>
      </c>
      <c r="L1070" s="1" t="n">
        <f aca="false">SUM(H1070:K1070)</f>
        <v>0</v>
      </c>
      <c r="M1070" s="1" t="str">
        <f aca="false">IF(L1070&gt;=2,"High",IF(L1070=1,"Medium","Low"))</f>
        <v>Low</v>
      </c>
    </row>
    <row r="1071" customFormat="false" ht="15" hidden="false" customHeight="true" outlineLevel="0" collapsed="false">
      <c r="A1071" s="1" t="str">
        <f aca="false">Transactions!A1071</f>
        <v>TXN501232</v>
      </c>
      <c r="B1071" s="1" t="str">
        <f aca="false">Transactions!B1071</f>
        <v>ACC1054</v>
      </c>
      <c r="C1071" s="1" t="str">
        <f aca="false">Transactions!I1071</f>
        <v>2026-03-07</v>
      </c>
      <c r="D1071" s="1" t="n">
        <f aca="false">Transactions!J1071</f>
        <v>13</v>
      </c>
      <c r="E1071" s="1" t="n">
        <f aca="false">Transactions!D1071</f>
        <v>19.44</v>
      </c>
      <c r="F1071" s="1" t="str">
        <f aca="false">Transactions!H1071</f>
        <v>ATM</v>
      </c>
      <c r="G1071" s="1" t="str">
        <f aca="false">Transactions!G1071</f>
        <v>Wire Transfer</v>
      </c>
      <c r="H1071" s="1" t="n">
        <f aca="false">IF(COUNTIFS($B$2:$B$1489,B1071,$C$2:$C$1489,C1071,$D$2:$D$1489,D1071)&gt;6,1,0)</f>
        <v>0</v>
      </c>
      <c r="I1071" s="1" t="n">
        <f aca="false">IF(AND(F1071="Wire",E1071&gt;=1000,MOD(E1071,1000)=0),1,0)</f>
        <v>0</v>
      </c>
      <c r="J1071" s="1" t="n">
        <f aca="false">IF(AND(F1071="ATM",E1071&gt;2000,D1071&lt;=4),1,0)</f>
        <v>0</v>
      </c>
      <c r="K1071" s="1" t="n">
        <f aca="false">IF(COUNTIF('SQL Findings'!$A$4:$A$18,B1071)&gt;0,1,0)</f>
        <v>0</v>
      </c>
      <c r="L1071" s="1" t="n">
        <f aca="false">SUM(H1071:K1071)</f>
        <v>0</v>
      </c>
      <c r="M1071" s="1" t="str">
        <f aca="false">IF(L1071&gt;=2,"High",IF(L1071=1,"Medium","Low"))</f>
        <v>Low</v>
      </c>
    </row>
    <row r="1072" customFormat="false" ht="15" hidden="false" customHeight="true" outlineLevel="0" collapsed="false">
      <c r="A1072" s="1" t="str">
        <f aca="false">Transactions!A1072</f>
        <v>TXN500252</v>
      </c>
      <c r="B1072" s="1" t="str">
        <f aca="false">Transactions!B1072</f>
        <v>ACC1010</v>
      </c>
      <c r="C1072" s="1" t="str">
        <f aca="false">Transactions!I1072</f>
        <v>2026-03-07</v>
      </c>
      <c r="D1072" s="1" t="n">
        <f aca="false">Transactions!J1072</f>
        <v>13</v>
      </c>
      <c r="E1072" s="1" t="n">
        <f aca="false">Transactions!D1072</f>
        <v>152.33</v>
      </c>
      <c r="F1072" s="1" t="str">
        <f aca="false">Transactions!H1072</f>
        <v>ATM</v>
      </c>
      <c r="G1072" s="1" t="str">
        <f aca="false">Transactions!G1072</f>
        <v>Dining</v>
      </c>
      <c r="H1072" s="1" t="n">
        <f aca="false">IF(COUNTIFS($B$2:$B$1489,B1072,$C$2:$C$1489,C1072,$D$2:$D$1489,D1072)&gt;6,1,0)</f>
        <v>0</v>
      </c>
      <c r="I1072" s="1" t="n">
        <f aca="false">IF(AND(F1072="Wire",E1072&gt;=1000,MOD(E1072,1000)=0),1,0)</f>
        <v>0</v>
      </c>
      <c r="J1072" s="1" t="n">
        <f aca="false">IF(AND(F1072="ATM",E1072&gt;2000,D1072&lt;=4),1,0)</f>
        <v>0</v>
      </c>
      <c r="K1072" s="1" t="n">
        <f aca="false">IF(COUNTIF('SQL Findings'!$A$4:$A$18,B1072)&gt;0,1,0)</f>
        <v>0</v>
      </c>
      <c r="L1072" s="1" t="n">
        <f aca="false">SUM(H1072:K1072)</f>
        <v>0</v>
      </c>
      <c r="M1072" s="1" t="str">
        <f aca="false">IF(L1072&gt;=2,"High",IF(L1072=1,"Medium","Low"))</f>
        <v>Low</v>
      </c>
    </row>
    <row r="1073" customFormat="false" ht="15" hidden="false" customHeight="true" outlineLevel="0" collapsed="false">
      <c r="A1073" s="1" t="str">
        <f aca="false">Transactions!A1073</f>
        <v>TXN500345</v>
      </c>
      <c r="B1073" s="1" t="str">
        <f aca="false">Transactions!B1073</f>
        <v>ACC1015</v>
      </c>
      <c r="C1073" s="1" t="str">
        <f aca="false">Transactions!I1073</f>
        <v>2026-03-07</v>
      </c>
      <c r="D1073" s="1" t="n">
        <f aca="false">Transactions!J1073</f>
        <v>13</v>
      </c>
      <c r="E1073" s="1" t="n">
        <f aca="false">Transactions!D1073</f>
        <v>43.64</v>
      </c>
      <c r="F1073" s="1" t="str">
        <f aca="false">Transactions!H1073</f>
        <v>Online</v>
      </c>
      <c r="G1073" s="1" t="str">
        <f aca="false">Transactions!G1073</f>
        <v>Travel</v>
      </c>
      <c r="H1073" s="1" t="n">
        <f aca="false">IF(COUNTIFS($B$2:$B$1489,B1073,$C$2:$C$1489,C1073,$D$2:$D$1489,D1073)&gt;6,1,0)</f>
        <v>0</v>
      </c>
      <c r="I1073" s="1" t="n">
        <f aca="false">IF(AND(F1073="Wire",E1073&gt;=1000,MOD(E1073,1000)=0),1,0)</f>
        <v>0</v>
      </c>
      <c r="J1073" s="1" t="n">
        <f aca="false">IF(AND(F1073="ATM",E1073&gt;2000,D1073&lt;=4),1,0)</f>
        <v>0</v>
      </c>
      <c r="K1073" s="1" t="n">
        <f aca="false">IF(COUNTIF('SQL Findings'!$A$4:$A$18,B1073)&gt;0,1,0)</f>
        <v>1</v>
      </c>
      <c r="L1073" s="1" t="n">
        <f aca="false">SUM(H1073:K1073)</f>
        <v>1</v>
      </c>
      <c r="M1073" s="1" t="str">
        <f aca="false">IF(L1073&gt;=2,"High",IF(L1073=1,"Medium","Low"))</f>
        <v>Medium</v>
      </c>
    </row>
    <row r="1074" customFormat="false" ht="15" hidden="false" customHeight="true" outlineLevel="0" collapsed="false">
      <c r="A1074" s="1" t="str">
        <f aca="false">Transactions!A1074</f>
        <v>TXN500186</v>
      </c>
      <c r="B1074" s="1" t="str">
        <f aca="false">Transactions!B1074</f>
        <v>ACC1008</v>
      </c>
      <c r="C1074" s="1" t="str">
        <f aca="false">Transactions!I1074</f>
        <v>2026-03-07</v>
      </c>
      <c r="D1074" s="1" t="n">
        <f aca="false">Transactions!J1074</f>
        <v>15</v>
      </c>
      <c r="E1074" s="1" t="n">
        <f aca="false">Transactions!D1074</f>
        <v>126.8</v>
      </c>
      <c r="F1074" s="1" t="str">
        <f aca="false">Transactions!H1074</f>
        <v>Online</v>
      </c>
      <c r="G1074" s="1" t="str">
        <f aca="false">Transactions!G1074</f>
        <v>Online Marketplace</v>
      </c>
      <c r="H1074" s="1" t="n">
        <f aca="false">IF(COUNTIFS($B$2:$B$1489,B1074,$C$2:$C$1489,C1074,$D$2:$D$1489,D1074)&gt;6,1,0)</f>
        <v>0</v>
      </c>
      <c r="I1074" s="1" t="n">
        <f aca="false">IF(AND(F1074="Wire",E1074&gt;=1000,MOD(E1074,1000)=0),1,0)</f>
        <v>0</v>
      </c>
      <c r="J1074" s="1" t="n">
        <f aca="false">IF(AND(F1074="ATM",E1074&gt;2000,D1074&lt;=4),1,0)</f>
        <v>0</v>
      </c>
      <c r="K1074" s="1" t="n">
        <f aca="false">IF(COUNTIF('SQL Findings'!$A$4:$A$18,B1074)&gt;0,1,0)</f>
        <v>0</v>
      </c>
      <c r="L1074" s="1" t="n">
        <f aca="false">SUM(H1074:K1074)</f>
        <v>0</v>
      </c>
      <c r="M1074" s="1" t="str">
        <f aca="false">IF(L1074&gt;=2,"High",IF(L1074=1,"Medium","Low"))</f>
        <v>Low</v>
      </c>
    </row>
    <row r="1075" customFormat="false" ht="15" hidden="false" customHeight="true" outlineLevel="0" collapsed="false">
      <c r="A1075" s="1" t="str">
        <f aca="false">Transactions!A1075</f>
        <v>TXN500579</v>
      </c>
      <c r="B1075" s="1" t="str">
        <f aca="false">Transactions!B1075</f>
        <v>ACC1025</v>
      </c>
      <c r="C1075" s="1" t="str">
        <f aca="false">Transactions!I1075</f>
        <v>2026-03-07</v>
      </c>
      <c r="D1075" s="1" t="n">
        <f aca="false">Transactions!J1075</f>
        <v>15</v>
      </c>
      <c r="E1075" s="1" t="n">
        <f aca="false">Transactions!D1075</f>
        <v>17.62</v>
      </c>
      <c r="F1075" s="1" t="str">
        <f aca="false">Transactions!H1075</f>
        <v>Online</v>
      </c>
      <c r="G1075" s="1" t="str">
        <f aca="false">Transactions!G1075</f>
        <v>Dining</v>
      </c>
      <c r="H1075" s="1" t="n">
        <f aca="false">IF(COUNTIFS($B$2:$B$1489,B1075,$C$2:$C$1489,C1075,$D$2:$D$1489,D1075)&gt;6,1,0)</f>
        <v>0</v>
      </c>
      <c r="I1075" s="1" t="n">
        <f aca="false">IF(AND(F1075="Wire",E1075&gt;=1000,MOD(E1075,1000)=0),1,0)</f>
        <v>0</v>
      </c>
      <c r="J1075" s="1" t="n">
        <f aca="false">IF(AND(F1075="ATM",E1075&gt;2000,D1075&lt;=4),1,0)</f>
        <v>0</v>
      </c>
      <c r="K1075" s="1" t="n">
        <f aca="false">IF(COUNTIF('SQL Findings'!$A$4:$A$18,B1075)&gt;0,1,0)</f>
        <v>0</v>
      </c>
      <c r="L1075" s="1" t="n">
        <f aca="false">SUM(H1075:K1075)</f>
        <v>0</v>
      </c>
      <c r="M1075" s="1" t="str">
        <f aca="false">IF(L1075&gt;=2,"High",IF(L1075=1,"Medium","Low"))</f>
        <v>Low</v>
      </c>
    </row>
    <row r="1076" customFormat="false" ht="15" hidden="false" customHeight="true" outlineLevel="0" collapsed="false">
      <c r="A1076" s="1" t="str">
        <f aca="false">Transactions!A1076</f>
        <v>TXN500623</v>
      </c>
      <c r="B1076" s="1" t="str">
        <f aca="false">Transactions!B1076</f>
        <v>ACC1027</v>
      </c>
      <c r="C1076" s="1" t="str">
        <f aca="false">Transactions!I1076</f>
        <v>2026-03-07</v>
      </c>
      <c r="D1076" s="1" t="n">
        <f aca="false">Transactions!J1076</f>
        <v>15</v>
      </c>
      <c r="E1076" s="1" t="n">
        <f aca="false">Transactions!D1076</f>
        <v>362.79</v>
      </c>
      <c r="F1076" s="1" t="str">
        <f aca="false">Transactions!H1076</f>
        <v>Online</v>
      </c>
      <c r="G1076" s="1" t="str">
        <f aca="false">Transactions!G1076</f>
        <v>Cash Withdrawal</v>
      </c>
      <c r="H1076" s="1" t="n">
        <f aca="false">IF(COUNTIFS($B$2:$B$1489,B1076,$C$2:$C$1489,C1076,$D$2:$D$1489,D1076)&gt;6,1,0)</f>
        <v>0</v>
      </c>
      <c r="I1076" s="1" t="n">
        <f aca="false">IF(AND(F1076="Wire",E1076&gt;=1000,MOD(E1076,1000)=0),1,0)</f>
        <v>0</v>
      </c>
      <c r="J1076" s="1" t="n">
        <f aca="false">IF(AND(F1076="ATM",E1076&gt;2000,D1076&lt;=4),1,0)</f>
        <v>0</v>
      </c>
      <c r="K1076" s="1" t="n">
        <f aca="false">IF(COUNTIF('SQL Findings'!$A$4:$A$18,B1076)&gt;0,1,0)</f>
        <v>0</v>
      </c>
      <c r="L1076" s="1" t="n">
        <f aca="false">SUM(H1076:K1076)</f>
        <v>0</v>
      </c>
      <c r="M1076" s="1" t="str">
        <f aca="false">IF(L1076&gt;=2,"High",IF(L1076=1,"Medium","Low"))</f>
        <v>Low</v>
      </c>
    </row>
    <row r="1077" customFormat="false" ht="15" hidden="false" customHeight="true" outlineLevel="0" collapsed="false">
      <c r="A1077" s="1" t="str">
        <f aca="false">Transactions!A1077</f>
        <v>TXN500178</v>
      </c>
      <c r="B1077" s="1" t="str">
        <f aca="false">Transactions!B1077</f>
        <v>ACC1007</v>
      </c>
      <c r="C1077" s="1" t="str">
        <f aca="false">Transactions!I1077</f>
        <v>2026-03-07</v>
      </c>
      <c r="D1077" s="1" t="n">
        <f aca="false">Transactions!J1077</f>
        <v>17</v>
      </c>
      <c r="E1077" s="1" t="n">
        <f aca="false">Transactions!D1077</f>
        <v>246.7</v>
      </c>
      <c r="F1077" s="1" t="str">
        <f aca="false">Transactions!H1077</f>
        <v>Online</v>
      </c>
      <c r="G1077" s="1" t="str">
        <f aca="false">Transactions!G1077</f>
        <v>Online Marketplace</v>
      </c>
      <c r="H1077" s="1" t="n">
        <f aca="false">IF(COUNTIFS($B$2:$B$1489,B1077,$C$2:$C$1489,C1077,$D$2:$D$1489,D1077)&gt;6,1,0)</f>
        <v>0</v>
      </c>
      <c r="I1077" s="1" t="n">
        <f aca="false">IF(AND(F1077="Wire",E1077&gt;=1000,MOD(E1077,1000)=0),1,0)</f>
        <v>0</v>
      </c>
      <c r="J1077" s="1" t="n">
        <f aca="false">IF(AND(F1077="ATM",E1077&gt;2000,D1077&lt;=4),1,0)</f>
        <v>0</v>
      </c>
      <c r="K1077" s="1" t="n">
        <f aca="false">IF(COUNTIF('SQL Findings'!$A$4:$A$18,B1077)&gt;0,1,0)</f>
        <v>0</v>
      </c>
      <c r="L1077" s="1" t="n">
        <f aca="false">SUM(H1077:K1077)</f>
        <v>0</v>
      </c>
      <c r="M1077" s="1" t="str">
        <f aca="false">IF(L1077&gt;=2,"High",IF(L1077=1,"Medium","Low"))</f>
        <v>Low</v>
      </c>
    </row>
    <row r="1078" customFormat="false" ht="15" hidden="false" customHeight="true" outlineLevel="0" collapsed="false">
      <c r="A1078" s="1" t="str">
        <f aca="false">Transactions!A1078</f>
        <v>TXN500512</v>
      </c>
      <c r="B1078" s="1" t="str">
        <f aca="false">Transactions!B1078</f>
        <v>ACC1023</v>
      </c>
      <c r="C1078" s="1" t="str">
        <f aca="false">Transactions!I1078</f>
        <v>2026-03-07</v>
      </c>
      <c r="D1078" s="1" t="n">
        <f aca="false">Transactions!J1078</f>
        <v>18</v>
      </c>
      <c r="E1078" s="1" t="n">
        <f aca="false">Transactions!D1078</f>
        <v>63.74</v>
      </c>
      <c r="F1078" s="1" t="str">
        <f aca="false">Transactions!H1078</f>
        <v>ATM</v>
      </c>
      <c r="G1078" s="1" t="str">
        <f aca="false">Transactions!G1078</f>
        <v>Electronics</v>
      </c>
      <c r="H1078" s="1" t="n">
        <f aca="false">IF(COUNTIFS($B$2:$B$1489,B1078,$C$2:$C$1489,C1078,$D$2:$D$1489,D1078)&gt;6,1,0)</f>
        <v>0</v>
      </c>
      <c r="I1078" s="1" t="n">
        <f aca="false">IF(AND(F1078="Wire",E1078&gt;=1000,MOD(E1078,1000)=0),1,0)</f>
        <v>0</v>
      </c>
      <c r="J1078" s="1" t="n">
        <f aca="false">IF(AND(F1078="ATM",E1078&gt;2000,D1078&lt;=4),1,0)</f>
        <v>0</v>
      </c>
      <c r="K1078" s="1" t="n">
        <f aca="false">IF(COUNTIF('SQL Findings'!$A$4:$A$18,B1078)&gt;0,1,0)</f>
        <v>0</v>
      </c>
      <c r="L1078" s="1" t="n">
        <f aca="false">SUM(H1078:K1078)</f>
        <v>0</v>
      </c>
      <c r="M1078" s="1" t="str">
        <f aca="false">IF(L1078&gt;=2,"High",IF(L1078=1,"Medium","Low"))</f>
        <v>Low</v>
      </c>
    </row>
    <row r="1079" customFormat="false" ht="15" hidden="false" customHeight="true" outlineLevel="0" collapsed="false">
      <c r="A1079" s="1" t="str">
        <f aca="false">Transactions!A1079</f>
        <v>TXN501333</v>
      </c>
      <c r="B1079" s="1" t="str">
        <f aca="false">Transactions!B1079</f>
        <v>ACC1058</v>
      </c>
      <c r="C1079" s="1" t="str">
        <f aca="false">Transactions!I1079</f>
        <v>2026-03-08</v>
      </c>
      <c r="D1079" s="1" t="n">
        <f aca="false">Transactions!J1079</f>
        <v>3</v>
      </c>
      <c r="E1079" s="1" t="n">
        <f aca="false">Transactions!D1079</f>
        <v>55.03</v>
      </c>
      <c r="F1079" s="1" t="str">
        <f aca="false">Transactions!H1079</f>
        <v>POS</v>
      </c>
      <c r="G1079" s="1" t="str">
        <f aca="false">Transactions!G1079</f>
        <v>Electronics</v>
      </c>
      <c r="H1079" s="1" t="n">
        <f aca="false">IF(COUNTIFS($B$2:$B$1489,B1079,$C$2:$C$1489,C1079,$D$2:$D$1489,D1079)&gt;6,1,0)</f>
        <v>0</v>
      </c>
      <c r="I1079" s="1" t="n">
        <f aca="false">IF(AND(F1079="Wire",E1079&gt;=1000,MOD(E1079,1000)=0),1,0)</f>
        <v>0</v>
      </c>
      <c r="J1079" s="1" t="n">
        <f aca="false">IF(AND(F1079="ATM",E1079&gt;2000,D1079&lt;=4),1,0)</f>
        <v>0</v>
      </c>
      <c r="K1079" s="1" t="n">
        <f aca="false">IF(COUNTIF('SQL Findings'!$A$4:$A$18,B1079)&gt;0,1,0)</f>
        <v>0</v>
      </c>
      <c r="L1079" s="1" t="n">
        <f aca="false">SUM(H1079:K1079)</f>
        <v>0</v>
      </c>
      <c r="M1079" s="1" t="str">
        <f aca="false">IF(L1079&gt;=2,"High",IF(L1079=1,"Medium","Low"))</f>
        <v>Low</v>
      </c>
    </row>
    <row r="1080" customFormat="false" ht="15" hidden="false" customHeight="true" outlineLevel="0" collapsed="false">
      <c r="A1080" s="1" t="str">
        <f aca="false">Transactions!A1080</f>
        <v>TXN501487</v>
      </c>
      <c r="B1080" s="1" t="str">
        <f aca="false">Transactions!B1080</f>
        <v>ACC1021</v>
      </c>
      <c r="C1080" s="1" t="str">
        <f aca="false">Transactions!I1080</f>
        <v>2026-03-08</v>
      </c>
      <c r="D1080" s="1" t="n">
        <f aca="false">Transactions!J1080</f>
        <v>4</v>
      </c>
      <c r="E1080" s="1" t="n">
        <f aca="false">Transactions!D1080</f>
        <v>4414.16</v>
      </c>
      <c r="F1080" s="1" t="str">
        <f aca="false">Transactions!H1080</f>
        <v>ATM</v>
      </c>
      <c r="G1080" s="1" t="str">
        <f aca="false">Transactions!G1080</f>
        <v>Cash Withdrawal</v>
      </c>
      <c r="H1080" s="1" t="n">
        <f aca="false">IF(COUNTIFS($B$2:$B$1489,B1080,$C$2:$C$1489,C1080,$D$2:$D$1489,D1080)&gt;6,1,0)</f>
        <v>0</v>
      </c>
      <c r="I1080" s="1" t="n">
        <f aca="false">IF(AND(F1080="Wire",E1080&gt;=1000,MOD(E1080,1000)=0),1,0)</f>
        <v>0</v>
      </c>
      <c r="J1080" s="1" t="n">
        <f aca="false">IF(AND(F1080="ATM",E1080&gt;2000,D1080&lt;=4),1,0)</f>
        <v>1</v>
      </c>
      <c r="K1080" s="1" t="n">
        <f aca="false">IF(COUNTIF('SQL Findings'!$A$4:$A$18,B1080)&gt;0,1,0)</f>
        <v>0</v>
      </c>
      <c r="L1080" s="1" t="n">
        <f aca="false">SUM(H1080:K1080)</f>
        <v>1</v>
      </c>
      <c r="M1080" s="1" t="str">
        <f aca="false">IF(L1080&gt;=2,"High",IF(L1080=1,"Medium","Low"))</f>
        <v>Medium</v>
      </c>
    </row>
    <row r="1081" customFormat="false" ht="15" hidden="false" customHeight="true" outlineLevel="0" collapsed="false">
      <c r="A1081" s="1" t="str">
        <f aca="false">Transactions!A1081</f>
        <v>TXN501008</v>
      </c>
      <c r="B1081" s="1" t="str">
        <f aca="false">Transactions!B1081</f>
        <v>ACC1044</v>
      </c>
      <c r="C1081" s="1" t="str">
        <f aca="false">Transactions!I1081</f>
        <v>2026-03-08</v>
      </c>
      <c r="D1081" s="1" t="n">
        <f aca="false">Transactions!J1081</f>
        <v>5</v>
      </c>
      <c r="E1081" s="1" t="n">
        <f aca="false">Transactions!D1081</f>
        <v>118.11</v>
      </c>
      <c r="F1081" s="1" t="str">
        <f aca="false">Transactions!H1081</f>
        <v>ATM</v>
      </c>
      <c r="G1081" s="1" t="str">
        <f aca="false">Transactions!G1081</f>
        <v>Wire Transfer</v>
      </c>
      <c r="H1081" s="1" t="n">
        <f aca="false">IF(COUNTIFS($B$2:$B$1489,B1081,$C$2:$C$1489,C1081,$D$2:$D$1489,D1081)&gt;6,1,0)</f>
        <v>0</v>
      </c>
      <c r="I1081" s="1" t="n">
        <f aca="false">IF(AND(F1081="Wire",E1081&gt;=1000,MOD(E1081,1000)=0),1,0)</f>
        <v>0</v>
      </c>
      <c r="J1081" s="1" t="n">
        <f aca="false">IF(AND(F1081="ATM",E1081&gt;2000,D1081&lt;=4),1,0)</f>
        <v>0</v>
      </c>
      <c r="K1081" s="1" t="n">
        <f aca="false">IF(COUNTIF('SQL Findings'!$A$4:$A$18,B1081)&gt;0,1,0)</f>
        <v>0</v>
      </c>
      <c r="L1081" s="1" t="n">
        <f aca="false">SUM(H1081:K1081)</f>
        <v>0</v>
      </c>
      <c r="M1081" s="1" t="str">
        <f aca="false">IF(L1081&gt;=2,"High",IF(L1081=1,"Medium","Low"))</f>
        <v>Low</v>
      </c>
    </row>
    <row r="1082" customFormat="false" ht="15" hidden="false" customHeight="true" outlineLevel="0" collapsed="false">
      <c r="A1082" s="1" t="str">
        <f aca="false">Transactions!A1082</f>
        <v>TXN500905</v>
      </c>
      <c r="B1082" s="1" t="str">
        <f aca="false">Transactions!B1082</f>
        <v>ACC1039</v>
      </c>
      <c r="C1082" s="1" t="str">
        <f aca="false">Transactions!I1082</f>
        <v>2026-03-08</v>
      </c>
      <c r="D1082" s="1" t="n">
        <f aca="false">Transactions!J1082</f>
        <v>5</v>
      </c>
      <c r="E1082" s="1" t="n">
        <f aca="false">Transactions!D1082</f>
        <v>79.2</v>
      </c>
      <c r="F1082" s="1" t="str">
        <f aca="false">Transactions!H1082</f>
        <v>POS</v>
      </c>
      <c r="G1082" s="1" t="str">
        <f aca="false">Transactions!G1082</f>
        <v>Travel</v>
      </c>
      <c r="H1082" s="1" t="n">
        <f aca="false">IF(COUNTIFS($B$2:$B$1489,B1082,$C$2:$C$1489,C1082,$D$2:$D$1489,D1082)&gt;6,1,0)</f>
        <v>0</v>
      </c>
      <c r="I1082" s="1" t="n">
        <f aca="false">IF(AND(F1082="Wire",E1082&gt;=1000,MOD(E1082,1000)=0),1,0)</f>
        <v>0</v>
      </c>
      <c r="J1082" s="1" t="n">
        <f aca="false">IF(AND(F1082="ATM",E1082&gt;2000,D1082&lt;=4),1,0)</f>
        <v>0</v>
      </c>
      <c r="K1082" s="1" t="n">
        <f aca="false">IF(COUNTIF('SQL Findings'!$A$4:$A$18,B1082)&gt;0,1,0)</f>
        <v>0</v>
      </c>
      <c r="L1082" s="1" t="n">
        <f aca="false">SUM(H1082:K1082)</f>
        <v>0</v>
      </c>
      <c r="M1082" s="1" t="str">
        <f aca="false">IF(L1082&gt;=2,"High",IF(L1082=1,"Medium","Low"))</f>
        <v>Low</v>
      </c>
    </row>
    <row r="1083" customFormat="false" ht="15" hidden="false" customHeight="true" outlineLevel="0" collapsed="false">
      <c r="A1083" s="1" t="str">
        <f aca="false">Transactions!A1083</f>
        <v>TXN500389</v>
      </c>
      <c r="B1083" s="1" t="str">
        <f aca="false">Transactions!B1083</f>
        <v>ACC1016</v>
      </c>
      <c r="C1083" s="1" t="str">
        <f aca="false">Transactions!I1083</f>
        <v>2026-03-08</v>
      </c>
      <c r="D1083" s="1" t="n">
        <f aca="false">Transactions!J1083</f>
        <v>6</v>
      </c>
      <c r="E1083" s="1" t="n">
        <f aca="false">Transactions!D1083</f>
        <v>156.86</v>
      </c>
      <c r="F1083" s="1" t="str">
        <f aca="false">Transactions!H1083</f>
        <v>Online</v>
      </c>
      <c r="G1083" s="1" t="str">
        <f aca="false">Transactions!G1083</f>
        <v>Travel</v>
      </c>
      <c r="H1083" s="1" t="n">
        <f aca="false">IF(COUNTIFS($B$2:$B$1489,B1083,$C$2:$C$1489,C1083,$D$2:$D$1489,D1083)&gt;6,1,0)</f>
        <v>0</v>
      </c>
      <c r="I1083" s="1" t="n">
        <f aca="false">IF(AND(F1083="Wire",E1083&gt;=1000,MOD(E1083,1000)=0),1,0)</f>
        <v>0</v>
      </c>
      <c r="J1083" s="1" t="n">
        <f aca="false">IF(AND(F1083="ATM",E1083&gt;2000,D1083&lt;=4),1,0)</f>
        <v>0</v>
      </c>
      <c r="K1083" s="1" t="n">
        <f aca="false">IF(COUNTIF('SQL Findings'!$A$4:$A$18,B1083)&gt;0,1,0)</f>
        <v>0</v>
      </c>
      <c r="L1083" s="1" t="n">
        <f aca="false">SUM(H1083:K1083)</f>
        <v>0</v>
      </c>
      <c r="M1083" s="1" t="str">
        <f aca="false">IF(L1083&gt;=2,"High",IF(L1083=1,"Medium","Low"))</f>
        <v>Low</v>
      </c>
    </row>
    <row r="1084" customFormat="false" ht="15" hidden="false" customHeight="true" outlineLevel="0" collapsed="false">
      <c r="A1084" s="1" t="str">
        <f aca="false">Transactions!A1084</f>
        <v>TXN500361</v>
      </c>
      <c r="B1084" s="1" t="str">
        <f aca="false">Transactions!B1084</f>
        <v>ACC1015</v>
      </c>
      <c r="C1084" s="1" t="str">
        <f aca="false">Transactions!I1084</f>
        <v>2026-03-08</v>
      </c>
      <c r="D1084" s="1" t="n">
        <f aca="false">Transactions!J1084</f>
        <v>8</v>
      </c>
      <c r="E1084" s="1" t="n">
        <f aca="false">Transactions!D1084</f>
        <v>106.42</v>
      </c>
      <c r="F1084" s="1" t="str">
        <f aca="false">Transactions!H1084</f>
        <v>POS</v>
      </c>
      <c r="G1084" s="1" t="str">
        <f aca="false">Transactions!G1084</f>
        <v>Wire Transfer</v>
      </c>
      <c r="H1084" s="1" t="n">
        <f aca="false">IF(COUNTIFS($B$2:$B$1489,B1084,$C$2:$C$1489,C1084,$D$2:$D$1489,D1084)&gt;6,1,0)</f>
        <v>0</v>
      </c>
      <c r="I1084" s="1" t="n">
        <f aca="false">IF(AND(F1084="Wire",E1084&gt;=1000,MOD(E1084,1000)=0),1,0)</f>
        <v>0</v>
      </c>
      <c r="J1084" s="1" t="n">
        <f aca="false">IF(AND(F1084="ATM",E1084&gt;2000,D1084&lt;=4),1,0)</f>
        <v>0</v>
      </c>
      <c r="K1084" s="1" t="n">
        <f aca="false">IF(COUNTIF('SQL Findings'!$A$4:$A$18,B1084)&gt;0,1,0)</f>
        <v>1</v>
      </c>
      <c r="L1084" s="1" t="n">
        <f aca="false">SUM(H1084:K1084)</f>
        <v>1</v>
      </c>
      <c r="M1084" s="1" t="str">
        <f aca="false">IF(L1084&gt;=2,"High",IF(L1084=1,"Medium","Low"))</f>
        <v>Medium</v>
      </c>
    </row>
    <row r="1085" customFormat="false" ht="15" hidden="false" customHeight="true" outlineLevel="0" collapsed="false">
      <c r="A1085" s="1" t="str">
        <f aca="false">Transactions!A1085</f>
        <v>TXN500387</v>
      </c>
      <c r="B1085" s="1" t="str">
        <f aca="false">Transactions!B1085</f>
        <v>ACC1016</v>
      </c>
      <c r="C1085" s="1" t="str">
        <f aca="false">Transactions!I1085</f>
        <v>2026-03-08</v>
      </c>
      <c r="D1085" s="1" t="n">
        <f aca="false">Transactions!J1085</f>
        <v>9</v>
      </c>
      <c r="E1085" s="1" t="n">
        <f aca="false">Transactions!D1085</f>
        <v>90.7</v>
      </c>
      <c r="F1085" s="1" t="str">
        <f aca="false">Transactions!H1085</f>
        <v>POS</v>
      </c>
      <c r="G1085" s="1" t="str">
        <f aca="false">Transactions!G1085</f>
        <v>Travel</v>
      </c>
      <c r="H1085" s="1" t="n">
        <f aca="false">IF(COUNTIFS($B$2:$B$1489,B1085,$C$2:$C$1489,C1085,$D$2:$D$1489,D1085)&gt;6,1,0)</f>
        <v>0</v>
      </c>
      <c r="I1085" s="1" t="n">
        <f aca="false">IF(AND(F1085="Wire",E1085&gt;=1000,MOD(E1085,1000)=0),1,0)</f>
        <v>0</v>
      </c>
      <c r="J1085" s="1" t="n">
        <f aca="false">IF(AND(F1085="ATM",E1085&gt;2000,D1085&lt;=4),1,0)</f>
        <v>0</v>
      </c>
      <c r="K1085" s="1" t="n">
        <f aca="false">IF(COUNTIF('SQL Findings'!$A$4:$A$18,B1085)&gt;0,1,0)</f>
        <v>0</v>
      </c>
      <c r="L1085" s="1" t="n">
        <f aca="false">SUM(H1085:K1085)</f>
        <v>0</v>
      </c>
      <c r="M1085" s="1" t="str">
        <f aca="false">IF(L1085&gt;=2,"High",IF(L1085=1,"Medium","Low"))</f>
        <v>Low</v>
      </c>
    </row>
    <row r="1086" customFormat="false" ht="15" hidden="false" customHeight="true" outlineLevel="0" collapsed="false">
      <c r="A1086" s="1" t="str">
        <f aca="false">Transactions!A1086</f>
        <v>TXN500420</v>
      </c>
      <c r="B1086" s="1" t="str">
        <f aca="false">Transactions!B1086</f>
        <v>ACC1018</v>
      </c>
      <c r="C1086" s="1" t="str">
        <f aca="false">Transactions!I1086</f>
        <v>2026-03-08</v>
      </c>
      <c r="D1086" s="1" t="n">
        <f aca="false">Transactions!J1086</f>
        <v>11</v>
      </c>
      <c r="E1086" s="1" t="n">
        <f aca="false">Transactions!D1086</f>
        <v>70.86</v>
      </c>
      <c r="F1086" s="1" t="str">
        <f aca="false">Transactions!H1086</f>
        <v>Online</v>
      </c>
      <c r="G1086" s="1" t="str">
        <f aca="false">Transactions!G1086</f>
        <v>Travel</v>
      </c>
      <c r="H1086" s="1" t="n">
        <f aca="false">IF(COUNTIFS($B$2:$B$1489,B1086,$C$2:$C$1489,C1086,$D$2:$D$1489,D1086)&gt;6,1,0)</f>
        <v>0</v>
      </c>
      <c r="I1086" s="1" t="n">
        <f aca="false">IF(AND(F1086="Wire",E1086&gt;=1000,MOD(E1086,1000)=0),1,0)</f>
        <v>0</v>
      </c>
      <c r="J1086" s="1" t="n">
        <f aca="false">IF(AND(F1086="ATM",E1086&gt;2000,D1086&lt;=4),1,0)</f>
        <v>0</v>
      </c>
      <c r="K1086" s="1" t="n">
        <f aca="false">IF(COUNTIF('SQL Findings'!$A$4:$A$18,B1086)&gt;0,1,0)</f>
        <v>0</v>
      </c>
      <c r="L1086" s="1" t="n">
        <f aca="false">SUM(H1086:K1086)</f>
        <v>0</v>
      </c>
      <c r="M1086" s="1" t="str">
        <f aca="false">IF(L1086&gt;=2,"High",IF(L1086=1,"Medium","Low"))</f>
        <v>Low</v>
      </c>
    </row>
    <row r="1087" customFormat="false" ht="15" hidden="false" customHeight="true" outlineLevel="0" collapsed="false">
      <c r="A1087" s="1" t="str">
        <f aca="false">Transactions!A1087</f>
        <v>TXN501063</v>
      </c>
      <c r="B1087" s="1" t="str">
        <f aca="false">Transactions!B1087</f>
        <v>ACC1046</v>
      </c>
      <c r="C1087" s="1" t="str">
        <f aca="false">Transactions!I1087</f>
        <v>2026-03-08</v>
      </c>
      <c r="D1087" s="1" t="n">
        <f aca="false">Transactions!J1087</f>
        <v>12</v>
      </c>
      <c r="E1087" s="1" t="n">
        <f aca="false">Transactions!D1087</f>
        <v>187.52</v>
      </c>
      <c r="F1087" s="1" t="str">
        <f aca="false">Transactions!H1087</f>
        <v>Online</v>
      </c>
      <c r="G1087" s="1" t="str">
        <f aca="false">Transactions!G1087</f>
        <v>Online Marketplace</v>
      </c>
      <c r="H1087" s="1" t="n">
        <f aca="false">IF(COUNTIFS($B$2:$B$1489,B1087,$C$2:$C$1489,C1087,$D$2:$D$1489,D1087)&gt;6,1,0)</f>
        <v>0</v>
      </c>
      <c r="I1087" s="1" t="n">
        <f aca="false">IF(AND(F1087="Wire",E1087&gt;=1000,MOD(E1087,1000)=0),1,0)</f>
        <v>0</v>
      </c>
      <c r="J1087" s="1" t="n">
        <f aca="false">IF(AND(F1087="ATM",E1087&gt;2000,D1087&lt;=4),1,0)</f>
        <v>0</v>
      </c>
      <c r="K1087" s="1" t="n">
        <f aca="false">IF(COUNTIF('SQL Findings'!$A$4:$A$18,B1087)&gt;0,1,0)</f>
        <v>0</v>
      </c>
      <c r="L1087" s="1" t="n">
        <f aca="false">SUM(H1087:K1087)</f>
        <v>0</v>
      </c>
      <c r="M1087" s="1" t="str">
        <f aca="false">IF(L1087&gt;=2,"High",IF(L1087=1,"Medium","Low"))</f>
        <v>Low</v>
      </c>
    </row>
    <row r="1088" customFormat="false" ht="15" hidden="false" customHeight="true" outlineLevel="0" collapsed="false">
      <c r="A1088" s="1" t="str">
        <f aca="false">Transactions!A1088</f>
        <v>TXN500650</v>
      </c>
      <c r="B1088" s="1" t="str">
        <f aca="false">Transactions!B1088</f>
        <v>ACC1028</v>
      </c>
      <c r="C1088" s="1" t="str">
        <f aca="false">Transactions!I1088</f>
        <v>2026-03-08</v>
      </c>
      <c r="D1088" s="1" t="n">
        <f aca="false">Transactions!J1088</f>
        <v>13</v>
      </c>
      <c r="E1088" s="1" t="n">
        <f aca="false">Transactions!D1088</f>
        <v>124.78</v>
      </c>
      <c r="F1088" s="1" t="str">
        <f aca="false">Transactions!H1088</f>
        <v>Online</v>
      </c>
      <c r="G1088" s="1" t="str">
        <f aca="false">Transactions!G1088</f>
        <v>Wire Transfer</v>
      </c>
      <c r="H1088" s="1" t="n">
        <f aca="false">IF(COUNTIFS($B$2:$B$1489,B1088,$C$2:$C$1489,C1088,$D$2:$D$1489,D1088)&gt;6,1,0)</f>
        <v>0</v>
      </c>
      <c r="I1088" s="1" t="n">
        <f aca="false">IF(AND(F1088="Wire",E1088&gt;=1000,MOD(E1088,1000)=0),1,0)</f>
        <v>0</v>
      </c>
      <c r="J1088" s="1" t="n">
        <f aca="false">IF(AND(F1088="ATM",E1088&gt;2000,D1088&lt;=4),1,0)</f>
        <v>0</v>
      </c>
      <c r="K1088" s="1" t="n">
        <f aca="false">IF(COUNTIF('SQL Findings'!$A$4:$A$18,B1088)&gt;0,1,0)</f>
        <v>0</v>
      </c>
      <c r="L1088" s="1" t="n">
        <f aca="false">SUM(H1088:K1088)</f>
        <v>0</v>
      </c>
      <c r="M1088" s="1" t="str">
        <f aca="false">IF(L1088&gt;=2,"High",IF(L1088=1,"Medium","Low"))</f>
        <v>Low</v>
      </c>
    </row>
    <row r="1089" customFormat="false" ht="15" hidden="false" customHeight="true" outlineLevel="0" collapsed="false">
      <c r="A1089" s="1" t="str">
        <f aca="false">Transactions!A1089</f>
        <v>TXN500835</v>
      </c>
      <c r="B1089" s="1" t="str">
        <f aca="false">Transactions!B1089</f>
        <v>ACC1035</v>
      </c>
      <c r="C1089" s="1" t="str">
        <f aca="false">Transactions!I1089</f>
        <v>2026-03-08</v>
      </c>
      <c r="D1089" s="1" t="n">
        <f aca="false">Transactions!J1089</f>
        <v>13</v>
      </c>
      <c r="E1089" s="1" t="n">
        <f aca="false">Transactions!D1089</f>
        <v>64.64</v>
      </c>
      <c r="F1089" s="1" t="str">
        <f aca="false">Transactions!H1089</f>
        <v>ATM</v>
      </c>
      <c r="G1089" s="1" t="str">
        <f aca="false">Transactions!G1089</f>
        <v>Wire Transfer</v>
      </c>
      <c r="H1089" s="1" t="n">
        <f aca="false">IF(COUNTIFS($B$2:$B$1489,B1089,$C$2:$C$1489,C1089,$D$2:$D$1489,D1089)&gt;6,1,0)</f>
        <v>0</v>
      </c>
      <c r="I1089" s="1" t="n">
        <f aca="false">IF(AND(F1089="Wire",E1089&gt;=1000,MOD(E1089,1000)=0),1,0)</f>
        <v>0</v>
      </c>
      <c r="J1089" s="1" t="n">
        <f aca="false">IF(AND(F1089="ATM",E1089&gt;2000,D1089&lt;=4),1,0)</f>
        <v>0</v>
      </c>
      <c r="K1089" s="1" t="n">
        <f aca="false">IF(COUNTIF('SQL Findings'!$A$4:$A$18,B1089)&gt;0,1,0)</f>
        <v>0</v>
      </c>
      <c r="L1089" s="1" t="n">
        <f aca="false">SUM(H1089:K1089)</f>
        <v>0</v>
      </c>
      <c r="M1089" s="1" t="str">
        <f aca="false">IF(L1089&gt;=2,"High",IF(L1089=1,"Medium","Low"))</f>
        <v>Low</v>
      </c>
    </row>
    <row r="1090" customFormat="false" ht="15" hidden="false" customHeight="true" outlineLevel="0" collapsed="false">
      <c r="A1090" s="1" t="str">
        <f aca="false">Transactions!A1090</f>
        <v>TXN501277</v>
      </c>
      <c r="B1090" s="1" t="str">
        <f aca="false">Transactions!B1090</f>
        <v>ACC1056</v>
      </c>
      <c r="C1090" s="1" t="str">
        <f aca="false">Transactions!I1090</f>
        <v>2026-03-08</v>
      </c>
      <c r="D1090" s="1" t="n">
        <f aca="false">Transactions!J1090</f>
        <v>14</v>
      </c>
      <c r="E1090" s="1" t="n">
        <f aca="false">Transactions!D1090</f>
        <v>537.75</v>
      </c>
      <c r="F1090" s="1" t="str">
        <f aca="false">Transactions!H1090</f>
        <v>ATM</v>
      </c>
      <c r="G1090" s="1" t="str">
        <f aca="false">Transactions!G1090</f>
        <v>Dining</v>
      </c>
      <c r="H1090" s="1" t="n">
        <f aca="false">IF(COUNTIFS($B$2:$B$1489,B1090,$C$2:$C$1489,C1090,$D$2:$D$1489,D1090)&gt;6,1,0)</f>
        <v>0</v>
      </c>
      <c r="I1090" s="1" t="n">
        <f aca="false">IF(AND(F1090="Wire",E1090&gt;=1000,MOD(E1090,1000)=0),1,0)</f>
        <v>0</v>
      </c>
      <c r="J1090" s="1" t="n">
        <f aca="false">IF(AND(F1090="ATM",E1090&gt;2000,D1090&lt;=4),1,0)</f>
        <v>0</v>
      </c>
      <c r="K1090" s="1" t="n">
        <f aca="false">IF(COUNTIF('SQL Findings'!$A$4:$A$18,B1090)&gt;0,1,0)</f>
        <v>0</v>
      </c>
      <c r="L1090" s="1" t="n">
        <f aca="false">SUM(H1090:K1090)</f>
        <v>0</v>
      </c>
      <c r="M1090" s="1" t="str">
        <f aca="false">IF(L1090&gt;=2,"High",IF(L1090=1,"Medium","Low"))</f>
        <v>Low</v>
      </c>
    </row>
    <row r="1091" customFormat="false" ht="15" hidden="false" customHeight="true" outlineLevel="0" collapsed="false">
      <c r="A1091" s="1" t="str">
        <f aca="false">Transactions!A1091</f>
        <v>TXN500172</v>
      </c>
      <c r="B1091" s="1" t="str">
        <f aca="false">Transactions!B1091</f>
        <v>ACC1007</v>
      </c>
      <c r="C1091" s="1" t="str">
        <f aca="false">Transactions!I1091</f>
        <v>2026-03-08</v>
      </c>
      <c r="D1091" s="1" t="n">
        <f aca="false">Transactions!J1091</f>
        <v>14</v>
      </c>
      <c r="E1091" s="1" t="n">
        <f aca="false">Transactions!D1091</f>
        <v>32</v>
      </c>
      <c r="F1091" s="1" t="str">
        <f aca="false">Transactions!H1091</f>
        <v>POS</v>
      </c>
      <c r="G1091" s="1" t="str">
        <f aca="false">Transactions!G1091</f>
        <v>Utilities</v>
      </c>
      <c r="H1091" s="1" t="n">
        <f aca="false">IF(COUNTIFS($B$2:$B$1489,B1091,$C$2:$C$1489,C1091,$D$2:$D$1489,D1091)&gt;6,1,0)</f>
        <v>0</v>
      </c>
      <c r="I1091" s="1" t="n">
        <f aca="false">IF(AND(F1091="Wire",E1091&gt;=1000,MOD(E1091,1000)=0),1,0)</f>
        <v>0</v>
      </c>
      <c r="J1091" s="1" t="n">
        <f aca="false">IF(AND(F1091="ATM",E1091&gt;2000,D1091&lt;=4),1,0)</f>
        <v>0</v>
      </c>
      <c r="K1091" s="1" t="n">
        <f aca="false">IF(COUNTIF('SQL Findings'!$A$4:$A$18,B1091)&gt;0,1,0)</f>
        <v>0</v>
      </c>
      <c r="L1091" s="1" t="n">
        <f aca="false">SUM(H1091:K1091)</f>
        <v>0</v>
      </c>
      <c r="M1091" s="1" t="str">
        <f aca="false">IF(L1091&gt;=2,"High",IF(L1091=1,"Medium","Low"))</f>
        <v>Low</v>
      </c>
    </row>
    <row r="1092" customFormat="false" ht="15" hidden="false" customHeight="true" outlineLevel="0" collapsed="false">
      <c r="A1092" s="1" t="str">
        <f aca="false">Transactions!A1092</f>
        <v>TXN500332</v>
      </c>
      <c r="B1092" s="1" t="str">
        <f aca="false">Transactions!B1092</f>
        <v>ACC1014</v>
      </c>
      <c r="C1092" s="1" t="str">
        <f aca="false">Transactions!I1092</f>
        <v>2026-03-08</v>
      </c>
      <c r="D1092" s="1" t="n">
        <f aca="false">Transactions!J1092</f>
        <v>17</v>
      </c>
      <c r="E1092" s="1" t="n">
        <f aca="false">Transactions!D1092</f>
        <v>29.74</v>
      </c>
      <c r="F1092" s="1" t="str">
        <f aca="false">Transactions!H1092</f>
        <v>POS</v>
      </c>
      <c r="G1092" s="1" t="str">
        <f aca="false">Transactions!G1092</f>
        <v>Electronics</v>
      </c>
      <c r="H1092" s="1" t="n">
        <f aca="false">IF(COUNTIFS($B$2:$B$1489,B1092,$C$2:$C$1489,C1092,$D$2:$D$1489,D1092)&gt;6,1,0)</f>
        <v>0</v>
      </c>
      <c r="I1092" s="1" t="n">
        <f aca="false">IF(AND(F1092="Wire",E1092&gt;=1000,MOD(E1092,1000)=0),1,0)</f>
        <v>0</v>
      </c>
      <c r="J1092" s="1" t="n">
        <f aca="false">IF(AND(F1092="ATM",E1092&gt;2000,D1092&lt;=4),1,0)</f>
        <v>0</v>
      </c>
      <c r="K1092" s="1" t="n">
        <f aca="false">IF(COUNTIF('SQL Findings'!$A$4:$A$18,B1092)&gt;0,1,0)</f>
        <v>1</v>
      </c>
      <c r="L1092" s="1" t="n">
        <f aca="false">SUM(H1092:K1092)</f>
        <v>1</v>
      </c>
      <c r="M1092" s="1" t="str">
        <f aca="false">IF(L1092&gt;=2,"High",IF(L1092=1,"Medium","Low"))</f>
        <v>Medium</v>
      </c>
    </row>
    <row r="1093" customFormat="false" ht="15" hidden="false" customHeight="true" outlineLevel="0" collapsed="false">
      <c r="A1093" s="1" t="str">
        <f aca="false">Transactions!A1093</f>
        <v>TXN500998</v>
      </c>
      <c r="B1093" s="1" t="str">
        <f aca="false">Transactions!B1093</f>
        <v>ACC1043</v>
      </c>
      <c r="C1093" s="1" t="str">
        <f aca="false">Transactions!I1093</f>
        <v>2026-03-08</v>
      </c>
      <c r="D1093" s="1" t="n">
        <f aca="false">Transactions!J1093</f>
        <v>17</v>
      </c>
      <c r="E1093" s="1" t="n">
        <f aca="false">Transactions!D1093</f>
        <v>118.72</v>
      </c>
      <c r="F1093" s="1" t="str">
        <f aca="false">Transactions!H1093</f>
        <v>POS</v>
      </c>
      <c r="G1093" s="1" t="str">
        <f aca="false">Transactions!G1093</f>
        <v>Wire Transfer</v>
      </c>
      <c r="H1093" s="1" t="n">
        <f aca="false">IF(COUNTIFS($B$2:$B$1489,B1093,$C$2:$C$1489,C1093,$D$2:$D$1489,D1093)&gt;6,1,0)</f>
        <v>0</v>
      </c>
      <c r="I1093" s="1" t="n">
        <f aca="false">IF(AND(F1093="Wire",E1093&gt;=1000,MOD(E1093,1000)=0),1,0)</f>
        <v>0</v>
      </c>
      <c r="J1093" s="1" t="n">
        <f aca="false">IF(AND(F1093="ATM",E1093&gt;2000,D1093&lt;=4),1,0)</f>
        <v>0</v>
      </c>
      <c r="K1093" s="1" t="n">
        <f aca="false">IF(COUNTIF('SQL Findings'!$A$4:$A$18,B1093)&gt;0,1,0)</f>
        <v>0</v>
      </c>
      <c r="L1093" s="1" t="n">
        <f aca="false">SUM(H1093:K1093)</f>
        <v>0</v>
      </c>
      <c r="M1093" s="1" t="str">
        <f aca="false">IF(L1093&gt;=2,"High",IF(L1093=1,"Medium","Low"))</f>
        <v>Low</v>
      </c>
    </row>
    <row r="1094" customFormat="false" ht="15" hidden="false" customHeight="true" outlineLevel="0" collapsed="false">
      <c r="A1094" s="1" t="str">
        <f aca="false">Transactions!A1094</f>
        <v>TXN500788</v>
      </c>
      <c r="B1094" s="1" t="str">
        <f aca="false">Transactions!B1094</f>
        <v>ACC1034</v>
      </c>
      <c r="C1094" s="1" t="str">
        <f aca="false">Transactions!I1094</f>
        <v>2026-03-08</v>
      </c>
      <c r="D1094" s="1" t="n">
        <f aca="false">Transactions!J1094</f>
        <v>17</v>
      </c>
      <c r="E1094" s="1" t="n">
        <f aca="false">Transactions!D1094</f>
        <v>100.81</v>
      </c>
      <c r="F1094" s="1" t="str">
        <f aca="false">Transactions!H1094</f>
        <v>ATM</v>
      </c>
      <c r="G1094" s="1" t="str">
        <f aca="false">Transactions!G1094</f>
        <v>Retail</v>
      </c>
      <c r="H1094" s="1" t="n">
        <f aca="false">IF(COUNTIFS($B$2:$B$1489,B1094,$C$2:$C$1489,C1094,$D$2:$D$1489,D1094)&gt;6,1,0)</f>
        <v>0</v>
      </c>
      <c r="I1094" s="1" t="n">
        <f aca="false">IF(AND(F1094="Wire",E1094&gt;=1000,MOD(E1094,1000)=0),1,0)</f>
        <v>0</v>
      </c>
      <c r="J1094" s="1" t="n">
        <f aca="false">IF(AND(F1094="ATM",E1094&gt;2000,D1094&lt;=4),1,0)</f>
        <v>0</v>
      </c>
      <c r="K1094" s="1" t="n">
        <f aca="false">IF(COUNTIF('SQL Findings'!$A$4:$A$18,B1094)&gt;0,1,0)</f>
        <v>0</v>
      </c>
      <c r="L1094" s="1" t="n">
        <f aca="false">SUM(H1094:K1094)</f>
        <v>0</v>
      </c>
      <c r="M1094" s="1" t="str">
        <f aca="false">IF(L1094&gt;=2,"High",IF(L1094=1,"Medium","Low"))</f>
        <v>Low</v>
      </c>
    </row>
    <row r="1095" customFormat="false" ht="15" hidden="false" customHeight="true" outlineLevel="0" collapsed="false">
      <c r="A1095" s="1" t="str">
        <f aca="false">Transactions!A1095</f>
        <v>TXN501225</v>
      </c>
      <c r="B1095" s="1" t="str">
        <f aca="false">Transactions!B1095</f>
        <v>ACC1054</v>
      </c>
      <c r="C1095" s="1" t="str">
        <f aca="false">Transactions!I1095</f>
        <v>2026-03-08</v>
      </c>
      <c r="D1095" s="1" t="n">
        <f aca="false">Transactions!J1095</f>
        <v>19</v>
      </c>
      <c r="E1095" s="1" t="n">
        <f aca="false">Transactions!D1095</f>
        <v>56.44</v>
      </c>
      <c r="F1095" s="1" t="str">
        <f aca="false">Transactions!H1095</f>
        <v>POS</v>
      </c>
      <c r="G1095" s="1" t="str">
        <f aca="false">Transactions!G1095</f>
        <v>Online Marketplace</v>
      </c>
      <c r="H1095" s="1" t="n">
        <f aca="false">IF(COUNTIFS($B$2:$B$1489,B1095,$C$2:$C$1489,C1095,$D$2:$D$1489,D1095)&gt;6,1,0)</f>
        <v>0</v>
      </c>
      <c r="I1095" s="1" t="n">
        <f aca="false">IF(AND(F1095="Wire",E1095&gt;=1000,MOD(E1095,1000)=0),1,0)</f>
        <v>0</v>
      </c>
      <c r="J1095" s="1" t="n">
        <f aca="false">IF(AND(F1095="ATM",E1095&gt;2000,D1095&lt;=4),1,0)</f>
        <v>0</v>
      </c>
      <c r="K1095" s="1" t="n">
        <f aca="false">IF(COUNTIF('SQL Findings'!$A$4:$A$18,B1095)&gt;0,1,0)</f>
        <v>0</v>
      </c>
      <c r="L1095" s="1" t="n">
        <f aca="false">SUM(H1095:K1095)</f>
        <v>0</v>
      </c>
      <c r="M1095" s="1" t="str">
        <f aca="false">IF(L1095&gt;=2,"High",IF(L1095=1,"Medium","Low"))</f>
        <v>Low</v>
      </c>
    </row>
    <row r="1096" customFormat="false" ht="15" hidden="false" customHeight="true" outlineLevel="0" collapsed="false">
      <c r="A1096" s="1" t="str">
        <f aca="false">Transactions!A1096</f>
        <v>TXN500082</v>
      </c>
      <c r="B1096" s="1" t="str">
        <f aca="false">Transactions!B1096</f>
        <v>ACC1003</v>
      </c>
      <c r="C1096" s="1" t="str">
        <f aca="false">Transactions!I1096</f>
        <v>2026-03-08</v>
      </c>
      <c r="D1096" s="1" t="n">
        <f aca="false">Transactions!J1096</f>
        <v>20</v>
      </c>
      <c r="E1096" s="1" t="n">
        <f aca="false">Transactions!D1096</f>
        <v>91.96</v>
      </c>
      <c r="F1096" s="1" t="str">
        <f aca="false">Transactions!H1096</f>
        <v>Online</v>
      </c>
      <c r="G1096" s="1" t="str">
        <f aca="false">Transactions!G1096</f>
        <v>Dining</v>
      </c>
      <c r="H1096" s="1" t="n">
        <f aca="false">IF(COUNTIFS($B$2:$B$1489,B1096,$C$2:$C$1489,C1096,$D$2:$D$1489,D1096)&gt;6,1,0)</f>
        <v>0</v>
      </c>
      <c r="I1096" s="1" t="n">
        <f aca="false">IF(AND(F1096="Wire",E1096&gt;=1000,MOD(E1096,1000)=0),1,0)</f>
        <v>0</v>
      </c>
      <c r="J1096" s="1" t="n">
        <f aca="false">IF(AND(F1096="ATM",E1096&gt;2000,D1096&lt;=4),1,0)</f>
        <v>0</v>
      </c>
      <c r="K1096" s="1" t="n">
        <f aca="false">IF(COUNTIF('SQL Findings'!$A$4:$A$18,B1096)&gt;0,1,0)</f>
        <v>0</v>
      </c>
      <c r="L1096" s="1" t="n">
        <f aca="false">SUM(H1096:K1096)</f>
        <v>0</v>
      </c>
      <c r="M1096" s="1" t="str">
        <f aca="false">IF(L1096&gt;=2,"High",IF(L1096=1,"Medium","Low"))</f>
        <v>Low</v>
      </c>
    </row>
    <row r="1097" customFormat="false" ht="15" hidden="false" customHeight="true" outlineLevel="0" collapsed="false">
      <c r="A1097" s="1" t="str">
        <f aca="false">Transactions!A1097</f>
        <v>TXN500678</v>
      </c>
      <c r="B1097" s="1" t="str">
        <f aca="false">Transactions!B1097</f>
        <v>ACC1029</v>
      </c>
      <c r="C1097" s="1" t="str">
        <f aca="false">Transactions!I1097</f>
        <v>2026-03-08</v>
      </c>
      <c r="D1097" s="1" t="n">
        <f aca="false">Transactions!J1097</f>
        <v>23</v>
      </c>
      <c r="E1097" s="1" t="n">
        <f aca="false">Transactions!D1097</f>
        <v>322.8</v>
      </c>
      <c r="F1097" s="1" t="str">
        <f aca="false">Transactions!H1097</f>
        <v>Online</v>
      </c>
      <c r="G1097" s="1" t="str">
        <f aca="false">Transactions!G1097</f>
        <v>Electronics</v>
      </c>
      <c r="H1097" s="1" t="n">
        <f aca="false">IF(COUNTIFS($B$2:$B$1489,B1097,$C$2:$C$1489,C1097,$D$2:$D$1489,D1097)&gt;6,1,0)</f>
        <v>0</v>
      </c>
      <c r="I1097" s="1" t="n">
        <f aca="false">IF(AND(F1097="Wire",E1097&gt;=1000,MOD(E1097,1000)=0),1,0)</f>
        <v>0</v>
      </c>
      <c r="J1097" s="1" t="n">
        <f aca="false">IF(AND(F1097="ATM",E1097&gt;2000,D1097&lt;=4),1,0)</f>
        <v>0</v>
      </c>
      <c r="K1097" s="1" t="n">
        <f aca="false">IF(COUNTIF('SQL Findings'!$A$4:$A$18,B1097)&gt;0,1,0)</f>
        <v>0</v>
      </c>
      <c r="L1097" s="1" t="n">
        <f aca="false">SUM(H1097:K1097)</f>
        <v>0</v>
      </c>
      <c r="M1097" s="1" t="str">
        <f aca="false">IF(L1097&gt;=2,"High",IF(L1097=1,"Medium","Low"))</f>
        <v>Low</v>
      </c>
    </row>
    <row r="1098" customFormat="false" ht="15" hidden="false" customHeight="true" outlineLevel="0" collapsed="false">
      <c r="A1098" s="1" t="str">
        <f aca="false">Transactions!A1098</f>
        <v>TXN501128</v>
      </c>
      <c r="B1098" s="1" t="str">
        <f aca="false">Transactions!B1098</f>
        <v>ACC1049</v>
      </c>
      <c r="C1098" s="1" t="str">
        <f aca="false">Transactions!I1098</f>
        <v>2026-03-09</v>
      </c>
      <c r="D1098" s="1" t="n">
        <f aca="false">Transactions!J1098</f>
        <v>6</v>
      </c>
      <c r="E1098" s="1" t="n">
        <f aca="false">Transactions!D1098</f>
        <v>33.82</v>
      </c>
      <c r="F1098" s="1" t="str">
        <f aca="false">Transactions!H1098</f>
        <v>ATM</v>
      </c>
      <c r="G1098" s="1" t="str">
        <f aca="false">Transactions!G1098</f>
        <v>Utilities</v>
      </c>
      <c r="H1098" s="1" t="n">
        <f aca="false">IF(COUNTIFS($B$2:$B$1489,B1098,$C$2:$C$1489,C1098,$D$2:$D$1489,D1098)&gt;6,1,0)</f>
        <v>0</v>
      </c>
      <c r="I1098" s="1" t="n">
        <f aca="false">IF(AND(F1098="Wire",E1098&gt;=1000,MOD(E1098,1000)=0),1,0)</f>
        <v>0</v>
      </c>
      <c r="J1098" s="1" t="n">
        <f aca="false">IF(AND(F1098="ATM",E1098&gt;2000,D1098&lt;=4),1,0)</f>
        <v>0</v>
      </c>
      <c r="K1098" s="1" t="n">
        <f aca="false">IF(COUNTIF('SQL Findings'!$A$4:$A$18,B1098)&gt;0,1,0)</f>
        <v>0</v>
      </c>
      <c r="L1098" s="1" t="n">
        <f aca="false">SUM(H1098:K1098)</f>
        <v>0</v>
      </c>
      <c r="M1098" s="1" t="str">
        <f aca="false">IF(L1098&gt;=2,"High",IF(L1098=1,"Medium","Low"))</f>
        <v>Low</v>
      </c>
    </row>
    <row r="1099" customFormat="false" ht="15" hidden="false" customHeight="true" outlineLevel="0" collapsed="false">
      <c r="A1099" s="1" t="str">
        <f aca="false">Transactions!A1099</f>
        <v>TXN500046</v>
      </c>
      <c r="B1099" s="1" t="str">
        <f aca="false">Transactions!B1099</f>
        <v>ACC1001</v>
      </c>
      <c r="C1099" s="1" t="str">
        <f aca="false">Transactions!I1099</f>
        <v>2026-03-09</v>
      </c>
      <c r="D1099" s="1" t="n">
        <f aca="false">Transactions!J1099</f>
        <v>6</v>
      </c>
      <c r="E1099" s="1" t="n">
        <f aca="false">Transactions!D1099</f>
        <v>34.89</v>
      </c>
      <c r="F1099" s="1" t="str">
        <f aca="false">Transactions!H1099</f>
        <v>POS</v>
      </c>
      <c r="G1099" s="1" t="str">
        <f aca="false">Transactions!G1099</f>
        <v>Electronics</v>
      </c>
      <c r="H1099" s="1" t="n">
        <f aca="false">IF(COUNTIFS($B$2:$B$1489,B1099,$C$2:$C$1489,C1099,$D$2:$D$1489,D1099)&gt;6,1,0)</f>
        <v>0</v>
      </c>
      <c r="I1099" s="1" t="n">
        <f aca="false">IF(AND(F1099="Wire",E1099&gt;=1000,MOD(E1099,1000)=0),1,0)</f>
        <v>0</v>
      </c>
      <c r="J1099" s="1" t="n">
        <f aca="false">IF(AND(F1099="ATM",E1099&gt;2000,D1099&lt;=4),1,0)</f>
        <v>0</v>
      </c>
      <c r="K1099" s="1" t="n">
        <f aca="false">IF(COUNTIF('SQL Findings'!$A$4:$A$18,B1099)&gt;0,1,0)</f>
        <v>1</v>
      </c>
      <c r="L1099" s="1" t="n">
        <f aca="false">SUM(H1099:K1099)</f>
        <v>1</v>
      </c>
      <c r="M1099" s="1" t="str">
        <f aca="false">IF(L1099&gt;=2,"High",IF(L1099=1,"Medium","Low"))</f>
        <v>Medium</v>
      </c>
    </row>
    <row r="1100" customFormat="false" ht="15" hidden="false" customHeight="true" outlineLevel="0" collapsed="false">
      <c r="A1100" s="1" t="str">
        <f aca="false">Transactions!A1100</f>
        <v>TXN500276</v>
      </c>
      <c r="B1100" s="1" t="str">
        <f aca="false">Transactions!B1100</f>
        <v>ACC1012</v>
      </c>
      <c r="C1100" s="1" t="str">
        <f aca="false">Transactions!I1100</f>
        <v>2026-03-09</v>
      </c>
      <c r="D1100" s="1" t="n">
        <f aca="false">Transactions!J1100</f>
        <v>7</v>
      </c>
      <c r="E1100" s="1" t="n">
        <f aca="false">Transactions!D1100</f>
        <v>101.08</v>
      </c>
      <c r="F1100" s="1" t="str">
        <f aca="false">Transactions!H1100</f>
        <v>Online</v>
      </c>
      <c r="G1100" s="1" t="str">
        <f aca="false">Transactions!G1100</f>
        <v>Online Marketplace</v>
      </c>
      <c r="H1100" s="1" t="n">
        <f aca="false">IF(COUNTIFS($B$2:$B$1489,B1100,$C$2:$C$1489,C1100,$D$2:$D$1489,D1100)&gt;6,1,0)</f>
        <v>0</v>
      </c>
      <c r="I1100" s="1" t="n">
        <f aca="false">IF(AND(F1100="Wire",E1100&gt;=1000,MOD(E1100,1000)=0),1,0)</f>
        <v>0</v>
      </c>
      <c r="J1100" s="1" t="n">
        <f aca="false">IF(AND(F1100="ATM",E1100&gt;2000,D1100&lt;=4),1,0)</f>
        <v>0</v>
      </c>
      <c r="K1100" s="1" t="n">
        <f aca="false">IF(COUNTIF('SQL Findings'!$A$4:$A$18,B1100)&gt;0,1,0)</f>
        <v>0</v>
      </c>
      <c r="L1100" s="1" t="n">
        <f aca="false">SUM(H1100:K1100)</f>
        <v>0</v>
      </c>
      <c r="M1100" s="1" t="str">
        <f aca="false">IF(L1100&gt;=2,"High",IF(L1100=1,"Medium","Low"))</f>
        <v>Low</v>
      </c>
    </row>
    <row r="1101" customFormat="false" ht="15" hidden="false" customHeight="true" outlineLevel="0" collapsed="false">
      <c r="A1101" s="1" t="str">
        <f aca="false">Transactions!A1101</f>
        <v>TXN500716</v>
      </c>
      <c r="B1101" s="1" t="str">
        <f aca="false">Transactions!B1101</f>
        <v>ACC1030</v>
      </c>
      <c r="C1101" s="1" t="str">
        <f aca="false">Transactions!I1101</f>
        <v>2026-03-09</v>
      </c>
      <c r="D1101" s="1" t="n">
        <f aca="false">Transactions!J1101</f>
        <v>7</v>
      </c>
      <c r="E1101" s="1" t="n">
        <f aca="false">Transactions!D1101</f>
        <v>180</v>
      </c>
      <c r="F1101" s="1" t="str">
        <f aca="false">Transactions!H1101</f>
        <v>Online</v>
      </c>
      <c r="G1101" s="1" t="str">
        <f aca="false">Transactions!G1101</f>
        <v>Retail</v>
      </c>
      <c r="H1101" s="1" t="n">
        <f aca="false">IF(COUNTIFS($B$2:$B$1489,B1101,$C$2:$C$1489,C1101,$D$2:$D$1489,D1101)&gt;6,1,0)</f>
        <v>0</v>
      </c>
      <c r="I1101" s="1" t="n">
        <f aca="false">IF(AND(F1101="Wire",E1101&gt;=1000,MOD(E1101,1000)=0),1,0)</f>
        <v>0</v>
      </c>
      <c r="J1101" s="1" t="n">
        <f aca="false">IF(AND(F1101="ATM",E1101&gt;2000,D1101&lt;=4),1,0)</f>
        <v>0</v>
      </c>
      <c r="K1101" s="1" t="n">
        <f aca="false">IF(COUNTIF('SQL Findings'!$A$4:$A$18,B1101)&gt;0,1,0)</f>
        <v>1</v>
      </c>
      <c r="L1101" s="1" t="n">
        <f aca="false">SUM(H1101:K1101)</f>
        <v>1</v>
      </c>
      <c r="M1101" s="1" t="str">
        <f aca="false">IF(L1101&gt;=2,"High",IF(L1101=1,"Medium","Low"))</f>
        <v>Medium</v>
      </c>
    </row>
    <row r="1102" customFormat="false" ht="15" hidden="false" customHeight="true" outlineLevel="0" collapsed="false">
      <c r="A1102" s="1" t="str">
        <f aca="false">Transactions!A1102</f>
        <v>TXN501273</v>
      </c>
      <c r="B1102" s="1" t="str">
        <f aca="false">Transactions!B1102</f>
        <v>ACC1056</v>
      </c>
      <c r="C1102" s="1" t="str">
        <f aca="false">Transactions!I1102</f>
        <v>2026-03-09</v>
      </c>
      <c r="D1102" s="1" t="n">
        <f aca="false">Transactions!J1102</f>
        <v>8</v>
      </c>
      <c r="E1102" s="1" t="n">
        <f aca="false">Transactions!D1102</f>
        <v>24.95</v>
      </c>
      <c r="F1102" s="1" t="str">
        <f aca="false">Transactions!H1102</f>
        <v>POS</v>
      </c>
      <c r="G1102" s="1" t="str">
        <f aca="false">Transactions!G1102</f>
        <v>Cash Withdrawal</v>
      </c>
      <c r="H1102" s="1" t="n">
        <f aca="false">IF(COUNTIFS($B$2:$B$1489,B1102,$C$2:$C$1489,C1102,$D$2:$D$1489,D1102)&gt;6,1,0)</f>
        <v>0</v>
      </c>
      <c r="I1102" s="1" t="n">
        <f aca="false">IF(AND(F1102="Wire",E1102&gt;=1000,MOD(E1102,1000)=0),1,0)</f>
        <v>0</v>
      </c>
      <c r="J1102" s="1" t="n">
        <f aca="false">IF(AND(F1102="ATM",E1102&gt;2000,D1102&lt;=4),1,0)</f>
        <v>0</v>
      </c>
      <c r="K1102" s="1" t="n">
        <f aca="false">IF(COUNTIF('SQL Findings'!$A$4:$A$18,B1102)&gt;0,1,0)</f>
        <v>0</v>
      </c>
      <c r="L1102" s="1" t="n">
        <f aca="false">SUM(H1102:K1102)</f>
        <v>0</v>
      </c>
      <c r="M1102" s="1" t="str">
        <f aca="false">IF(L1102&gt;=2,"High",IF(L1102=1,"Medium","Low"))</f>
        <v>Low</v>
      </c>
    </row>
    <row r="1103" customFormat="false" ht="15" hidden="false" customHeight="true" outlineLevel="0" collapsed="false">
      <c r="A1103" s="1" t="str">
        <f aca="false">Transactions!A1103</f>
        <v>TXN501276</v>
      </c>
      <c r="B1103" s="1" t="str">
        <f aca="false">Transactions!B1103</f>
        <v>ACC1056</v>
      </c>
      <c r="C1103" s="1" t="str">
        <f aca="false">Transactions!I1103</f>
        <v>2026-03-09</v>
      </c>
      <c r="D1103" s="1" t="n">
        <f aca="false">Transactions!J1103</f>
        <v>8</v>
      </c>
      <c r="E1103" s="1" t="n">
        <f aca="false">Transactions!D1103</f>
        <v>75.76</v>
      </c>
      <c r="F1103" s="1" t="str">
        <f aca="false">Transactions!H1103</f>
        <v>POS</v>
      </c>
      <c r="G1103" s="1" t="str">
        <f aca="false">Transactions!G1103</f>
        <v>Travel</v>
      </c>
      <c r="H1103" s="1" t="n">
        <f aca="false">IF(COUNTIFS($B$2:$B$1489,B1103,$C$2:$C$1489,C1103,$D$2:$D$1489,D1103)&gt;6,1,0)</f>
        <v>0</v>
      </c>
      <c r="I1103" s="1" t="n">
        <f aca="false">IF(AND(F1103="Wire",E1103&gt;=1000,MOD(E1103,1000)=0),1,0)</f>
        <v>0</v>
      </c>
      <c r="J1103" s="1" t="n">
        <f aca="false">IF(AND(F1103="ATM",E1103&gt;2000,D1103&lt;=4),1,0)</f>
        <v>0</v>
      </c>
      <c r="K1103" s="1" t="n">
        <f aca="false">IF(COUNTIF('SQL Findings'!$A$4:$A$18,B1103)&gt;0,1,0)</f>
        <v>0</v>
      </c>
      <c r="L1103" s="1" t="n">
        <f aca="false">SUM(H1103:K1103)</f>
        <v>0</v>
      </c>
      <c r="M1103" s="1" t="str">
        <f aca="false">IF(L1103&gt;=2,"High",IF(L1103=1,"Medium","Low"))</f>
        <v>Low</v>
      </c>
    </row>
    <row r="1104" customFormat="false" ht="15" hidden="false" customHeight="true" outlineLevel="0" collapsed="false">
      <c r="A1104" s="1" t="str">
        <f aca="false">Transactions!A1104</f>
        <v>TXN500296</v>
      </c>
      <c r="B1104" s="1" t="str">
        <f aca="false">Transactions!B1104</f>
        <v>ACC1013</v>
      </c>
      <c r="C1104" s="1" t="str">
        <f aca="false">Transactions!I1104</f>
        <v>2026-03-09</v>
      </c>
      <c r="D1104" s="1" t="n">
        <f aca="false">Transactions!J1104</f>
        <v>12</v>
      </c>
      <c r="E1104" s="1" t="n">
        <f aca="false">Transactions!D1104</f>
        <v>35.74</v>
      </c>
      <c r="F1104" s="1" t="str">
        <f aca="false">Transactions!H1104</f>
        <v>Online</v>
      </c>
      <c r="G1104" s="1" t="str">
        <f aca="false">Transactions!G1104</f>
        <v>Cash Withdrawal</v>
      </c>
      <c r="H1104" s="1" t="n">
        <f aca="false">IF(COUNTIFS($B$2:$B$1489,B1104,$C$2:$C$1489,C1104,$D$2:$D$1489,D1104)&gt;6,1,0)</f>
        <v>0</v>
      </c>
      <c r="I1104" s="1" t="n">
        <f aca="false">IF(AND(F1104="Wire",E1104&gt;=1000,MOD(E1104,1000)=0),1,0)</f>
        <v>0</v>
      </c>
      <c r="J1104" s="1" t="n">
        <f aca="false">IF(AND(F1104="ATM",E1104&gt;2000,D1104&lt;=4),1,0)</f>
        <v>0</v>
      </c>
      <c r="K1104" s="1" t="n">
        <f aca="false">IF(COUNTIF('SQL Findings'!$A$4:$A$18,B1104)&gt;0,1,0)</f>
        <v>0</v>
      </c>
      <c r="L1104" s="1" t="n">
        <f aca="false">SUM(H1104:K1104)</f>
        <v>0</v>
      </c>
      <c r="M1104" s="1" t="str">
        <f aca="false">IF(L1104&gt;=2,"High",IF(L1104=1,"Medium","Low"))</f>
        <v>Low</v>
      </c>
    </row>
    <row r="1105" customFormat="false" ht="15" hidden="false" customHeight="true" outlineLevel="0" collapsed="false">
      <c r="A1105" s="1" t="str">
        <f aca="false">Transactions!A1105</f>
        <v>TXN501132</v>
      </c>
      <c r="B1105" s="1" t="str">
        <f aca="false">Transactions!B1105</f>
        <v>ACC1050</v>
      </c>
      <c r="C1105" s="1" t="str">
        <f aca="false">Transactions!I1105</f>
        <v>2026-03-09</v>
      </c>
      <c r="D1105" s="1" t="n">
        <f aca="false">Transactions!J1105</f>
        <v>14</v>
      </c>
      <c r="E1105" s="1" t="n">
        <f aca="false">Transactions!D1105</f>
        <v>97.49</v>
      </c>
      <c r="F1105" s="1" t="str">
        <f aca="false">Transactions!H1105</f>
        <v>ATM</v>
      </c>
      <c r="G1105" s="1" t="str">
        <f aca="false">Transactions!G1105</f>
        <v>Travel</v>
      </c>
      <c r="H1105" s="1" t="n">
        <f aca="false">IF(COUNTIFS($B$2:$B$1489,B1105,$C$2:$C$1489,C1105,$D$2:$D$1489,D1105)&gt;6,1,0)</f>
        <v>0</v>
      </c>
      <c r="I1105" s="1" t="n">
        <f aca="false">IF(AND(F1105="Wire",E1105&gt;=1000,MOD(E1105,1000)=0),1,0)</f>
        <v>0</v>
      </c>
      <c r="J1105" s="1" t="n">
        <f aca="false">IF(AND(F1105="ATM",E1105&gt;2000,D1105&lt;=4),1,0)</f>
        <v>0</v>
      </c>
      <c r="K1105" s="1" t="n">
        <f aca="false">IF(COUNTIF('SQL Findings'!$A$4:$A$18,B1105)&gt;0,1,0)</f>
        <v>0</v>
      </c>
      <c r="L1105" s="1" t="n">
        <f aca="false">SUM(H1105:K1105)</f>
        <v>0</v>
      </c>
      <c r="M1105" s="1" t="str">
        <f aca="false">IF(L1105&gt;=2,"High",IF(L1105=1,"Medium","Low"))</f>
        <v>Low</v>
      </c>
    </row>
    <row r="1106" customFormat="false" ht="15" hidden="false" customHeight="true" outlineLevel="0" collapsed="false">
      <c r="A1106" s="1" t="str">
        <f aca="false">Transactions!A1106</f>
        <v>TXN501083</v>
      </c>
      <c r="B1106" s="1" t="str">
        <f aca="false">Transactions!B1106</f>
        <v>ACC1047</v>
      </c>
      <c r="C1106" s="1" t="str">
        <f aca="false">Transactions!I1106</f>
        <v>2026-03-09</v>
      </c>
      <c r="D1106" s="1" t="n">
        <f aca="false">Transactions!J1106</f>
        <v>17</v>
      </c>
      <c r="E1106" s="1" t="n">
        <f aca="false">Transactions!D1106</f>
        <v>49.93</v>
      </c>
      <c r="F1106" s="1" t="str">
        <f aca="false">Transactions!H1106</f>
        <v>ATM</v>
      </c>
      <c r="G1106" s="1" t="str">
        <f aca="false">Transactions!G1106</f>
        <v>Retail</v>
      </c>
      <c r="H1106" s="1" t="n">
        <f aca="false">IF(COUNTIFS($B$2:$B$1489,B1106,$C$2:$C$1489,C1106,$D$2:$D$1489,D1106)&gt;6,1,0)</f>
        <v>0</v>
      </c>
      <c r="I1106" s="1" t="n">
        <f aca="false">IF(AND(F1106="Wire",E1106&gt;=1000,MOD(E1106,1000)=0),1,0)</f>
        <v>0</v>
      </c>
      <c r="J1106" s="1" t="n">
        <f aca="false">IF(AND(F1106="ATM",E1106&gt;2000,D1106&lt;=4),1,0)</f>
        <v>0</v>
      </c>
      <c r="K1106" s="1" t="n">
        <f aca="false">IF(COUNTIF('SQL Findings'!$A$4:$A$18,B1106)&gt;0,1,0)</f>
        <v>0</v>
      </c>
      <c r="L1106" s="1" t="n">
        <f aca="false">SUM(H1106:K1106)</f>
        <v>0</v>
      </c>
      <c r="M1106" s="1" t="str">
        <f aca="false">IF(L1106&gt;=2,"High",IF(L1106=1,"Medium","Low"))</f>
        <v>Low</v>
      </c>
    </row>
    <row r="1107" customFormat="false" ht="15" hidden="false" customHeight="true" outlineLevel="0" collapsed="false">
      <c r="A1107" s="1" t="str">
        <f aca="false">Transactions!A1107</f>
        <v>TXN500732</v>
      </c>
      <c r="B1107" s="1" t="str">
        <f aca="false">Transactions!B1107</f>
        <v>ACC1031</v>
      </c>
      <c r="C1107" s="1" t="str">
        <f aca="false">Transactions!I1107</f>
        <v>2026-03-09</v>
      </c>
      <c r="D1107" s="1" t="n">
        <f aca="false">Transactions!J1107</f>
        <v>17</v>
      </c>
      <c r="E1107" s="1" t="n">
        <f aca="false">Transactions!D1107</f>
        <v>27.65</v>
      </c>
      <c r="F1107" s="1" t="str">
        <f aca="false">Transactions!H1107</f>
        <v>ATM</v>
      </c>
      <c r="G1107" s="1" t="str">
        <f aca="false">Transactions!G1107</f>
        <v>Cash Withdrawal</v>
      </c>
      <c r="H1107" s="1" t="n">
        <f aca="false">IF(COUNTIFS($B$2:$B$1489,B1107,$C$2:$C$1489,C1107,$D$2:$D$1489,D1107)&gt;6,1,0)</f>
        <v>0</v>
      </c>
      <c r="I1107" s="1" t="n">
        <f aca="false">IF(AND(F1107="Wire",E1107&gt;=1000,MOD(E1107,1000)=0),1,0)</f>
        <v>0</v>
      </c>
      <c r="J1107" s="1" t="n">
        <f aca="false">IF(AND(F1107="ATM",E1107&gt;2000,D1107&lt;=4),1,0)</f>
        <v>0</v>
      </c>
      <c r="K1107" s="1" t="n">
        <f aca="false">IF(COUNTIF('SQL Findings'!$A$4:$A$18,B1107)&gt;0,1,0)</f>
        <v>0</v>
      </c>
      <c r="L1107" s="1" t="n">
        <f aca="false">SUM(H1107:K1107)</f>
        <v>0</v>
      </c>
      <c r="M1107" s="1" t="str">
        <f aca="false">IF(L1107&gt;=2,"High",IF(L1107=1,"Medium","Low"))</f>
        <v>Low</v>
      </c>
    </row>
    <row r="1108" customFormat="false" ht="15" hidden="false" customHeight="true" outlineLevel="0" collapsed="false">
      <c r="A1108" s="1" t="str">
        <f aca="false">Transactions!A1108</f>
        <v>TXN500025</v>
      </c>
      <c r="B1108" s="1" t="str">
        <f aca="false">Transactions!B1108</f>
        <v>ACC1001</v>
      </c>
      <c r="C1108" s="1" t="str">
        <f aca="false">Transactions!I1108</f>
        <v>2026-03-09</v>
      </c>
      <c r="D1108" s="1" t="n">
        <f aca="false">Transactions!J1108</f>
        <v>17</v>
      </c>
      <c r="E1108" s="1" t="n">
        <f aca="false">Transactions!D1108</f>
        <v>40.86</v>
      </c>
      <c r="F1108" s="1" t="str">
        <f aca="false">Transactions!H1108</f>
        <v>ATM</v>
      </c>
      <c r="G1108" s="1" t="str">
        <f aca="false">Transactions!G1108</f>
        <v>Dining</v>
      </c>
      <c r="H1108" s="1" t="n">
        <f aca="false">IF(COUNTIFS($B$2:$B$1489,B1108,$C$2:$C$1489,C1108,$D$2:$D$1489,D1108)&gt;6,1,0)</f>
        <v>0</v>
      </c>
      <c r="I1108" s="1" t="n">
        <f aca="false">IF(AND(F1108="Wire",E1108&gt;=1000,MOD(E1108,1000)=0),1,0)</f>
        <v>0</v>
      </c>
      <c r="J1108" s="1" t="n">
        <f aca="false">IF(AND(F1108="ATM",E1108&gt;2000,D1108&lt;=4),1,0)</f>
        <v>0</v>
      </c>
      <c r="K1108" s="1" t="n">
        <f aca="false">IF(COUNTIF('SQL Findings'!$A$4:$A$18,B1108)&gt;0,1,0)</f>
        <v>1</v>
      </c>
      <c r="L1108" s="1" t="n">
        <f aca="false">SUM(H1108:K1108)</f>
        <v>1</v>
      </c>
      <c r="M1108" s="1" t="str">
        <f aca="false">IF(L1108&gt;=2,"High",IF(L1108=1,"Medium","Low"))</f>
        <v>Medium</v>
      </c>
    </row>
    <row r="1109" customFormat="false" ht="15" hidden="false" customHeight="true" outlineLevel="0" collapsed="false">
      <c r="A1109" s="1" t="str">
        <f aca="false">Transactions!A1109</f>
        <v>TXN500790</v>
      </c>
      <c r="B1109" s="1" t="str">
        <f aca="false">Transactions!B1109</f>
        <v>ACC1034</v>
      </c>
      <c r="C1109" s="1" t="str">
        <f aca="false">Transactions!I1109</f>
        <v>2026-03-09</v>
      </c>
      <c r="D1109" s="1" t="n">
        <f aca="false">Transactions!J1109</f>
        <v>18</v>
      </c>
      <c r="E1109" s="1" t="n">
        <f aca="false">Transactions!D1109</f>
        <v>14.96</v>
      </c>
      <c r="F1109" s="1" t="str">
        <f aca="false">Transactions!H1109</f>
        <v>POS</v>
      </c>
      <c r="G1109" s="1" t="str">
        <f aca="false">Transactions!G1109</f>
        <v>Travel</v>
      </c>
      <c r="H1109" s="1" t="n">
        <f aca="false">IF(COUNTIFS($B$2:$B$1489,B1109,$C$2:$C$1489,C1109,$D$2:$D$1489,D1109)&gt;6,1,0)</f>
        <v>0</v>
      </c>
      <c r="I1109" s="1" t="n">
        <f aca="false">IF(AND(F1109="Wire",E1109&gt;=1000,MOD(E1109,1000)=0),1,0)</f>
        <v>0</v>
      </c>
      <c r="J1109" s="1" t="n">
        <f aca="false">IF(AND(F1109="ATM",E1109&gt;2000,D1109&lt;=4),1,0)</f>
        <v>0</v>
      </c>
      <c r="K1109" s="1" t="n">
        <f aca="false">IF(COUNTIF('SQL Findings'!$A$4:$A$18,B1109)&gt;0,1,0)</f>
        <v>0</v>
      </c>
      <c r="L1109" s="1" t="n">
        <f aca="false">SUM(H1109:K1109)</f>
        <v>0</v>
      </c>
      <c r="M1109" s="1" t="str">
        <f aca="false">IF(L1109&gt;=2,"High",IF(L1109=1,"Medium","Low"))</f>
        <v>Low</v>
      </c>
    </row>
    <row r="1110" customFormat="false" ht="15" hidden="false" customHeight="true" outlineLevel="0" collapsed="false">
      <c r="A1110" s="1" t="str">
        <f aca="false">Transactions!A1110</f>
        <v>TXN500934</v>
      </c>
      <c r="B1110" s="1" t="str">
        <f aca="false">Transactions!B1110</f>
        <v>ACC1040</v>
      </c>
      <c r="C1110" s="1" t="str">
        <f aca="false">Transactions!I1110</f>
        <v>2026-03-10</v>
      </c>
      <c r="D1110" s="1" t="n">
        <f aca="false">Transactions!J1110</f>
        <v>0</v>
      </c>
      <c r="E1110" s="1" t="n">
        <f aca="false">Transactions!D1110</f>
        <v>9.22</v>
      </c>
      <c r="F1110" s="1" t="str">
        <f aca="false">Transactions!H1110</f>
        <v>ATM</v>
      </c>
      <c r="G1110" s="1" t="str">
        <f aca="false">Transactions!G1110</f>
        <v>Dining</v>
      </c>
      <c r="H1110" s="1" t="n">
        <f aca="false">IF(COUNTIFS($B$2:$B$1489,B1110,$C$2:$C$1489,C1110,$D$2:$D$1489,D1110)&gt;6,1,0)</f>
        <v>0</v>
      </c>
      <c r="I1110" s="1" t="n">
        <f aca="false">IF(AND(F1110="Wire",E1110&gt;=1000,MOD(E1110,1000)=0),1,0)</f>
        <v>0</v>
      </c>
      <c r="J1110" s="1" t="n">
        <f aca="false">IF(AND(F1110="ATM",E1110&gt;2000,D1110&lt;=4),1,0)</f>
        <v>0</v>
      </c>
      <c r="K1110" s="1" t="n">
        <f aca="false">IF(COUNTIF('SQL Findings'!$A$4:$A$18,B1110)&gt;0,1,0)</f>
        <v>1</v>
      </c>
      <c r="L1110" s="1" t="n">
        <f aca="false">SUM(H1110:K1110)</f>
        <v>1</v>
      </c>
      <c r="M1110" s="1" t="str">
        <f aca="false">IF(L1110&gt;=2,"High",IF(L1110=1,"Medium","Low"))</f>
        <v>Medium</v>
      </c>
    </row>
    <row r="1111" customFormat="false" ht="15" hidden="false" customHeight="true" outlineLevel="0" collapsed="false">
      <c r="A1111" s="1" t="str">
        <f aca="false">Transactions!A1111</f>
        <v>TXN500114</v>
      </c>
      <c r="B1111" s="1" t="str">
        <f aca="false">Transactions!B1111</f>
        <v>ACC1004</v>
      </c>
      <c r="C1111" s="1" t="str">
        <f aca="false">Transactions!I1111</f>
        <v>2026-03-10</v>
      </c>
      <c r="D1111" s="1" t="n">
        <f aca="false">Transactions!J1111</f>
        <v>1</v>
      </c>
      <c r="E1111" s="1" t="n">
        <f aca="false">Transactions!D1111</f>
        <v>612.11</v>
      </c>
      <c r="F1111" s="1" t="str">
        <f aca="false">Transactions!H1111</f>
        <v>POS</v>
      </c>
      <c r="G1111" s="1" t="str">
        <f aca="false">Transactions!G1111</f>
        <v>Retail</v>
      </c>
      <c r="H1111" s="1" t="n">
        <f aca="false">IF(COUNTIFS($B$2:$B$1489,B1111,$C$2:$C$1489,C1111,$D$2:$D$1489,D1111)&gt;6,1,0)</f>
        <v>0</v>
      </c>
      <c r="I1111" s="1" t="n">
        <f aca="false">IF(AND(F1111="Wire",E1111&gt;=1000,MOD(E1111,1000)=0),1,0)</f>
        <v>0</v>
      </c>
      <c r="J1111" s="1" t="n">
        <f aca="false">IF(AND(F1111="ATM",E1111&gt;2000,D1111&lt;=4),1,0)</f>
        <v>0</v>
      </c>
      <c r="K1111" s="1" t="n">
        <f aca="false">IF(COUNTIF('SQL Findings'!$A$4:$A$18,B1111)&gt;0,1,0)</f>
        <v>1</v>
      </c>
      <c r="L1111" s="1" t="n">
        <f aca="false">SUM(H1111:K1111)</f>
        <v>1</v>
      </c>
      <c r="M1111" s="1" t="str">
        <f aca="false">IF(L1111&gt;=2,"High",IF(L1111=1,"Medium","Low"))</f>
        <v>Medium</v>
      </c>
    </row>
    <row r="1112" customFormat="false" ht="15" hidden="false" customHeight="true" outlineLevel="0" collapsed="false">
      <c r="A1112" s="1" t="str">
        <f aca="false">Transactions!A1112</f>
        <v>TXN500473</v>
      </c>
      <c r="B1112" s="1" t="str">
        <f aca="false">Transactions!B1112</f>
        <v>ACC1021</v>
      </c>
      <c r="C1112" s="1" t="str">
        <f aca="false">Transactions!I1112</f>
        <v>2026-03-10</v>
      </c>
      <c r="D1112" s="1" t="n">
        <f aca="false">Transactions!J1112</f>
        <v>6</v>
      </c>
      <c r="E1112" s="1" t="n">
        <f aca="false">Transactions!D1112</f>
        <v>17.05</v>
      </c>
      <c r="F1112" s="1" t="str">
        <f aca="false">Transactions!H1112</f>
        <v>POS</v>
      </c>
      <c r="G1112" s="1" t="str">
        <f aca="false">Transactions!G1112</f>
        <v>Online Marketplace</v>
      </c>
      <c r="H1112" s="1" t="n">
        <f aca="false">IF(COUNTIFS($B$2:$B$1489,B1112,$C$2:$C$1489,C1112,$D$2:$D$1489,D1112)&gt;6,1,0)</f>
        <v>0</v>
      </c>
      <c r="I1112" s="1" t="n">
        <f aca="false">IF(AND(F1112="Wire",E1112&gt;=1000,MOD(E1112,1000)=0),1,0)</f>
        <v>0</v>
      </c>
      <c r="J1112" s="1" t="n">
        <f aca="false">IF(AND(F1112="ATM",E1112&gt;2000,D1112&lt;=4),1,0)</f>
        <v>0</v>
      </c>
      <c r="K1112" s="1" t="n">
        <f aca="false">IF(COUNTIF('SQL Findings'!$A$4:$A$18,B1112)&gt;0,1,0)</f>
        <v>0</v>
      </c>
      <c r="L1112" s="1" t="n">
        <f aca="false">SUM(H1112:K1112)</f>
        <v>0</v>
      </c>
      <c r="M1112" s="1" t="str">
        <f aca="false">IF(L1112&gt;=2,"High",IF(L1112=1,"Medium","Low"))</f>
        <v>Low</v>
      </c>
    </row>
    <row r="1113" customFormat="false" ht="15" hidden="false" customHeight="true" outlineLevel="0" collapsed="false">
      <c r="A1113" s="1" t="str">
        <f aca="false">Transactions!A1113</f>
        <v>TXN500054</v>
      </c>
      <c r="B1113" s="1" t="str">
        <f aca="false">Transactions!B1113</f>
        <v>ACC1002</v>
      </c>
      <c r="C1113" s="1" t="str">
        <f aca="false">Transactions!I1113</f>
        <v>2026-03-10</v>
      </c>
      <c r="D1113" s="1" t="n">
        <f aca="false">Transactions!J1113</f>
        <v>7</v>
      </c>
      <c r="E1113" s="1" t="n">
        <f aca="false">Transactions!D1113</f>
        <v>115.64</v>
      </c>
      <c r="F1113" s="1" t="str">
        <f aca="false">Transactions!H1113</f>
        <v>Online</v>
      </c>
      <c r="G1113" s="1" t="str">
        <f aca="false">Transactions!G1113</f>
        <v>Travel</v>
      </c>
      <c r="H1113" s="1" t="n">
        <f aca="false">IF(COUNTIFS($B$2:$B$1489,B1113,$C$2:$C$1489,C1113,$D$2:$D$1489,D1113)&gt;6,1,0)</f>
        <v>0</v>
      </c>
      <c r="I1113" s="1" t="n">
        <f aca="false">IF(AND(F1113="Wire",E1113&gt;=1000,MOD(E1113,1000)=0),1,0)</f>
        <v>0</v>
      </c>
      <c r="J1113" s="1" t="n">
        <f aca="false">IF(AND(F1113="ATM",E1113&gt;2000,D1113&lt;=4),1,0)</f>
        <v>0</v>
      </c>
      <c r="K1113" s="1" t="n">
        <f aca="false">IF(COUNTIF('SQL Findings'!$A$4:$A$18,B1113)&gt;0,1,0)</f>
        <v>1</v>
      </c>
      <c r="L1113" s="1" t="n">
        <f aca="false">SUM(H1113:K1113)</f>
        <v>1</v>
      </c>
      <c r="M1113" s="1" t="str">
        <f aca="false">IF(L1113&gt;=2,"High",IF(L1113=1,"Medium","Low"))</f>
        <v>Medium</v>
      </c>
    </row>
    <row r="1114" customFormat="false" ht="15" hidden="false" customHeight="true" outlineLevel="0" collapsed="false">
      <c r="A1114" s="1" t="str">
        <f aca="false">Transactions!A1114</f>
        <v>TXN501184</v>
      </c>
      <c r="B1114" s="1" t="str">
        <f aca="false">Transactions!B1114</f>
        <v>ACC1052</v>
      </c>
      <c r="C1114" s="1" t="str">
        <f aca="false">Transactions!I1114</f>
        <v>2026-03-10</v>
      </c>
      <c r="D1114" s="1" t="n">
        <f aca="false">Transactions!J1114</f>
        <v>7</v>
      </c>
      <c r="E1114" s="1" t="n">
        <f aca="false">Transactions!D1114</f>
        <v>16.22</v>
      </c>
      <c r="F1114" s="1" t="str">
        <f aca="false">Transactions!H1114</f>
        <v>ATM</v>
      </c>
      <c r="G1114" s="1" t="str">
        <f aca="false">Transactions!G1114</f>
        <v>Utilities</v>
      </c>
      <c r="H1114" s="1" t="n">
        <f aca="false">IF(COUNTIFS($B$2:$B$1489,B1114,$C$2:$C$1489,C1114,$D$2:$D$1489,D1114)&gt;6,1,0)</f>
        <v>0</v>
      </c>
      <c r="I1114" s="1" t="n">
        <f aca="false">IF(AND(F1114="Wire",E1114&gt;=1000,MOD(E1114,1000)=0),1,0)</f>
        <v>0</v>
      </c>
      <c r="J1114" s="1" t="n">
        <f aca="false">IF(AND(F1114="ATM",E1114&gt;2000,D1114&lt;=4),1,0)</f>
        <v>0</v>
      </c>
      <c r="K1114" s="1" t="n">
        <f aca="false">IF(COUNTIF('SQL Findings'!$A$4:$A$18,B1114)&gt;0,1,0)</f>
        <v>0</v>
      </c>
      <c r="L1114" s="1" t="n">
        <f aca="false">SUM(H1114:K1114)</f>
        <v>0</v>
      </c>
      <c r="M1114" s="1" t="str">
        <f aca="false">IF(L1114&gt;=2,"High",IF(L1114=1,"Medium","Low"))</f>
        <v>Low</v>
      </c>
    </row>
    <row r="1115" customFormat="false" ht="15" hidden="false" customHeight="true" outlineLevel="0" collapsed="false">
      <c r="A1115" s="1" t="str">
        <f aca="false">Transactions!A1115</f>
        <v>TXN501353</v>
      </c>
      <c r="B1115" s="1" t="str">
        <f aca="false">Transactions!B1115</f>
        <v>ACC1058</v>
      </c>
      <c r="C1115" s="1" t="str">
        <f aca="false">Transactions!I1115</f>
        <v>2026-03-10</v>
      </c>
      <c r="D1115" s="1" t="n">
        <f aca="false">Transactions!J1115</f>
        <v>7</v>
      </c>
      <c r="E1115" s="1" t="n">
        <f aca="false">Transactions!D1115</f>
        <v>108.56</v>
      </c>
      <c r="F1115" s="1" t="str">
        <f aca="false">Transactions!H1115</f>
        <v>Online</v>
      </c>
      <c r="G1115" s="1" t="str">
        <f aca="false">Transactions!G1115</f>
        <v>Wire Transfer</v>
      </c>
      <c r="H1115" s="1" t="n">
        <f aca="false">IF(COUNTIFS($B$2:$B$1489,B1115,$C$2:$C$1489,C1115,$D$2:$D$1489,D1115)&gt;6,1,0)</f>
        <v>0</v>
      </c>
      <c r="I1115" s="1" t="n">
        <f aca="false">IF(AND(F1115="Wire",E1115&gt;=1000,MOD(E1115,1000)=0),1,0)</f>
        <v>0</v>
      </c>
      <c r="J1115" s="1" t="n">
        <f aca="false">IF(AND(F1115="ATM",E1115&gt;2000,D1115&lt;=4),1,0)</f>
        <v>0</v>
      </c>
      <c r="K1115" s="1" t="n">
        <f aca="false">IF(COUNTIF('SQL Findings'!$A$4:$A$18,B1115)&gt;0,1,0)</f>
        <v>0</v>
      </c>
      <c r="L1115" s="1" t="n">
        <f aca="false">SUM(H1115:K1115)</f>
        <v>0</v>
      </c>
      <c r="M1115" s="1" t="str">
        <f aca="false">IF(L1115&gt;=2,"High",IF(L1115=1,"Medium","Low"))</f>
        <v>Low</v>
      </c>
    </row>
    <row r="1116" customFormat="false" ht="15" hidden="false" customHeight="true" outlineLevel="0" collapsed="false">
      <c r="A1116" s="1" t="str">
        <f aca="false">Transactions!A1116</f>
        <v>TXN500327</v>
      </c>
      <c r="B1116" s="1" t="str">
        <f aca="false">Transactions!B1116</f>
        <v>ACC1014</v>
      </c>
      <c r="C1116" s="1" t="str">
        <f aca="false">Transactions!I1116</f>
        <v>2026-03-10</v>
      </c>
      <c r="D1116" s="1" t="n">
        <f aca="false">Transactions!J1116</f>
        <v>7</v>
      </c>
      <c r="E1116" s="1" t="n">
        <f aca="false">Transactions!D1116</f>
        <v>189.1</v>
      </c>
      <c r="F1116" s="1" t="str">
        <f aca="false">Transactions!H1116</f>
        <v>POS</v>
      </c>
      <c r="G1116" s="1" t="str">
        <f aca="false">Transactions!G1116</f>
        <v>Online Marketplace</v>
      </c>
      <c r="H1116" s="1" t="n">
        <f aca="false">IF(COUNTIFS($B$2:$B$1489,B1116,$C$2:$C$1489,C1116,$D$2:$D$1489,D1116)&gt;6,1,0)</f>
        <v>0</v>
      </c>
      <c r="I1116" s="1" t="n">
        <f aca="false">IF(AND(F1116="Wire",E1116&gt;=1000,MOD(E1116,1000)=0),1,0)</f>
        <v>0</v>
      </c>
      <c r="J1116" s="1" t="n">
        <f aca="false">IF(AND(F1116="ATM",E1116&gt;2000,D1116&lt;=4),1,0)</f>
        <v>0</v>
      </c>
      <c r="K1116" s="1" t="n">
        <f aca="false">IF(COUNTIF('SQL Findings'!$A$4:$A$18,B1116)&gt;0,1,0)</f>
        <v>1</v>
      </c>
      <c r="L1116" s="1" t="n">
        <f aca="false">SUM(H1116:K1116)</f>
        <v>1</v>
      </c>
      <c r="M1116" s="1" t="str">
        <f aca="false">IF(L1116&gt;=2,"High",IF(L1116=1,"Medium","Low"))</f>
        <v>Medium</v>
      </c>
    </row>
    <row r="1117" customFormat="false" ht="15" hidden="false" customHeight="true" outlineLevel="0" collapsed="false">
      <c r="A1117" s="1" t="str">
        <f aca="false">Transactions!A1117</f>
        <v>TXN500443</v>
      </c>
      <c r="B1117" s="1" t="str">
        <f aca="false">Transactions!B1117</f>
        <v>ACC1020</v>
      </c>
      <c r="C1117" s="1" t="str">
        <f aca="false">Transactions!I1117</f>
        <v>2026-03-10</v>
      </c>
      <c r="D1117" s="1" t="n">
        <f aca="false">Transactions!J1117</f>
        <v>8</v>
      </c>
      <c r="E1117" s="1" t="n">
        <f aca="false">Transactions!D1117</f>
        <v>10.37</v>
      </c>
      <c r="F1117" s="1" t="str">
        <f aca="false">Transactions!H1117</f>
        <v>POS</v>
      </c>
      <c r="G1117" s="1" t="str">
        <f aca="false">Transactions!G1117</f>
        <v>Utilities</v>
      </c>
      <c r="H1117" s="1" t="n">
        <f aca="false">IF(COUNTIFS($B$2:$B$1489,B1117,$C$2:$C$1489,C1117,$D$2:$D$1489,D1117)&gt;6,1,0)</f>
        <v>0</v>
      </c>
      <c r="I1117" s="1" t="n">
        <f aca="false">IF(AND(F1117="Wire",E1117&gt;=1000,MOD(E1117,1000)=0),1,0)</f>
        <v>0</v>
      </c>
      <c r="J1117" s="1" t="n">
        <f aca="false">IF(AND(F1117="ATM",E1117&gt;2000,D1117&lt;=4),1,0)</f>
        <v>0</v>
      </c>
      <c r="K1117" s="1" t="n">
        <f aca="false">IF(COUNTIF('SQL Findings'!$A$4:$A$18,B1117)&gt;0,1,0)</f>
        <v>0</v>
      </c>
      <c r="L1117" s="1" t="n">
        <f aca="false">SUM(H1117:K1117)</f>
        <v>0</v>
      </c>
      <c r="M1117" s="1" t="str">
        <f aca="false">IF(L1117&gt;=2,"High",IF(L1117=1,"Medium","Low"))</f>
        <v>Low</v>
      </c>
    </row>
    <row r="1118" customFormat="false" ht="15" hidden="false" customHeight="true" outlineLevel="0" collapsed="false">
      <c r="A1118" s="1" t="str">
        <f aca="false">Transactions!A1118</f>
        <v>TXN500904</v>
      </c>
      <c r="B1118" s="1" t="str">
        <f aca="false">Transactions!B1118</f>
        <v>ACC1039</v>
      </c>
      <c r="C1118" s="1" t="str">
        <f aca="false">Transactions!I1118</f>
        <v>2026-03-10</v>
      </c>
      <c r="D1118" s="1" t="n">
        <f aca="false">Transactions!J1118</f>
        <v>8</v>
      </c>
      <c r="E1118" s="1" t="n">
        <f aca="false">Transactions!D1118</f>
        <v>210.74</v>
      </c>
      <c r="F1118" s="1" t="str">
        <f aca="false">Transactions!H1118</f>
        <v>POS</v>
      </c>
      <c r="G1118" s="1" t="str">
        <f aca="false">Transactions!G1118</f>
        <v>Wire Transfer</v>
      </c>
      <c r="H1118" s="1" t="n">
        <f aca="false">IF(COUNTIFS($B$2:$B$1489,B1118,$C$2:$C$1489,C1118,$D$2:$D$1489,D1118)&gt;6,1,0)</f>
        <v>0</v>
      </c>
      <c r="I1118" s="1" t="n">
        <f aca="false">IF(AND(F1118="Wire",E1118&gt;=1000,MOD(E1118,1000)=0),1,0)</f>
        <v>0</v>
      </c>
      <c r="J1118" s="1" t="n">
        <f aca="false">IF(AND(F1118="ATM",E1118&gt;2000,D1118&lt;=4),1,0)</f>
        <v>0</v>
      </c>
      <c r="K1118" s="1" t="n">
        <f aca="false">IF(COUNTIF('SQL Findings'!$A$4:$A$18,B1118)&gt;0,1,0)</f>
        <v>0</v>
      </c>
      <c r="L1118" s="1" t="n">
        <f aca="false">SUM(H1118:K1118)</f>
        <v>0</v>
      </c>
      <c r="M1118" s="1" t="str">
        <f aca="false">IF(L1118&gt;=2,"High",IF(L1118=1,"Medium","Low"))</f>
        <v>Low</v>
      </c>
    </row>
    <row r="1119" customFormat="false" ht="15" hidden="false" customHeight="true" outlineLevel="0" collapsed="false">
      <c r="A1119" s="1" t="str">
        <f aca="false">Transactions!A1119</f>
        <v>TXN500661</v>
      </c>
      <c r="B1119" s="1" t="str">
        <f aca="false">Transactions!B1119</f>
        <v>ACC1028</v>
      </c>
      <c r="C1119" s="1" t="str">
        <f aca="false">Transactions!I1119</f>
        <v>2026-03-10</v>
      </c>
      <c r="D1119" s="1" t="n">
        <f aca="false">Transactions!J1119</f>
        <v>9</v>
      </c>
      <c r="E1119" s="1" t="n">
        <f aca="false">Transactions!D1119</f>
        <v>39.79</v>
      </c>
      <c r="F1119" s="1" t="str">
        <f aca="false">Transactions!H1119</f>
        <v>Online</v>
      </c>
      <c r="G1119" s="1" t="str">
        <f aca="false">Transactions!G1119</f>
        <v>Electronics</v>
      </c>
      <c r="H1119" s="1" t="n">
        <f aca="false">IF(COUNTIFS($B$2:$B$1489,B1119,$C$2:$C$1489,C1119,$D$2:$D$1489,D1119)&gt;6,1,0)</f>
        <v>0</v>
      </c>
      <c r="I1119" s="1" t="n">
        <f aca="false">IF(AND(F1119="Wire",E1119&gt;=1000,MOD(E1119,1000)=0),1,0)</f>
        <v>0</v>
      </c>
      <c r="J1119" s="1" t="n">
        <f aca="false">IF(AND(F1119="ATM",E1119&gt;2000,D1119&lt;=4),1,0)</f>
        <v>0</v>
      </c>
      <c r="K1119" s="1" t="n">
        <f aca="false">IF(COUNTIF('SQL Findings'!$A$4:$A$18,B1119)&gt;0,1,0)</f>
        <v>0</v>
      </c>
      <c r="L1119" s="1" t="n">
        <f aca="false">SUM(H1119:K1119)</f>
        <v>0</v>
      </c>
      <c r="M1119" s="1" t="str">
        <f aca="false">IF(L1119&gt;=2,"High",IF(L1119=1,"Medium","Low"))</f>
        <v>Low</v>
      </c>
    </row>
    <row r="1120" customFormat="false" ht="15" hidden="false" customHeight="true" outlineLevel="0" collapsed="false">
      <c r="A1120" s="1" t="str">
        <f aca="false">Transactions!A1120</f>
        <v>TXN500202</v>
      </c>
      <c r="B1120" s="1" t="str">
        <f aca="false">Transactions!B1120</f>
        <v>ACC1008</v>
      </c>
      <c r="C1120" s="1" t="str">
        <f aca="false">Transactions!I1120</f>
        <v>2026-03-10</v>
      </c>
      <c r="D1120" s="1" t="n">
        <f aca="false">Transactions!J1120</f>
        <v>10</v>
      </c>
      <c r="E1120" s="1" t="n">
        <f aca="false">Transactions!D1120</f>
        <v>110.47</v>
      </c>
      <c r="F1120" s="1" t="str">
        <f aca="false">Transactions!H1120</f>
        <v>ATM</v>
      </c>
      <c r="G1120" s="1" t="str">
        <f aca="false">Transactions!G1120</f>
        <v>Online Marketplace</v>
      </c>
      <c r="H1120" s="1" t="n">
        <f aca="false">IF(COUNTIFS($B$2:$B$1489,B1120,$C$2:$C$1489,C1120,$D$2:$D$1489,D1120)&gt;6,1,0)</f>
        <v>0</v>
      </c>
      <c r="I1120" s="1" t="n">
        <f aca="false">IF(AND(F1120="Wire",E1120&gt;=1000,MOD(E1120,1000)=0),1,0)</f>
        <v>0</v>
      </c>
      <c r="J1120" s="1" t="n">
        <f aca="false">IF(AND(F1120="ATM",E1120&gt;2000,D1120&lt;=4),1,0)</f>
        <v>0</v>
      </c>
      <c r="K1120" s="1" t="n">
        <f aca="false">IF(COUNTIF('SQL Findings'!$A$4:$A$18,B1120)&gt;0,1,0)</f>
        <v>0</v>
      </c>
      <c r="L1120" s="1" t="n">
        <f aca="false">SUM(H1120:K1120)</f>
        <v>0</v>
      </c>
      <c r="M1120" s="1" t="str">
        <f aca="false">IF(L1120&gt;=2,"High",IF(L1120=1,"Medium","Low"))</f>
        <v>Low</v>
      </c>
    </row>
    <row r="1121" customFormat="false" ht="15" hidden="false" customHeight="true" outlineLevel="0" collapsed="false">
      <c r="A1121" s="1" t="str">
        <f aca="false">Transactions!A1121</f>
        <v>TXN501011</v>
      </c>
      <c r="B1121" s="1" t="str">
        <f aca="false">Transactions!B1121</f>
        <v>ACC1044</v>
      </c>
      <c r="C1121" s="1" t="str">
        <f aca="false">Transactions!I1121</f>
        <v>2026-03-10</v>
      </c>
      <c r="D1121" s="1" t="n">
        <f aca="false">Transactions!J1121</f>
        <v>10</v>
      </c>
      <c r="E1121" s="1" t="n">
        <f aca="false">Transactions!D1121</f>
        <v>218.25</v>
      </c>
      <c r="F1121" s="1" t="str">
        <f aca="false">Transactions!H1121</f>
        <v>ATM</v>
      </c>
      <c r="G1121" s="1" t="str">
        <f aca="false">Transactions!G1121</f>
        <v>Utilities</v>
      </c>
      <c r="H1121" s="1" t="n">
        <f aca="false">IF(COUNTIFS($B$2:$B$1489,B1121,$C$2:$C$1489,C1121,$D$2:$D$1489,D1121)&gt;6,1,0)</f>
        <v>0</v>
      </c>
      <c r="I1121" s="1" t="n">
        <f aca="false">IF(AND(F1121="Wire",E1121&gt;=1000,MOD(E1121,1000)=0),1,0)</f>
        <v>0</v>
      </c>
      <c r="J1121" s="1" t="n">
        <f aca="false">IF(AND(F1121="ATM",E1121&gt;2000,D1121&lt;=4),1,0)</f>
        <v>0</v>
      </c>
      <c r="K1121" s="1" t="n">
        <f aca="false">IF(COUNTIF('SQL Findings'!$A$4:$A$18,B1121)&gt;0,1,0)</f>
        <v>0</v>
      </c>
      <c r="L1121" s="1" t="n">
        <f aca="false">SUM(H1121:K1121)</f>
        <v>0</v>
      </c>
      <c r="M1121" s="1" t="str">
        <f aca="false">IF(L1121&gt;=2,"High",IF(L1121=1,"Medium","Low"))</f>
        <v>Low</v>
      </c>
    </row>
    <row r="1122" customFormat="false" ht="15" hidden="false" customHeight="true" outlineLevel="0" collapsed="false">
      <c r="A1122" s="1" t="str">
        <f aca="false">Transactions!A1122</f>
        <v>TXN500626</v>
      </c>
      <c r="B1122" s="1" t="str">
        <f aca="false">Transactions!B1122</f>
        <v>ACC1027</v>
      </c>
      <c r="C1122" s="1" t="str">
        <f aca="false">Transactions!I1122</f>
        <v>2026-03-10</v>
      </c>
      <c r="D1122" s="1" t="n">
        <f aca="false">Transactions!J1122</f>
        <v>10</v>
      </c>
      <c r="E1122" s="1" t="n">
        <f aca="false">Transactions!D1122</f>
        <v>42.09</v>
      </c>
      <c r="F1122" s="1" t="str">
        <f aca="false">Transactions!H1122</f>
        <v>Online</v>
      </c>
      <c r="G1122" s="1" t="str">
        <f aca="false">Transactions!G1122</f>
        <v>Dining</v>
      </c>
      <c r="H1122" s="1" t="n">
        <f aca="false">IF(COUNTIFS($B$2:$B$1489,B1122,$C$2:$C$1489,C1122,$D$2:$D$1489,D1122)&gt;6,1,0)</f>
        <v>0</v>
      </c>
      <c r="I1122" s="1" t="n">
        <f aca="false">IF(AND(F1122="Wire",E1122&gt;=1000,MOD(E1122,1000)=0),1,0)</f>
        <v>0</v>
      </c>
      <c r="J1122" s="1" t="n">
        <f aca="false">IF(AND(F1122="ATM",E1122&gt;2000,D1122&lt;=4),1,0)</f>
        <v>0</v>
      </c>
      <c r="K1122" s="1" t="n">
        <f aca="false">IF(COUNTIF('SQL Findings'!$A$4:$A$18,B1122)&gt;0,1,0)</f>
        <v>0</v>
      </c>
      <c r="L1122" s="1" t="n">
        <f aca="false">SUM(H1122:K1122)</f>
        <v>0</v>
      </c>
      <c r="M1122" s="1" t="str">
        <f aca="false">IF(L1122&gt;=2,"High",IF(L1122=1,"Medium","Low"))</f>
        <v>Low</v>
      </c>
    </row>
    <row r="1123" customFormat="false" ht="15" hidden="false" customHeight="true" outlineLevel="0" collapsed="false">
      <c r="A1123" s="1" t="str">
        <f aca="false">Transactions!A1123</f>
        <v>TXN501301</v>
      </c>
      <c r="B1123" s="1" t="str">
        <f aca="false">Transactions!B1123</f>
        <v>ACC1056</v>
      </c>
      <c r="C1123" s="1" t="str">
        <f aca="false">Transactions!I1123</f>
        <v>2026-03-10</v>
      </c>
      <c r="D1123" s="1" t="n">
        <f aca="false">Transactions!J1123</f>
        <v>11</v>
      </c>
      <c r="E1123" s="1" t="n">
        <f aca="false">Transactions!D1123</f>
        <v>36.55</v>
      </c>
      <c r="F1123" s="1" t="str">
        <f aca="false">Transactions!H1123</f>
        <v>POS</v>
      </c>
      <c r="G1123" s="1" t="str">
        <f aca="false">Transactions!G1123</f>
        <v>Wire Transfer</v>
      </c>
      <c r="H1123" s="1" t="n">
        <f aca="false">IF(COUNTIFS($B$2:$B$1489,B1123,$C$2:$C$1489,C1123,$D$2:$D$1489,D1123)&gt;6,1,0)</f>
        <v>0</v>
      </c>
      <c r="I1123" s="1" t="n">
        <f aca="false">IF(AND(F1123="Wire",E1123&gt;=1000,MOD(E1123,1000)=0),1,0)</f>
        <v>0</v>
      </c>
      <c r="J1123" s="1" t="n">
        <f aca="false">IF(AND(F1123="ATM",E1123&gt;2000,D1123&lt;=4),1,0)</f>
        <v>0</v>
      </c>
      <c r="K1123" s="1" t="n">
        <f aca="false">IF(COUNTIF('SQL Findings'!$A$4:$A$18,B1123)&gt;0,1,0)</f>
        <v>0</v>
      </c>
      <c r="L1123" s="1" t="n">
        <f aca="false">SUM(H1123:K1123)</f>
        <v>0</v>
      </c>
      <c r="M1123" s="1" t="str">
        <f aca="false">IF(L1123&gt;=2,"High",IF(L1123=1,"Medium","Low"))</f>
        <v>Low</v>
      </c>
    </row>
    <row r="1124" customFormat="false" ht="15" hidden="false" customHeight="true" outlineLevel="0" collapsed="false">
      <c r="A1124" s="1" t="str">
        <f aca="false">Transactions!A1124</f>
        <v>TXN500500</v>
      </c>
      <c r="B1124" s="1" t="str">
        <f aca="false">Transactions!B1124</f>
        <v>ACC1022</v>
      </c>
      <c r="C1124" s="1" t="str">
        <f aca="false">Transactions!I1124</f>
        <v>2026-03-10</v>
      </c>
      <c r="D1124" s="1" t="n">
        <f aca="false">Transactions!J1124</f>
        <v>11</v>
      </c>
      <c r="E1124" s="1" t="n">
        <f aca="false">Transactions!D1124</f>
        <v>19.21</v>
      </c>
      <c r="F1124" s="1" t="str">
        <f aca="false">Transactions!H1124</f>
        <v>Online</v>
      </c>
      <c r="G1124" s="1" t="str">
        <f aca="false">Transactions!G1124</f>
        <v>Dining</v>
      </c>
      <c r="H1124" s="1" t="n">
        <f aca="false">IF(COUNTIFS($B$2:$B$1489,B1124,$C$2:$C$1489,C1124,$D$2:$D$1489,D1124)&gt;6,1,0)</f>
        <v>0</v>
      </c>
      <c r="I1124" s="1" t="n">
        <f aca="false">IF(AND(F1124="Wire",E1124&gt;=1000,MOD(E1124,1000)=0),1,0)</f>
        <v>0</v>
      </c>
      <c r="J1124" s="1" t="n">
        <f aca="false">IF(AND(F1124="ATM",E1124&gt;2000,D1124&lt;=4),1,0)</f>
        <v>0</v>
      </c>
      <c r="K1124" s="1" t="n">
        <f aca="false">IF(COUNTIF('SQL Findings'!$A$4:$A$18,B1124)&gt;0,1,0)</f>
        <v>0</v>
      </c>
      <c r="L1124" s="1" t="n">
        <f aca="false">SUM(H1124:K1124)</f>
        <v>0</v>
      </c>
      <c r="M1124" s="1" t="str">
        <f aca="false">IF(L1124&gt;=2,"High",IF(L1124=1,"Medium","Low"))</f>
        <v>Low</v>
      </c>
    </row>
    <row r="1125" customFormat="false" ht="15" hidden="false" customHeight="true" outlineLevel="0" collapsed="false">
      <c r="A1125" s="1" t="str">
        <f aca="false">Transactions!A1125</f>
        <v>TXN501420</v>
      </c>
      <c r="B1125" s="1" t="str">
        <f aca="false">Transactions!B1125</f>
        <v>ACC1005</v>
      </c>
      <c r="C1125" s="1" t="str">
        <f aca="false">Transactions!I1125</f>
        <v>2026-03-10</v>
      </c>
      <c r="D1125" s="1" t="n">
        <f aca="false">Transactions!J1125</f>
        <v>14</v>
      </c>
      <c r="E1125" s="1" t="n">
        <f aca="false">Transactions!D1125</f>
        <v>514.38</v>
      </c>
      <c r="F1125" s="1" t="str">
        <f aca="false">Transactions!H1125</f>
        <v>Online</v>
      </c>
      <c r="G1125" s="1" t="str">
        <f aca="false">Transactions!G1125</f>
        <v>Online Marketplace</v>
      </c>
      <c r="H1125" s="1" t="n">
        <f aca="false">IF(COUNTIFS($B$2:$B$1489,B1125,$C$2:$C$1489,C1125,$D$2:$D$1489,D1125)&gt;6,1,0)</f>
        <v>1</v>
      </c>
      <c r="I1125" s="1" t="n">
        <f aca="false">IF(AND(F1125="Wire",E1125&gt;=1000,MOD(E1125,1000)=0),1,0)</f>
        <v>0</v>
      </c>
      <c r="J1125" s="1" t="n">
        <f aca="false">IF(AND(F1125="ATM",E1125&gt;2000,D1125&lt;=4),1,0)</f>
        <v>0</v>
      </c>
      <c r="K1125" s="1" t="n">
        <f aca="false">IF(COUNTIF('SQL Findings'!$A$4:$A$18,B1125)&gt;0,1,0)</f>
        <v>0</v>
      </c>
      <c r="L1125" s="1" t="n">
        <f aca="false">SUM(H1125:K1125)</f>
        <v>1</v>
      </c>
      <c r="M1125" s="1" t="str">
        <f aca="false">IF(L1125&gt;=2,"High",IF(L1125=1,"Medium","Low"))</f>
        <v>Medium</v>
      </c>
    </row>
    <row r="1126" customFormat="false" ht="15" hidden="false" customHeight="true" outlineLevel="0" collapsed="false">
      <c r="A1126" s="1" t="str">
        <f aca="false">Transactions!A1126</f>
        <v>TXN501421</v>
      </c>
      <c r="B1126" s="1" t="str">
        <f aca="false">Transactions!B1126</f>
        <v>ACC1005</v>
      </c>
      <c r="C1126" s="1" t="str">
        <f aca="false">Transactions!I1126</f>
        <v>2026-03-10</v>
      </c>
      <c r="D1126" s="1" t="n">
        <f aca="false">Transactions!J1126</f>
        <v>14</v>
      </c>
      <c r="E1126" s="1" t="n">
        <f aca="false">Transactions!D1126</f>
        <v>113.26</v>
      </c>
      <c r="F1126" s="1" t="str">
        <f aca="false">Transactions!H1126</f>
        <v>Online</v>
      </c>
      <c r="G1126" s="1" t="str">
        <f aca="false">Transactions!G1126</f>
        <v>Online Marketplace</v>
      </c>
      <c r="H1126" s="1" t="n">
        <f aca="false">IF(COUNTIFS($B$2:$B$1489,B1126,$C$2:$C$1489,C1126,$D$2:$D$1489,D1126)&gt;6,1,0)</f>
        <v>1</v>
      </c>
      <c r="I1126" s="1" t="n">
        <f aca="false">IF(AND(F1126="Wire",E1126&gt;=1000,MOD(E1126,1000)=0),1,0)</f>
        <v>0</v>
      </c>
      <c r="J1126" s="1" t="n">
        <f aca="false">IF(AND(F1126="ATM",E1126&gt;2000,D1126&lt;=4),1,0)</f>
        <v>0</v>
      </c>
      <c r="K1126" s="1" t="n">
        <f aca="false">IF(COUNTIF('SQL Findings'!$A$4:$A$18,B1126)&gt;0,1,0)</f>
        <v>0</v>
      </c>
      <c r="L1126" s="1" t="n">
        <f aca="false">SUM(H1126:K1126)</f>
        <v>1</v>
      </c>
      <c r="M1126" s="1" t="str">
        <f aca="false">IF(L1126&gt;=2,"High",IF(L1126=1,"Medium","Low"))</f>
        <v>Medium</v>
      </c>
    </row>
    <row r="1127" customFormat="false" ht="15" hidden="false" customHeight="true" outlineLevel="0" collapsed="false">
      <c r="A1127" s="1" t="str">
        <f aca="false">Transactions!A1127</f>
        <v>TXN501422</v>
      </c>
      <c r="B1127" s="1" t="str">
        <f aca="false">Transactions!B1127</f>
        <v>ACC1005</v>
      </c>
      <c r="C1127" s="1" t="str">
        <f aca="false">Transactions!I1127</f>
        <v>2026-03-10</v>
      </c>
      <c r="D1127" s="1" t="n">
        <f aca="false">Transactions!J1127</f>
        <v>14</v>
      </c>
      <c r="E1127" s="1" t="n">
        <f aca="false">Transactions!D1127</f>
        <v>505.08</v>
      </c>
      <c r="F1127" s="1" t="str">
        <f aca="false">Transactions!H1127</f>
        <v>Online</v>
      </c>
      <c r="G1127" s="1" t="str">
        <f aca="false">Transactions!G1127</f>
        <v>Online Marketplace</v>
      </c>
      <c r="H1127" s="1" t="n">
        <f aca="false">IF(COUNTIFS($B$2:$B$1489,B1127,$C$2:$C$1489,C1127,$D$2:$D$1489,D1127)&gt;6,1,0)</f>
        <v>1</v>
      </c>
      <c r="I1127" s="1" t="n">
        <f aca="false">IF(AND(F1127="Wire",E1127&gt;=1000,MOD(E1127,1000)=0),1,0)</f>
        <v>0</v>
      </c>
      <c r="J1127" s="1" t="n">
        <f aca="false">IF(AND(F1127="ATM",E1127&gt;2000,D1127&lt;=4),1,0)</f>
        <v>0</v>
      </c>
      <c r="K1127" s="1" t="n">
        <f aca="false">IF(COUNTIF('SQL Findings'!$A$4:$A$18,B1127)&gt;0,1,0)</f>
        <v>0</v>
      </c>
      <c r="L1127" s="1" t="n">
        <f aca="false">SUM(H1127:K1127)</f>
        <v>1</v>
      </c>
      <c r="M1127" s="1" t="str">
        <f aca="false">IF(L1127&gt;=2,"High",IF(L1127=1,"Medium","Low"))</f>
        <v>Medium</v>
      </c>
    </row>
    <row r="1128" customFormat="false" ht="15" hidden="false" customHeight="true" outlineLevel="0" collapsed="false">
      <c r="A1128" s="1" t="str">
        <f aca="false">Transactions!A1128</f>
        <v>TXN501423</v>
      </c>
      <c r="B1128" s="1" t="str">
        <f aca="false">Transactions!B1128</f>
        <v>ACC1005</v>
      </c>
      <c r="C1128" s="1" t="str">
        <f aca="false">Transactions!I1128</f>
        <v>2026-03-10</v>
      </c>
      <c r="D1128" s="1" t="n">
        <f aca="false">Transactions!J1128</f>
        <v>14</v>
      </c>
      <c r="E1128" s="1" t="n">
        <f aca="false">Transactions!D1128</f>
        <v>139.37</v>
      </c>
      <c r="F1128" s="1" t="str">
        <f aca="false">Transactions!H1128</f>
        <v>Online</v>
      </c>
      <c r="G1128" s="1" t="str">
        <f aca="false">Transactions!G1128</f>
        <v>Online Marketplace</v>
      </c>
      <c r="H1128" s="1" t="n">
        <f aca="false">IF(COUNTIFS($B$2:$B$1489,B1128,$C$2:$C$1489,C1128,$D$2:$D$1489,D1128)&gt;6,1,0)</f>
        <v>1</v>
      </c>
      <c r="I1128" s="1" t="n">
        <f aca="false">IF(AND(F1128="Wire",E1128&gt;=1000,MOD(E1128,1000)=0),1,0)</f>
        <v>0</v>
      </c>
      <c r="J1128" s="1" t="n">
        <f aca="false">IF(AND(F1128="ATM",E1128&gt;2000,D1128&lt;=4),1,0)</f>
        <v>0</v>
      </c>
      <c r="K1128" s="1" t="n">
        <f aca="false">IF(COUNTIF('SQL Findings'!$A$4:$A$18,B1128)&gt;0,1,0)</f>
        <v>0</v>
      </c>
      <c r="L1128" s="1" t="n">
        <f aca="false">SUM(H1128:K1128)</f>
        <v>1</v>
      </c>
      <c r="M1128" s="1" t="str">
        <f aca="false">IF(L1128&gt;=2,"High",IF(L1128=1,"Medium","Low"))</f>
        <v>Medium</v>
      </c>
    </row>
    <row r="1129" customFormat="false" ht="15" hidden="false" customHeight="true" outlineLevel="0" collapsed="false">
      <c r="A1129" s="1" t="str">
        <f aca="false">Transactions!A1129</f>
        <v>TXN500511</v>
      </c>
      <c r="B1129" s="1" t="str">
        <f aca="false">Transactions!B1129</f>
        <v>ACC1023</v>
      </c>
      <c r="C1129" s="1" t="str">
        <f aca="false">Transactions!I1129</f>
        <v>2026-03-10</v>
      </c>
      <c r="D1129" s="1" t="n">
        <f aca="false">Transactions!J1129</f>
        <v>14</v>
      </c>
      <c r="E1129" s="1" t="n">
        <f aca="false">Transactions!D1129</f>
        <v>85.06</v>
      </c>
      <c r="F1129" s="1" t="str">
        <f aca="false">Transactions!H1129</f>
        <v>Online</v>
      </c>
      <c r="G1129" s="1" t="str">
        <f aca="false">Transactions!G1129</f>
        <v>Utilities</v>
      </c>
      <c r="H1129" s="1" t="n">
        <f aca="false">IF(COUNTIFS($B$2:$B$1489,B1129,$C$2:$C$1489,C1129,$D$2:$D$1489,D1129)&gt;6,1,0)</f>
        <v>0</v>
      </c>
      <c r="I1129" s="1" t="n">
        <f aca="false">IF(AND(F1129="Wire",E1129&gt;=1000,MOD(E1129,1000)=0),1,0)</f>
        <v>0</v>
      </c>
      <c r="J1129" s="1" t="n">
        <f aca="false">IF(AND(F1129="ATM",E1129&gt;2000,D1129&lt;=4),1,0)</f>
        <v>0</v>
      </c>
      <c r="K1129" s="1" t="n">
        <f aca="false">IF(COUNTIF('SQL Findings'!$A$4:$A$18,B1129)&gt;0,1,0)</f>
        <v>0</v>
      </c>
      <c r="L1129" s="1" t="n">
        <f aca="false">SUM(H1129:K1129)</f>
        <v>0</v>
      </c>
      <c r="M1129" s="1" t="str">
        <f aca="false">IF(L1129&gt;=2,"High",IF(L1129=1,"Medium","Low"))</f>
        <v>Low</v>
      </c>
    </row>
    <row r="1130" customFormat="false" ht="15" hidden="false" customHeight="true" outlineLevel="0" collapsed="false">
      <c r="A1130" s="1" t="str">
        <f aca="false">Transactions!A1130</f>
        <v>TXN501424</v>
      </c>
      <c r="B1130" s="1" t="str">
        <f aca="false">Transactions!B1130</f>
        <v>ACC1005</v>
      </c>
      <c r="C1130" s="1" t="str">
        <f aca="false">Transactions!I1130</f>
        <v>2026-03-10</v>
      </c>
      <c r="D1130" s="1" t="n">
        <f aca="false">Transactions!J1130</f>
        <v>14</v>
      </c>
      <c r="E1130" s="1" t="n">
        <f aca="false">Transactions!D1130</f>
        <v>389.39</v>
      </c>
      <c r="F1130" s="1" t="str">
        <f aca="false">Transactions!H1130</f>
        <v>Online</v>
      </c>
      <c r="G1130" s="1" t="str">
        <f aca="false">Transactions!G1130</f>
        <v>Online Marketplace</v>
      </c>
      <c r="H1130" s="1" t="n">
        <f aca="false">IF(COUNTIFS($B$2:$B$1489,B1130,$C$2:$C$1489,C1130,$D$2:$D$1489,D1130)&gt;6,1,0)</f>
        <v>1</v>
      </c>
      <c r="I1130" s="1" t="n">
        <f aca="false">IF(AND(F1130="Wire",E1130&gt;=1000,MOD(E1130,1000)=0),1,0)</f>
        <v>0</v>
      </c>
      <c r="J1130" s="1" t="n">
        <f aca="false">IF(AND(F1130="ATM",E1130&gt;2000,D1130&lt;=4),1,0)</f>
        <v>0</v>
      </c>
      <c r="K1130" s="1" t="n">
        <f aca="false">IF(COUNTIF('SQL Findings'!$A$4:$A$18,B1130)&gt;0,1,0)</f>
        <v>0</v>
      </c>
      <c r="L1130" s="1" t="n">
        <f aca="false">SUM(H1130:K1130)</f>
        <v>1</v>
      </c>
      <c r="M1130" s="1" t="str">
        <f aca="false">IF(L1130&gt;=2,"High",IF(L1130=1,"Medium","Low"))</f>
        <v>Medium</v>
      </c>
    </row>
    <row r="1131" customFormat="false" ht="15" hidden="false" customHeight="true" outlineLevel="0" collapsed="false">
      <c r="A1131" s="1" t="str">
        <f aca="false">Transactions!A1131</f>
        <v>TXN501425</v>
      </c>
      <c r="B1131" s="1" t="str">
        <f aca="false">Transactions!B1131</f>
        <v>ACC1005</v>
      </c>
      <c r="C1131" s="1" t="str">
        <f aca="false">Transactions!I1131</f>
        <v>2026-03-10</v>
      </c>
      <c r="D1131" s="1" t="n">
        <f aca="false">Transactions!J1131</f>
        <v>14</v>
      </c>
      <c r="E1131" s="1" t="n">
        <f aca="false">Transactions!D1131</f>
        <v>400.13</v>
      </c>
      <c r="F1131" s="1" t="str">
        <f aca="false">Transactions!H1131</f>
        <v>Online</v>
      </c>
      <c r="G1131" s="1" t="str">
        <f aca="false">Transactions!G1131</f>
        <v>Online Marketplace</v>
      </c>
      <c r="H1131" s="1" t="n">
        <f aca="false">IF(COUNTIFS($B$2:$B$1489,B1131,$C$2:$C$1489,C1131,$D$2:$D$1489,D1131)&gt;6,1,0)</f>
        <v>1</v>
      </c>
      <c r="I1131" s="1" t="n">
        <f aca="false">IF(AND(F1131="Wire",E1131&gt;=1000,MOD(E1131,1000)=0),1,0)</f>
        <v>0</v>
      </c>
      <c r="J1131" s="1" t="n">
        <f aca="false">IF(AND(F1131="ATM",E1131&gt;2000,D1131&lt;=4),1,0)</f>
        <v>0</v>
      </c>
      <c r="K1131" s="1" t="n">
        <f aca="false">IF(COUNTIF('SQL Findings'!$A$4:$A$18,B1131)&gt;0,1,0)</f>
        <v>0</v>
      </c>
      <c r="L1131" s="1" t="n">
        <f aca="false">SUM(H1131:K1131)</f>
        <v>1</v>
      </c>
      <c r="M1131" s="1" t="str">
        <f aca="false">IF(L1131&gt;=2,"High",IF(L1131=1,"Medium","Low"))</f>
        <v>Medium</v>
      </c>
    </row>
    <row r="1132" customFormat="false" ht="15" hidden="false" customHeight="true" outlineLevel="0" collapsed="false">
      <c r="A1132" s="1" t="str">
        <f aca="false">Transactions!A1132</f>
        <v>TXN501426</v>
      </c>
      <c r="B1132" s="1" t="str">
        <f aca="false">Transactions!B1132</f>
        <v>ACC1005</v>
      </c>
      <c r="C1132" s="1" t="str">
        <f aca="false">Transactions!I1132</f>
        <v>2026-03-10</v>
      </c>
      <c r="D1132" s="1" t="n">
        <f aca="false">Transactions!J1132</f>
        <v>14</v>
      </c>
      <c r="E1132" s="1" t="n">
        <f aca="false">Transactions!D1132</f>
        <v>112.82</v>
      </c>
      <c r="F1132" s="1" t="str">
        <f aca="false">Transactions!H1132</f>
        <v>Online</v>
      </c>
      <c r="G1132" s="1" t="str">
        <f aca="false">Transactions!G1132</f>
        <v>Online Marketplace</v>
      </c>
      <c r="H1132" s="1" t="n">
        <f aca="false">IF(COUNTIFS($B$2:$B$1489,B1132,$C$2:$C$1489,C1132,$D$2:$D$1489,D1132)&gt;6,1,0)</f>
        <v>1</v>
      </c>
      <c r="I1132" s="1" t="n">
        <f aca="false">IF(AND(F1132="Wire",E1132&gt;=1000,MOD(E1132,1000)=0),1,0)</f>
        <v>0</v>
      </c>
      <c r="J1132" s="1" t="n">
        <f aca="false">IF(AND(F1132="ATM",E1132&gt;2000,D1132&lt;=4),1,0)</f>
        <v>0</v>
      </c>
      <c r="K1132" s="1" t="n">
        <f aca="false">IF(COUNTIF('SQL Findings'!$A$4:$A$18,B1132)&gt;0,1,0)</f>
        <v>0</v>
      </c>
      <c r="L1132" s="1" t="n">
        <f aca="false">SUM(H1132:K1132)</f>
        <v>1</v>
      </c>
      <c r="M1132" s="1" t="str">
        <f aca="false">IF(L1132&gt;=2,"High",IF(L1132=1,"Medium","Low"))</f>
        <v>Medium</v>
      </c>
    </row>
    <row r="1133" customFormat="false" ht="15" hidden="false" customHeight="true" outlineLevel="0" collapsed="false">
      <c r="A1133" s="1" t="str">
        <f aca="false">Transactions!A1133</f>
        <v>TXN501427</v>
      </c>
      <c r="B1133" s="1" t="str">
        <f aca="false">Transactions!B1133</f>
        <v>ACC1005</v>
      </c>
      <c r="C1133" s="1" t="str">
        <f aca="false">Transactions!I1133</f>
        <v>2026-03-10</v>
      </c>
      <c r="D1133" s="1" t="n">
        <f aca="false">Transactions!J1133</f>
        <v>14</v>
      </c>
      <c r="E1133" s="1" t="n">
        <f aca="false">Transactions!D1133</f>
        <v>185.37</v>
      </c>
      <c r="F1133" s="1" t="str">
        <f aca="false">Transactions!H1133</f>
        <v>Online</v>
      </c>
      <c r="G1133" s="1" t="str">
        <f aca="false">Transactions!G1133</f>
        <v>Online Marketplace</v>
      </c>
      <c r="H1133" s="1" t="n">
        <f aca="false">IF(COUNTIFS($B$2:$B$1489,B1133,$C$2:$C$1489,C1133,$D$2:$D$1489,D1133)&gt;6,1,0)</f>
        <v>1</v>
      </c>
      <c r="I1133" s="1" t="n">
        <f aca="false">IF(AND(F1133="Wire",E1133&gt;=1000,MOD(E1133,1000)=0),1,0)</f>
        <v>0</v>
      </c>
      <c r="J1133" s="1" t="n">
        <f aca="false">IF(AND(F1133="ATM",E1133&gt;2000,D1133&lt;=4),1,0)</f>
        <v>0</v>
      </c>
      <c r="K1133" s="1" t="n">
        <f aca="false">IF(COUNTIF('SQL Findings'!$A$4:$A$18,B1133)&gt;0,1,0)</f>
        <v>0</v>
      </c>
      <c r="L1133" s="1" t="n">
        <f aca="false">SUM(H1133:K1133)</f>
        <v>1</v>
      </c>
      <c r="M1133" s="1" t="str">
        <f aca="false">IF(L1133&gt;=2,"High",IF(L1133=1,"Medium","Low"))</f>
        <v>Medium</v>
      </c>
    </row>
    <row r="1134" customFormat="false" ht="15" hidden="false" customHeight="true" outlineLevel="0" collapsed="false">
      <c r="A1134" s="1" t="str">
        <f aca="false">Transactions!A1134</f>
        <v>TXN501356</v>
      </c>
      <c r="B1134" s="1" t="str">
        <f aca="false">Transactions!B1134</f>
        <v>ACC1059</v>
      </c>
      <c r="C1134" s="1" t="str">
        <f aca="false">Transactions!I1134</f>
        <v>2026-03-10</v>
      </c>
      <c r="D1134" s="1" t="n">
        <f aca="false">Transactions!J1134</f>
        <v>14</v>
      </c>
      <c r="E1134" s="1" t="n">
        <f aca="false">Transactions!D1134</f>
        <v>6.48</v>
      </c>
      <c r="F1134" s="1" t="str">
        <f aca="false">Transactions!H1134</f>
        <v>ATM</v>
      </c>
      <c r="G1134" s="1" t="str">
        <f aca="false">Transactions!G1134</f>
        <v>Wire Transfer</v>
      </c>
      <c r="H1134" s="1" t="n">
        <f aca="false">IF(COUNTIFS($B$2:$B$1489,B1134,$C$2:$C$1489,C1134,$D$2:$D$1489,D1134)&gt;6,1,0)</f>
        <v>0</v>
      </c>
      <c r="I1134" s="1" t="n">
        <f aca="false">IF(AND(F1134="Wire",E1134&gt;=1000,MOD(E1134,1000)=0),1,0)</f>
        <v>0</v>
      </c>
      <c r="J1134" s="1" t="n">
        <f aca="false">IF(AND(F1134="ATM",E1134&gt;2000,D1134&lt;=4),1,0)</f>
        <v>0</v>
      </c>
      <c r="K1134" s="1" t="n">
        <f aca="false">IF(COUNTIF('SQL Findings'!$A$4:$A$18,B1134)&gt;0,1,0)</f>
        <v>0</v>
      </c>
      <c r="L1134" s="1" t="n">
        <f aca="false">SUM(H1134:K1134)</f>
        <v>0</v>
      </c>
      <c r="M1134" s="1" t="str">
        <f aca="false">IF(L1134&gt;=2,"High",IF(L1134=1,"Medium","Low"))</f>
        <v>Low</v>
      </c>
    </row>
    <row r="1135" customFormat="false" ht="15" hidden="false" customHeight="true" outlineLevel="0" collapsed="false">
      <c r="A1135" s="1" t="str">
        <f aca="false">Transactions!A1135</f>
        <v>TXN501121</v>
      </c>
      <c r="B1135" s="1" t="str">
        <f aca="false">Transactions!B1135</f>
        <v>ACC1049</v>
      </c>
      <c r="C1135" s="1" t="str">
        <f aca="false">Transactions!I1135</f>
        <v>2026-03-10</v>
      </c>
      <c r="D1135" s="1" t="n">
        <f aca="false">Transactions!J1135</f>
        <v>16</v>
      </c>
      <c r="E1135" s="1" t="n">
        <f aca="false">Transactions!D1135</f>
        <v>180.36</v>
      </c>
      <c r="F1135" s="1" t="str">
        <f aca="false">Transactions!H1135</f>
        <v>POS</v>
      </c>
      <c r="G1135" s="1" t="str">
        <f aca="false">Transactions!G1135</f>
        <v>Online Marketplace</v>
      </c>
      <c r="H1135" s="1" t="n">
        <f aca="false">IF(COUNTIFS($B$2:$B$1489,B1135,$C$2:$C$1489,C1135,$D$2:$D$1489,D1135)&gt;6,1,0)</f>
        <v>0</v>
      </c>
      <c r="I1135" s="1" t="n">
        <f aca="false">IF(AND(F1135="Wire",E1135&gt;=1000,MOD(E1135,1000)=0),1,0)</f>
        <v>0</v>
      </c>
      <c r="J1135" s="1" t="n">
        <f aca="false">IF(AND(F1135="ATM",E1135&gt;2000,D1135&lt;=4),1,0)</f>
        <v>0</v>
      </c>
      <c r="K1135" s="1" t="n">
        <f aca="false">IF(COUNTIF('SQL Findings'!$A$4:$A$18,B1135)&gt;0,1,0)</f>
        <v>0</v>
      </c>
      <c r="L1135" s="1" t="n">
        <f aca="false">SUM(H1135:K1135)</f>
        <v>0</v>
      </c>
      <c r="M1135" s="1" t="str">
        <f aca="false">IF(L1135&gt;=2,"High",IF(L1135=1,"Medium","Low"))</f>
        <v>Low</v>
      </c>
    </row>
    <row r="1136" customFormat="false" ht="15" hidden="false" customHeight="true" outlineLevel="0" collapsed="false">
      <c r="A1136" s="1" t="str">
        <f aca="false">Transactions!A1136</f>
        <v>TXN500132</v>
      </c>
      <c r="B1136" s="1" t="str">
        <f aca="false">Transactions!B1136</f>
        <v>ACC1005</v>
      </c>
      <c r="C1136" s="1" t="str">
        <f aca="false">Transactions!I1136</f>
        <v>2026-03-10</v>
      </c>
      <c r="D1136" s="1" t="n">
        <f aca="false">Transactions!J1136</f>
        <v>16</v>
      </c>
      <c r="E1136" s="1" t="n">
        <f aca="false">Transactions!D1136</f>
        <v>70.93</v>
      </c>
      <c r="F1136" s="1" t="str">
        <f aca="false">Transactions!H1136</f>
        <v>ATM</v>
      </c>
      <c r="G1136" s="1" t="str">
        <f aca="false">Transactions!G1136</f>
        <v>Wire Transfer</v>
      </c>
      <c r="H1136" s="1" t="n">
        <f aca="false">IF(COUNTIFS($B$2:$B$1489,B1136,$C$2:$C$1489,C1136,$D$2:$D$1489,D1136)&gt;6,1,0)</f>
        <v>0</v>
      </c>
      <c r="I1136" s="1" t="n">
        <f aca="false">IF(AND(F1136="Wire",E1136&gt;=1000,MOD(E1136,1000)=0),1,0)</f>
        <v>0</v>
      </c>
      <c r="J1136" s="1" t="n">
        <f aca="false">IF(AND(F1136="ATM",E1136&gt;2000,D1136&lt;=4),1,0)</f>
        <v>0</v>
      </c>
      <c r="K1136" s="1" t="n">
        <f aca="false">IF(COUNTIF('SQL Findings'!$A$4:$A$18,B1136)&gt;0,1,0)</f>
        <v>0</v>
      </c>
      <c r="L1136" s="1" t="n">
        <f aca="false">SUM(H1136:K1136)</f>
        <v>0</v>
      </c>
      <c r="M1136" s="1" t="str">
        <f aca="false">IF(L1136&gt;=2,"High",IF(L1136=1,"Medium","Low"))</f>
        <v>Low</v>
      </c>
    </row>
    <row r="1137" customFormat="false" ht="15" hidden="false" customHeight="true" outlineLevel="0" collapsed="false">
      <c r="A1137" s="1" t="str">
        <f aca="false">Transactions!A1137</f>
        <v>TXN500032</v>
      </c>
      <c r="B1137" s="1" t="str">
        <f aca="false">Transactions!B1137</f>
        <v>ACC1001</v>
      </c>
      <c r="C1137" s="1" t="str">
        <f aca="false">Transactions!I1137</f>
        <v>2026-03-11</v>
      </c>
      <c r="D1137" s="1" t="n">
        <f aca="false">Transactions!J1137</f>
        <v>6</v>
      </c>
      <c r="E1137" s="1" t="n">
        <f aca="false">Transactions!D1137</f>
        <v>353.21</v>
      </c>
      <c r="F1137" s="1" t="str">
        <f aca="false">Transactions!H1137</f>
        <v>POS</v>
      </c>
      <c r="G1137" s="1" t="str">
        <f aca="false">Transactions!G1137</f>
        <v>Online Marketplace</v>
      </c>
      <c r="H1137" s="1" t="n">
        <f aca="false">IF(COUNTIFS($B$2:$B$1489,B1137,$C$2:$C$1489,C1137,$D$2:$D$1489,D1137)&gt;6,1,0)</f>
        <v>0</v>
      </c>
      <c r="I1137" s="1" t="n">
        <f aca="false">IF(AND(F1137="Wire",E1137&gt;=1000,MOD(E1137,1000)=0),1,0)</f>
        <v>0</v>
      </c>
      <c r="J1137" s="1" t="n">
        <f aca="false">IF(AND(F1137="ATM",E1137&gt;2000,D1137&lt;=4),1,0)</f>
        <v>0</v>
      </c>
      <c r="K1137" s="1" t="n">
        <f aca="false">IF(COUNTIF('SQL Findings'!$A$4:$A$18,B1137)&gt;0,1,0)</f>
        <v>1</v>
      </c>
      <c r="L1137" s="1" t="n">
        <f aca="false">SUM(H1137:K1137)</f>
        <v>1</v>
      </c>
      <c r="M1137" s="1" t="str">
        <f aca="false">IF(L1137&gt;=2,"High",IF(L1137=1,"Medium","Low"))</f>
        <v>Medium</v>
      </c>
    </row>
    <row r="1138" customFormat="false" ht="15" hidden="false" customHeight="true" outlineLevel="0" collapsed="false">
      <c r="A1138" s="1" t="str">
        <f aca="false">Transactions!A1138</f>
        <v>TXN501320</v>
      </c>
      <c r="B1138" s="1" t="str">
        <f aca="false">Transactions!B1138</f>
        <v>ACC1057</v>
      </c>
      <c r="C1138" s="1" t="str">
        <f aca="false">Transactions!I1138</f>
        <v>2026-03-11</v>
      </c>
      <c r="D1138" s="1" t="n">
        <f aca="false">Transactions!J1138</f>
        <v>7</v>
      </c>
      <c r="E1138" s="1" t="n">
        <f aca="false">Transactions!D1138</f>
        <v>56.36</v>
      </c>
      <c r="F1138" s="1" t="str">
        <f aca="false">Transactions!H1138</f>
        <v>POS</v>
      </c>
      <c r="G1138" s="1" t="str">
        <f aca="false">Transactions!G1138</f>
        <v>Online Marketplace</v>
      </c>
      <c r="H1138" s="1" t="n">
        <f aca="false">IF(COUNTIFS($B$2:$B$1489,B1138,$C$2:$C$1489,C1138,$D$2:$D$1489,D1138)&gt;6,1,0)</f>
        <v>0</v>
      </c>
      <c r="I1138" s="1" t="n">
        <f aca="false">IF(AND(F1138="Wire",E1138&gt;=1000,MOD(E1138,1000)=0),1,0)</f>
        <v>0</v>
      </c>
      <c r="J1138" s="1" t="n">
        <f aca="false">IF(AND(F1138="ATM",E1138&gt;2000,D1138&lt;=4),1,0)</f>
        <v>0</v>
      </c>
      <c r="K1138" s="1" t="n">
        <f aca="false">IF(COUNTIF('SQL Findings'!$A$4:$A$18,B1138)&gt;0,1,0)</f>
        <v>1</v>
      </c>
      <c r="L1138" s="1" t="n">
        <f aca="false">SUM(H1138:K1138)</f>
        <v>1</v>
      </c>
      <c r="M1138" s="1" t="str">
        <f aca="false">IF(L1138&gt;=2,"High",IF(L1138=1,"Medium","Low"))</f>
        <v>Medium</v>
      </c>
    </row>
    <row r="1139" customFormat="false" ht="15" hidden="false" customHeight="true" outlineLevel="0" collapsed="false">
      <c r="A1139" s="1" t="str">
        <f aca="false">Transactions!A1139</f>
        <v>TXN500398</v>
      </c>
      <c r="B1139" s="1" t="str">
        <f aca="false">Transactions!B1139</f>
        <v>ACC1017</v>
      </c>
      <c r="C1139" s="1" t="str">
        <f aca="false">Transactions!I1139</f>
        <v>2026-03-11</v>
      </c>
      <c r="D1139" s="1" t="n">
        <f aca="false">Transactions!J1139</f>
        <v>8</v>
      </c>
      <c r="E1139" s="1" t="n">
        <f aca="false">Transactions!D1139</f>
        <v>225.54</v>
      </c>
      <c r="F1139" s="1" t="str">
        <f aca="false">Transactions!H1139</f>
        <v>POS</v>
      </c>
      <c r="G1139" s="1" t="str">
        <f aca="false">Transactions!G1139</f>
        <v>Online Marketplace</v>
      </c>
      <c r="H1139" s="1" t="n">
        <f aca="false">IF(COUNTIFS($B$2:$B$1489,B1139,$C$2:$C$1489,C1139,$D$2:$D$1489,D1139)&gt;6,1,0)</f>
        <v>0</v>
      </c>
      <c r="I1139" s="1" t="n">
        <f aca="false">IF(AND(F1139="Wire",E1139&gt;=1000,MOD(E1139,1000)=0),1,0)</f>
        <v>0</v>
      </c>
      <c r="J1139" s="1" t="n">
        <f aca="false">IF(AND(F1139="ATM",E1139&gt;2000,D1139&lt;=4),1,0)</f>
        <v>0</v>
      </c>
      <c r="K1139" s="1" t="n">
        <f aca="false">IF(COUNTIF('SQL Findings'!$A$4:$A$18,B1139)&gt;0,1,0)</f>
        <v>0</v>
      </c>
      <c r="L1139" s="1" t="n">
        <f aca="false">SUM(H1139:K1139)</f>
        <v>0</v>
      </c>
      <c r="M1139" s="1" t="str">
        <f aca="false">IF(L1139&gt;=2,"High",IF(L1139=1,"Medium","Low"))</f>
        <v>Low</v>
      </c>
    </row>
    <row r="1140" customFormat="false" ht="15" hidden="false" customHeight="true" outlineLevel="0" collapsed="false">
      <c r="A1140" s="1" t="str">
        <f aca="false">Transactions!A1140</f>
        <v>TXN500379</v>
      </c>
      <c r="B1140" s="1" t="str">
        <f aca="false">Transactions!B1140</f>
        <v>ACC1016</v>
      </c>
      <c r="C1140" s="1" t="str">
        <f aca="false">Transactions!I1140</f>
        <v>2026-03-11</v>
      </c>
      <c r="D1140" s="1" t="n">
        <f aca="false">Transactions!J1140</f>
        <v>8</v>
      </c>
      <c r="E1140" s="1" t="n">
        <f aca="false">Transactions!D1140</f>
        <v>478.58</v>
      </c>
      <c r="F1140" s="1" t="str">
        <f aca="false">Transactions!H1140</f>
        <v>ATM</v>
      </c>
      <c r="G1140" s="1" t="str">
        <f aca="false">Transactions!G1140</f>
        <v>Travel</v>
      </c>
      <c r="H1140" s="1" t="n">
        <f aca="false">IF(COUNTIFS($B$2:$B$1489,B1140,$C$2:$C$1489,C1140,$D$2:$D$1489,D1140)&gt;6,1,0)</f>
        <v>0</v>
      </c>
      <c r="I1140" s="1" t="n">
        <f aca="false">IF(AND(F1140="Wire",E1140&gt;=1000,MOD(E1140,1000)=0),1,0)</f>
        <v>0</v>
      </c>
      <c r="J1140" s="1" t="n">
        <f aca="false">IF(AND(F1140="ATM",E1140&gt;2000,D1140&lt;=4),1,0)</f>
        <v>0</v>
      </c>
      <c r="K1140" s="1" t="n">
        <f aca="false">IF(COUNTIF('SQL Findings'!$A$4:$A$18,B1140)&gt;0,1,0)</f>
        <v>0</v>
      </c>
      <c r="L1140" s="1" t="n">
        <f aca="false">SUM(H1140:K1140)</f>
        <v>0</v>
      </c>
      <c r="M1140" s="1" t="str">
        <f aca="false">IF(L1140&gt;=2,"High",IF(L1140=1,"Medium","Low"))</f>
        <v>Low</v>
      </c>
    </row>
    <row r="1141" customFormat="false" ht="15" hidden="false" customHeight="true" outlineLevel="0" collapsed="false">
      <c r="A1141" s="1" t="str">
        <f aca="false">Transactions!A1141</f>
        <v>TXN501285</v>
      </c>
      <c r="B1141" s="1" t="str">
        <f aca="false">Transactions!B1141</f>
        <v>ACC1056</v>
      </c>
      <c r="C1141" s="1" t="str">
        <f aca="false">Transactions!I1141</f>
        <v>2026-03-11</v>
      </c>
      <c r="D1141" s="1" t="n">
        <f aca="false">Transactions!J1141</f>
        <v>9</v>
      </c>
      <c r="E1141" s="1" t="n">
        <f aca="false">Transactions!D1141</f>
        <v>32.87</v>
      </c>
      <c r="F1141" s="1" t="str">
        <f aca="false">Transactions!H1141</f>
        <v>POS</v>
      </c>
      <c r="G1141" s="1" t="str">
        <f aca="false">Transactions!G1141</f>
        <v>Utilities</v>
      </c>
      <c r="H1141" s="1" t="n">
        <f aca="false">IF(COUNTIFS($B$2:$B$1489,B1141,$C$2:$C$1489,C1141,$D$2:$D$1489,D1141)&gt;6,1,0)</f>
        <v>0</v>
      </c>
      <c r="I1141" s="1" t="n">
        <f aca="false">IF(AND(F1141="Wire",E1141&gt;=1000,MOD(E1141,1000)=0),1,0)</f>
        <v>0</v>
      </c>
      <c r="J1141" s="1" t="n">
        <f aca="false">IF(AND(F1141="ATM",E1141&gt;2000,D1141&lt;=4),1,0)</f>
        <v>0</v>
      </c>
      <c r="K1141" s="1" t="n">
        <f aca="false">IF(COUNTIF('SQL Findings'!$A$4:$A$18,B1141)&gt;0,1,0)</f>
        <v>0</v>
      </c>
      <c r="L1141" s="1" t="n">
        <f aca="false">SUM(H1141:K1141)</f>
        <v>0</v>
      </c>
      <c r="M1141" s="1" t="str">
        <f aca="false">IF(L1141&gt;=2,"High",IF(L1141=1,"Medium","Low"))</f>
        <v>Low</v>
      </c>
    </row>
    <row r="1142" customFormat="false" ht="15" hidden="false" customHeight="true" outlineLevel="0" collapsed="false">
      <c r="A1142" s="1" t="str">
        <f aca="false">Transactions!A1142</f>
        <v>TXN500541</v>
      </c>
      <c r="B1142" s="1" t="str">
        <f aca="false">Transactions!B1142</f>
        <v>ACC1024</v>
      </c>
      <c r="C1142" s="1" t="str">
        <f aca="false">Transactions!I1142</f>
        <v>2026-03-11</v>
      </c>
      <c r="D1142" s="1" t="n">
        <f aca="false">Transactions!J1142</f>
        <v>9</v>
      </c>
      <c r="E1142" s="1" t="n">
        <f aca="false">Transactions!D1142</f>
        <v>141.47</v>
      </c>
      <c r="F1142" s="1" t="str">
        <f aca="false">Transactions!H1142</f>
        <v>ATM</v>
      </c>
      <c r="G1142" s="1" t="str">
        <f aca="false">Transactions!G1142</f>
        <v>Travel</v>
      </c>
      <c r="H1142" s="1" t="n">
        <f aca="false">IF(COUNTIFS($B$2:$B$1489,B1142,$C$2:$C$1489,C1142,$D$2:$D$1489,D1142)&gt;6,1,0)</f>
        <v>0</v>
      </c>
      <c r="I1142" s="1" t="n">
        <f aca="false">IF(AND(F1142="Wire",E1142&gt;=1000,MOD(E1142,1000)=0),1,0)</f>
        <v>0</v>
      </c>
      <c r="J1142" s="1" t="n">
        <f aca="false">IF(AND(F1142="ATM",E1142&gt;2000,D1142&lt;=4),1,0)</f>
        <v>0</v>
      </c>
      <c r="K1142" s="1" t="n">
        <f aca="false">IF(COUNTIF('SQL Findings'!$A$4:$A$18,B1142)&gt;0,1,0)</f>
        <v>1</v>
      </c>
      <c r="L1142" s="1" t="n">
        <f aca="false">SUM(H1142:K1142)</f>
        <v>1</v>
      </c>
      <c r="M1142" s="1" t="str">
        <f aca="false">IF(L1142&gt;=2,"High",IF(L1142=1,"Medium","Low"))</f>
        <v>Medium</v>
      </c>
    </row>
    <row r="1143" customFormat="false" ht="15" hidden="false" customHeight="true" outlineLevel="0" collapsed="false">
      <c r="A1143" s="1" t="str">
        <f aca="false">Transactions!A1143</f>
        <v>TXN500193</v>
      </c>
      <c r="B1143" s="1" t="str">
        <f aca="false">Transactions!B1143</f>
        <v>ACC1008</v>
      </c>
      <c r="C1143" s="1" t="str">
        <f aca="false">Transactions!I1143</f>
        <v>2026-03-11</v>
      </c>
      <c r="D1143" s="1" t="n">
        <f aca="false">Transactions!J1143</f>
        <v>10</v>
      </c>
      <c r="E1143" s="1" t="n">
        <f aca="false">Transactions!D1143</f>
        <v>80.86</v>
      </c>
      <c r="F1143" s="1" t="str">
        <f aca="false">Transactions!H1143</f>
        <v>POS</v>
      </c>
      <c r="G1143" s="1" t="str">
        <f aca="false">Transactions!G1143</f>
        <v>Cash Withdrawal</v>
      </c>
      <c r="H1143" s="1" t="n">
        <f aca="false">IF(COUNTIFS($B$2:$B$1489,B1143,$C$2:$C$1489,C1143,$D$2:$D$1489,D1143)&gt;6,1,0)</f>
        <v>0</v>
      </c>
      <c r="I1143" s="1" t="n">
        <f aca="false">IF(AND(F1143="Wire",E1143&gt;=1000,MOD(E1143,1000)=0),1,0)</f>
        <v>0</v>
      </c>
      <c r="J1143" s="1" t="n">
        <f aca="false">IF(AND(F1143="ATM",E1143&gt;2000,D1143&lt;=4),1,0)</f>
        <v>0</v>
      </c>
      <c r="K1143" s="1" t="n">
        <f aca="false">IF(COUNTIF('SQL Findings'!$A$4:$A$18,B1143)&gt;0,1,0)</f>
        <v>0</v>
      </c>
      <c r="L1143" s="1" t="n">
        <f aca="false">SUM(H1143:K1143)</f>
        <v>0</v>
      </c>
      <c r="M1143" s="1" t="str">
        <f aca="false">IF(L1143&gt;=2,"High",IF(L1143=1,"Medium","Low"))</f>
        <v>Low</v>
      </c>
    </row>
    <row r="1144" customFormat="false" ht="15" hidden="false" customHeight="true" outlineLevel="0" collapsed="false">
      <c r="A1144" s="1" t="str">
        <f aca="false">Transactions!A1144</f>
        <v>TXN500168</v>
      </c>
      <c r="B1144" s="1" t="str">
        <f aca="false">Transactions!B1144</f>
        <v>ACC1007</v>
      </c>
      <c r="C1144" s="1" t="str">
        <f aca="false">Transactions!I1144</f>
        <v>2026-03-11</v>
      </c>
      <c r="D1144" s="1" t="n">
        <f aca="false">Transactions!J1144</f>
        <v>11</v>
      </c>
      <c r="E1144" s="1" t="n">
        <f aca="false">Transactions!D1144</f>
        <v>367.64</v>
      </c>
      <c r="F1144" s="1" t="str">
        <f aca="false">Transactions!H1144</f>
        <v>Online</v>
      </c>
      <c r="G1144" s="1" t="str">
        <f aca="false">Transactions!G1144</f>
        <v>Retail</v>
      </c>
      <c r="H1144" s="1" t="n">
        <f aca="false">IF(COUNTIFS($B$2:$B$1489,B1144,$C$2:$C$1489,C1144,$D$2:$D$1489,D1144)&gt;6,1,0)</f>
        <v>0</v>
      </c>
      <c r="I1144" s="1" t="n">
        <f aca="false">IF(AND(F1144="Wire",E1144&gt;=1000,MOD(E1144,1000)=0),1,0)</f>
        <v>0</v>
      </c>
      <c r="J1144" s="1" t="n">
        <f aca="false">IF(AND(F1144="ATM",E1144&gt;2000,D1144&lt;=4),1,0)</f>
        <v>0</v>
      </c>
      <c r="K1144" s="1" t="n">
        <f aca="false">IF(COUNTIF('SQL Findings'!$A$4:$A$18,B1144)&gt;0,1,0)</f>
        <v>0</v>
      </c>
      <c r="L1144" s="1" t="n">
        <f aca="false">SUM(H1144:K1144)</f>
        <v>0</v>
      </c>
      <c r="M1144" s="1" t="str">
        <f aca="false">IF(L1144&gt;=2,"High",IF(L1144=1,"Medium","Low"))</f>
        <v>Low</v>
      </c>
    </row>
    <row r="1145" customFormat="false" ht="15" hidden="false" customHeight="true" outlineLevel="0" collapsed="false">
      <c r="A1145" s="1" t="str">
        <f aca="false">Transactions!A1145</f>
        <v>TXN501108</v>
      </c>
      <c r="B1145" s="1" t="str">
        <f aca="false">Transactions!B1145</f>
        <v>ACC1048</v>
      </c>
      <c r="C1145" s="1" t="str">
        <f aca="false">Transactions!I1145</f>
        <v>2026-03-11</v>
      </c>
      <c r="D1145" s="1" t="n">
        <f aca="false">Transactions!J1145</f>
        <v>11</v>
      </c>
      <c r="E1145" s="1" t="n">
        <f aca="false">Transactions!D1145</f>
        <v>25.84</v>
      </c>
      <c r="F1145" s="1" t="str">
        <f aca="false">Transactions!H1145</f>
        <v>Online</v>
      </c>
      <c r="G1145" s="1" t="str">
        <f aca="false">Transactions!G1145</f>
        <v>Utilities</v>
      </c>
      <c r="H1145" s="1" t="n">
        <f aca="false">IF(COUNTIFS($B$2:$B$1489,B1145,$C$2:$C$1489,C1145,$D$2:$D$1489,D1145)&gt;6,1,0)</f>
        <v>0</v>
      </c>
      <c r="I1145" s="1" t="n">
        <f aca="false">IF(AND(F1145="Wire",E1145&gt;=1000,MOD(E1145,1000)=0),1,0)</f>
        <v>0</v>
      </c>
      <c r="J1145" s="1" t="n">
        <f aca="false">IF(AND(F1145="ATM",E1145&gt;2000,D1145&lt;=4),1,0)</f>
        <v>0</v>
      </c>
      <c r="K1145" s="1" t="n">
        <f aca="false">IF(COUNTIF('SQL Findings'!$A$4:$A$18,B1145)&gt;0,1,0)</f>
        <v>0</v>
      </c>
      <c r="L1145" s="1" t="n">
        <f aca="false">SUM(H1145:K1145)</f>
        <v>0</v>
      </c>
      <c r="M1145" s="1" t="str">
        <f aca="false">IF(L1145&gt;=2,"High",IF(L1145=1,"Medium","Low"))</f>
        <v>Low</v>
      </c>
    </row>
    <row r="1146" customFormat="false" ht="15" hidden="false" customHeight="true" outlineLevel="0" collapsed="false">
      <c r="A1146" s="1" t="str">
        <f aca="false">Transactions!A1146</f>
        <v>TXN500969</v>
      </c>
      <c r="B1146" s="1" t="str">
        <f aca="false">Transactions!B1146</f>
        <v>ACC1042</v>
      </c>
      <c r="C1146" s="1" t="str">
        <f aca="false">Transactions!I1146</f>
        <v>2026-03-11</v>
      </c>
      <c r="D1146" s="1" t="n">
        <f aca="false">Transactions!J1146</f>
        <v>11</v>
      </c>
      <c r="E1146" s="1" t="n">
        <f aca="false">Transactions!D1146</f>
        <v>64.32</v>
      </c>
      <c r="F1146" s="1" t="str">
        <f aca="false">Transactions!H1146</f>
        <v>Online</v>
      </c>
      <c r="G1146" s="1" t="str">
        <f aca="false">Transactions!G1146</f>
        <v>Travel</v>
      </c>
      <c r="H1146" s="1" t="n">
        <f aca="false">IF(COUNTIFS($B$2:$B$1489,B1146,$C$2:$C$1489,C1146,$D$2:$D$1489,D1146)&gt;6,1,0)</f>
        <v>0</v>
      </c>
      <c r="I1146" s="1" t="n">
        <f aca="false">IF(AND(F1146="Wire",E1146&gt;=1000,MOD(E1146,1000)=0),1,0)</f>
        <v>0</v>
      </c>
      <c r="J1146" s="1" t="n">
        <f aca="false">IF(AND(F1146="ATM",E1146&gt;2000,D1146&lt;=4),1,0)</f>
        <v>0</v>
      </c>
      <c r="K1146" s="1" t="n">
        <f aca="false">IF(COUNTIF('SQL Findings'!$A$4:$A$18,B1146)&gt;0,1,0)</f>
        <v>1</v>
      </c>
      <c r="L1146" s="1" t="n">
        <f aca="false">SUM(H1146:K1146)</f>
        <v>1</v>
      </c>
      <c r="M1146" s="1" t="str">
        <f aca="false">IF(L1146&gt;=2,"High",IF(L1146=1,"Medium","Low"))</f>
        <v>Medium</v>
      </c>
    </row>
    <row r="1147" customFormat="false" ht="15" hidden="false" customHeight="true" outlineLevel="0" collapsed="false">
      <c r="A1147" s="1" t="str">
        <f aca="false">Transactions!A1147</f>
        <v>TXN500520</v>
      </c>
      <c r="B1147" s="1" t="str">
        <f aca="false">Transactions!B1147</f>
        <v>ACC1023</v>
      </c>
      <c r="C1147" s="1" t="str">
        <f aca="false">Transactions!I1147</f>
        <v>2026-03-11</v>
      </c>
      <c r="D1147" s="1" t="n">
        <f aca="false">Transactions!J1147</f>
        <v>11</v>
      </c>
      <c r="E1147" s="1" t="n">
        <f aca="false">Transactions!D1147</f>
        <v>131.14</v>
      </c>
      <c r="F1147" s="1" t="str">
        <f aca="false">Transactions!H1147</f>
        <v>ATM</v>
      </c>
      <c r="G1147" s="1" t="str">
        <f aca="false">Transactions!G1147</f>
        <v>Retail</v>
      </c>
      <c r="H1147" s="1" t="n">
        <f aca="false">IF(COUNTIFS($B$2:$B$1489,B1147,$C$2:$C$1489,C1147,$D$2:$D$1489,D1147)&gt;6,1,0)</f>
        <v>0</v>
      </c>
      <c r="I1147" s="1" t="n">
        <f aca="false">IF(AND(F1147="Wire",E1147&gt;=1000,MOD(E1147,1000)=0),1,0)</f>
        <v>0</v>
      </c>
      <c r="J1147" s="1" t="n">
        <f aca="false">IF(AND(F1147="ATM",E1147&gt;2000,D1147&lt;=4),1,0)</f>
        <v>0</v>
      </c>
      <c r="K1147" s="1" t="n">
        <f aca="false">IF(COUNTIF('SQL Findings'!$A$4:$A$18,B1147)&gt;0,1,0)</f>
        <v>0</v>
      </c>
      <c r="L1147" s="1" t="n">
        <f aca="false">SUM(H1147:K1147)</f>
        <v>0</v>
      </c>
      <c r="M1147" s="1" t="str">
        <f aca="false">IF(L1147&gt;=2,"High",IF(L1147=1,"Medium","Low"))</f>
        <v>Low</v>
      </c>
    </row>
    <row r="1148" customFormat="false" ht="15" hidden="false" customHeight="true" outlineLevel="0" collapsed="false">
      <c r="A1148" s="1" t="str">
        <f aca="false">Transactions!A1148</f>
        <v>TXN501330</v>
      </c>
      <c r="B1148" s="1" t="str">
        <f aca="false">Transactions!B1148</f>
        <v>ACC1058</v>
      </c>
      <c r="C1148" s="1" t="str">
        <f aca="false">Transactions!I1148</f>
        <v>2026-03-11</v>
      </c>
      <c r="D1148" s="1" t="n">
        <f aca="false">Transactions!J1148</f>
        <v>13</v>
      </c>
      <c r="E1148" s="1" t="n">
        <f aca="false">Transactions!D1148</f>
        <v>114.43</v>
      </c>
      <c r="F1148" s="1" t="str">
        <f aca="false">Transactions!H1148</f>
        <v>ATM</v>
      </c>
      <c r="G1148" s="1" t="str">
        <f aca="false">Transactions!G1148</f>
        <v>Retail</v>
      </c>
      <c r="H1148" s="1" t="n">
        <f aca="false">IF(COUNTIFS($B$2:$B$1489,B1148,$C$2:$C$1489,C1148,$D$2:$D$1489,D1148)&gt;6,1,0)</f>
        <v>0</v>
      </c>
      <c r="I1148" s="1" t="n">
        <f aca="false">IF(AND(F1148="Wire",E1148&gt;=1000,MOD(E1148,1000)=0),1,0)</f>
        <v>0</v>
      </c>
      <c r="J1148" s="1" t="n">
        <f aca="false">IF(AND(F1148="ATM",E1148&gt;2000,D1148&lt;=4),1,0)</f>
        <v>0</v>
      </c>
      <c r="K1148" s="1" t="n">
        <f aca="false">IF(COUNTIF('SQL Findings'!$A$4:$A$18,B1148)&gt;0,1,0)</f>
        <v>0</v>
      </c>
      <c r="L1148" s="1" t="n">
        <f aca="false">SUM(H1148:K1148)</f>
        <v>0</v>
      </c>
      <c r="M1148" s="1" t="str">
        <f aca="false">IF(L1148&gt;=2,"High",IF(L1148=1,"Medium","Low"))</f>
        <v>Low</v>
      </c>
    </row>
    <row r="1149" customFormat="false" ht="15" hidden="false" customHeight="true" outlineLevel="0" collapsed="false">
      <c r="A1149" s="1" t="str">
        <f aca="false">Transactions!A1149</f>
        <v>TXN501167</v>
      </c>
      <c r="B1149" s="1" t="str">
        <f aca="false">Transactions!B1149</f>
        <v>ACC1051</v>
      </c>
      <c r="C1149" s="1" t="str">
        <f aca="false">Transactions!I1149</f>
        <v>2026-03-11</v>
      </c>
      <c r="D1149" s="1" t="n">
        <f aca="false">Transactions!J1149</f>
        <v>13</v>
      </c>
      <c r="E1149" s="1" t="n">
        <f aca="false">Transactions!D1149</f>
        <v>231.79</v>
      </c>
      <c r="F1149" s="1" t="str">
        <f aca="false">Transactions!H1149</f>
        <v>POS</v>
      </c>
      <c r="G1149" s="1" t="str">
        <f aca="false">Transactions!G1149</f>
        <v>Dining</v>
      </c>
      <c r="H1149" s="1" t="n">
        <f aca="false">IF(COUNTIFS($B$2:$B$1489,B1149,$C$2:$C$1489,C1149,$D$2:$D$1489,D1149)&gt;6,1,0)</f>
        <v>0</v>
      </c>
      <c r="I1149" s="1" t="n">
        <f aca="false">IF(AND(F1149="Wire",E1149&gt;=1000,MOD(E1149,1000)=0),1,0)</f>
        <v>0</v>
      </c>
      <c r="J1149" s="1" t="n">
        <f aca="false">IF(AND(F1149="ATM",E1149&gt;2000,D1149&lt;=4),1,0)</f>
        <v>0</v>
      </c>
      <c r="K1149" s="1" t="n">
        <f aca="false">IF(COUNTIF('SQL Findings'!$A$4:$A$18,B1149)&gt;0,1,0)</f>
        <v>0</v>
      </c>
      <c r="L1149" s="1" t="n">
        <f aca="false">SUM(H1149:K1149)</f>
        <v>0</v>
      </c>
      <c r="M1149" s="1" t="str">
        <f aca="false">IF(L1149&gt;=2,"High",IF(L1149=1,"Medium","Low"))</f>
        <v>Low</v>
      </c>
    </row>
    <row r="1150" customFormat="false" ht="15" hidden="false" customHeight="true" outlineLevel="0" collapsed="false">
      <c r="A1150" s="1" t="str">
        <f aca="false">Transactions!A1150</f>
        <v>TXN500655</v>
      </c>
      <c r="B1150" s="1" t="str">
        <f aca="false">Transactions!B1150</f>
        <v>ACC1028</v>
      </c>
      <c r="C1150" s="1" t="str">
        <f aca="false">Transactions!I1150</f>
        <v>2026-03-11</v>
      </c>
      <c r="D1150" s="1" t="n">
        <f aca="false">Transactions!J1150</f>
        <v>14</v>
      </c>
      <c r="E1150" s="1" t="n">
        <f aca="false">Transactions!D1150</f>
        <v>675.89</v>
      </c>
      <c r="F1150" s="1" t="str">
        <f aca="false">Transactions!H1150</f>
        <v>POS</v>
      </c>
      <c r="G1150" s="1" t="str">
        <f aca="false">Transactions!G1150</f>
        <v>Online Marketplace</v>
      </c>
      <c r="H1150" s="1" t="n">
        <f aca="false">IF(COUNTIFS($B$2:$B$1489,B1150,$C$2:$C$1489,C1150,$D$2:$D$1489,D1150)&gt;6,1,0)</f>
        <v>0</v>
      </c>
      <c r="I1150" s="1" t="n">
        <f aca="false">IF(AND(F1150="Wire",E1150&gt;=1000,MOD(E1150,1000)=0),1,0)</f>
        <v>0</v>
      </c>
      <c r="J1150" s="1" t="n">
        <f aca="false">IF(AND(F1150="ATM",E1150&gt;2000,D1150&lt;=4),1,0)</f>
        <v>0</v>
      </c>
      <c r="K1150" s="1" t="n">
        <f aca="false">IF(COUNTIF('SQL Findings'!$A$4:$A$18,B1150)&gt;0,1,0)</f>
        <v>0</v>
      </c>
      <c r="L1150" s="1" t="n">
        <f aca="false">SUM(H1150:K1150)</f>
        <v>0</v>
      </c>
      <c r="M1150" s="1" t="str">
        <f aca="false">IF(L1150&gt;=2,"High",IF(L1150=1,"Medium","Low"))</f>
        <v>Low</v>
      </c>
    </row>
    <row r="1151" customFormat="false" ht="15" hidden="false" customHeight="true" outlineLevel="0" collapsed="false">
      <c r="A1151" s="1" t="str">
        <f aca="false">Transactions!A1151</f>
        <v>TXN500915</v>
      </c>
      <c r="B1151" s="1" t="str">
        <f aca="false">Transactions!B1151</f>
        <v>ACC1039</v>
      </c>
      <c r="C1151" s="1" t="str">
        <f aca="false">Transactions!I1151</f>
        <v>2026-03-11</v>
      </c>
      <c r="D1151" s="1" t="n">
        <f aca="false">Transactions!J1151</f>
        <v>15</v>
      </c>
      <c r="E1151" s="1" t="n">
        <f aca="false">Transactions!D1151</f>
        <v>61.21</v>
      </c>
      <c r="F1151" s="1" t="str">
        <f aca="false">Transactions!H1151</f>
        <v>Online</v>
      </c>
      <c r="G1151" s="1" t="str">
        <f aca="false">Transactions!G1151</f>
        <v>Dining</v>
      </c>
      <c r="H1151" s="1" t="n">
        <f aca="false">IF(COUNTIFS($B$2:$B$1489,B1151,$C$2:$C$1489,C1151,$D$2:$D$1489,D1151)&gt;6,1,0)</f>
        <v>0</v>
      </c>
      <c r="I1151" s="1" t="n">
        <f aca="false">IF(AND(F1151="Wire",E1151&gt;=1000,MOD(E1151,1000)=0),1,0)</f>
        <v>0</v>
      </c>
      <c r="J1151" s="1" t="n">
        <f aca="false">IF(AND(F1151="ATM",E1151&gt;2000,D1151&lt;=4),1,0)</f>
        <v>0</v>
      </c>
      <c r="K1151" s="1" t="n">
        <f aca="false">IF(COUNTIF('SQL Findings'!$A$4:$A$18,B1151)&gt;0,1,0)</f>
        <v>0</v>
      </c>
      <c r="L1151" s="1" t="n">
        <f aca="false">SUM(H1151:K1151)</f>
        <v>0</v>
      </c>
      <c r="M1151" s="1" t="str">
        <f aca="false">IF(L1151&gt;=2,"High",IF(L1151=1,"Medium","Low"))</f>
        <v>Low</v>
      </c>
    </row>
    <row r="1152" customFormat="false" ht="15" hidden="false" customHeight="true" outlineLevel="0" collapsed="false">
      <c r="A1152" s="1" t="str">
        <f aca="false">Transactions!A1152</f>
        <v>TXN501374</v>
      </c>
      <c r="B1152" s="1" t="str">
        <f aca="false">Transactions!B1152</f>
        <v>ACC1059</v>
      </c>
      <c r="C1152" s="1" t="str">
        <f aca="false">Transactions!I1152</f>
        <v>2026-03-11</v>
      </c>
      <c r="D1152" s="1" t="n">
        <f aca="false">Transactions!J1152</f>
        <v>16</v>
      </c>
      <c r="E1152" s="1" t="n">
        <f aca="false">Transactions!D1152</f>
        <v>15.61</v>
      </c>
      <c r="F1152" s="1" t="str">
        <f aca="false">Transactions!H1152</f>
        <v>Online</v>
      </c>
      <c r="G1152" s="1" t="str">
        <f aca="false">Transactions!G1152</f>
        <v>Electronics</v>
      </c>
      <c r="H1152" s="1" t="n">
        <f aca="false">IF(COUNTIFS($B$2:$B$1489,B1152,$C$2:$C$1489,C1152,$D$2:$D$1489,D1152)&gt;6,1,0)</f>
        <v>0</v>
      </c>
      <c r="I1152" s="1" t="n">
        <f aca="false">IF(AND(F1152="Wire",E1152&gt;=1000,MOD(E1152,1000)=0),1,0)</f>
        <v>0</v>
      </c>
      <c r="J1152" s="1" t="n">
        <f aca="false">IF(AND(F1152="ATM",E1152&gt;2000,D1152&lt;=4),1,0)</f>
        <v>0</v>
      </c>
      <c r="K1152" s="1" t="n">
        <f aca="false">IF(COUNTIF('SQL Findings'!$A$4:$A$18,B1152)&gt;0,1,0)</f>
        <v>0</v>
      </c>
      <c r="L1152" s="1" t="n">
        <f aca="false">SUM(H1152:K1152)</f>
        <v>0</v>
      </c>
      <c r="M1152" s="1" t="str">
        <f aca="false">IF(L1152&gt;=2,"High",IF(L1152=1,"Medium","Low"))</f>
        <v>Low</v>
      </c>
    </row>
    <row r="1153" customFormat="false" ht="15" hidden="false" customHeight="true" outlineLevel="0" collapsed="false">
      <c r="A1153" s="1" t="str">
        <f aca="false">Transactions!A1153</f>
        <v>TXN500683</v>
      </c>
      <c r="B1153" s="1" t="str">
        <f aca="false">Transactions!B1153</f>
        <v>ACC1029</v>
      </c>
      <c r="C1153" s="1" t="str">
        <f aca="false">Transactions!I1153</f>
        <v>2026-03-11</v>
      </c>
      <c r="D1153" s="1" t="n">
        <f aca="false">Transactions!J1153</f>
        <v>16</v>
      </c>
      <c r="E1153" s="1" t="n">
        <f aca="false">Transactions!D1153</f>
        <v>41.59</v>
      </c>
      <c r="F1153" s="1" t="str">
        <f aca="false">Transactions!H1153</f>
        <v>POS</v>
      </c>
      <c r="G1153" s="1" t="str">
        <f aca="false">Transactions!G1153</f>
        <v>Travel</v>
      </c>
      <c r="H1153" s="1" t="n">
        <f aca="false">IF(COUNTIFS($B$2:$B$1489,B1153,$C$2:$C$1489,C1153,$D$2:$D$1489,D1153)&gt;6,1,0)</f>
        <v>0</v>
      </c>
      <c r="I1153" s="1" t="n">
        <f aca="false">IF(AND(F1153="Wire",E1153&gt;=1000,MOD(E1153,1000)=0),1,0)</f>
        <v>0</v>
      </c>
      <c r="J1153" s="1" t="n">
        <f aca="false">IF(AND(F1153="ATM",E1153&gt;2000,D1153&lt;=4),1,0)</f>
        <v>0</v>
      </c>
      <c r="K1153" s="1" t="n">
        <f aca="false">IF(COUNTIF('SQL Findings'!$A$4:$A$18,B1153)&gt;0,1,0)</f>
        <v>0</v>
      </c>
      <c r="L1153" s="1" t="n">
        <f aca="false">SUM(H1153:K1153)</f>
        <v>0</v>
      </c>
      <c r="M1153" s="1" t="str">
        <f aca="false">IF(L1153&gt;=2,"High",IF(L1153=1,"Medium","Low"))</f>
        <v>Low</v>
      </c>
    </row>
    <row r="1154" customFormat="false" ht="15" hidden="false" customHeight="true" outlineLevel="0" collapsed="false">
      <c r="A1154" s="1" t="str">
        <f aca="false">Transactions!A1154</f>
        <v>TXN500611</v>
      </c>
      <c r="B1154" s="1" t="str">
        <f aca="false">Transactions!B1154</f>
        <v>ACC1027</v>
      </c>
      <c r="C1154" s="1" t="str">
        <f aca="false">Transactions!I1154</f>
        <v>2026-03-11</v>
      </c>
      <c r="D1154" s="1" t="n">
        <f aca="false">Transactions!J1154</f>
        <v>17</v>
      </c>
      <c r="E1154" s="1" t="n">
        <f aca="false">Transactions!D1154</f>
        <v>120.17</v>
      </c>
      <c r="F1154" s="1" t="str">
        <f aca="false">Transactions!H1154</f>
        <v>ATM</v>
      </c>
      <c r="G1154" s="1" t="str">
        <f aca="false">Transactions!G1154</f>
        <v>Online Marketplace</v>
      </c>
      <c r="H1154" s="1" t="n">
        <f aca="false">IF(COUNTIFS($B$2:$B$1489,B1154,$C$2:$C$1489,C1154,$D$2:$D$1489,D1154)&gt;6,1,0)</f>
        <v>0</v>
      </c>
      <c r="I1154" s="1" t="n">
        <f aca="false">IF(AND(F1154="Wire",E1154&gt;=1000,MOD(E1154,1000)=0),1,0)</f>
        <v>0</v>
      </c>
      <c r="J1154" s="1" t="n">
        <f aca="false">IF(AND(F1154="ATM",E1154&gt;2000,D1154&lt;=4),1,0)</f>
        <v>0</v>
      </c>
      <c r="K1154" s="1" t="n">
        <f aca="false">IF(COUNTIF('SQL Findings'!$A$4:$A$18,B1154)&gt;0,1,0)</f>
        <v>0</v>
      </c>
      <c r="L1154" s="1" t="n">
        <f aca="false">SUM(H1154:K1154)</f>
        <v>0</v>
      </c>
      <c r="M1154" s="1" t="str">
        <f aca="false">IF(L1154&gt;=2,"High",IF(L1154=1,"Medium","Low"))</f>
        <v>Low</v>
      </c>
    </row>
    <row r="1155" customFormat="false" ht="15" hidden="false" customHeight="true" outlineLevel="0" collapsed="false">
      <c r="A1155" s="1" t="str">
        <f aca="false">Transactions!A1155</f>
        <v>TXN501085</v>
      </c>
      <c r="B1155" s="1" t="str">
        <f aca="false">Transactions!B1155</f>
        <v>ACC1047</v>
      </c>
      <c r="C1155" s="1" t="str">
        <f aca="false">Transactions!I1155</f>
        <v>2026-03-11</v>
      </c>
      <c r="D1155" s="1" t="n">
        <f aca="false">Transactions!J1155</f>
        <v>20</v>
      </c>
      <c r="E1155" s="1" t="n">
        <f aca="false">Transactions!D1155</f>
        <v>94.04</v>
      </c>
      <c r="F1155" s="1" t="str">
        <f aca="false">Transactions!H1155</f>
        <v>POS</v>
      </c>
      <c r="G1155" s="1" t="str">
        <f aca="false">Transactions!G1155</f>
        <v>Online Marketplace</v>
      </c>
      <c r="H1155" s="1" t="n">
        <f aca="false">IF(COUNTIFS($B$2:$B$1489,B1155,$C$2:$C$1489,C1155,$D$2:$D$1489,D1155)&gt;6,1,0)</f>
        <v>0</v>
      </c>
      <c r="I1155" s="1" t="n">
        <f aca="false">IF(AND(F1155="Wire",E1155&gt;=1000,MOD(E1155,1000)=0),1,0)</f>
        <v>0</v>
      </c>
      <c r="J1155" s="1" t="n">
        <f aca="false">IF(AND(F1155="ATM",E1155&gt;2000,D1155&lt;=4),1,0)</f>
        <v>0</v>
      </c>
      <c r="K1155" s="1" t="n">
        <f aca="false">IF(COUNTIF('SQL Findings'!$A$4:$A$18,B1155)&gt;0,1,0)</f>
        <v>0</v>
      </c>
      <c r="L1155" s="1" t="n">
        <f aca="false">SUM(H1155:K1155)</f>
        <v>0</v>
      </c>
      <c r="M1155" s="1" t="str">
        <f aca="false">IF(L1155&gt;=2,"High",IF(L1155=1,"Medium","Low"))</f>
        <v>Low</v>
      </c>
    </row>
    <row r="1156" customFormat="false" ht="15" hidden="false" customHeight="true" outlineLevel="0" collapsed="false">
      <c r="A1156" s="1" t="str">
        <f aca="false">Transactions!A1156</f>
        <v>TXN500020</v>
      </c>
      <c r="B1156" s="1" t="str">
        <f aca="false">Transactions!B1156</f>
        <v>ACC1000</v>
      </c>
      <c r="C1156" s="1" t="str">
        <f aca="false">Transactions!I1156</f>
        <v>2026-03-11</v>
      </c>
      <c r="D1156" s="1" t="n">
        <f aca="false">Transactions!J1156</f>
        <v>21</v>
      </c>
      <c r="E1156" s="1" t="n">
        <f aca="false">Transactions!D1156</f>
        <v>18.71</v>
      </c>
      <c r="F1156" s="1" t="str">
        <f aca="false">Transactions!H1156</f>
        <v>ATM</v>
      </c>
      <c r="G1156" s="1" t="str">
        <f aca="false">Transactions!G1156</f>
        <v>Retail</v>
      </c>
      <c r="H1156" s="1" t="n">
        <f aca="false">IF(COUNTIFS($B$2:$B$1489,B1156,$C$2:$C$1489,C1156,$D$2:$D$1489,D1156)&gt;6,1,0)</f>
        <v>0</v>
      </c>
      <c r="I1156" s="1" t="n">
        <f aca="false">IF(AND(F1156="Wire",E1156&gt;=1000,MOD(E1156,1000)=0),1,0)</f>
        <v>0</v>
      </c>
      <c r="J1156" s="1" t="n">
        <f aca="false">IF(AND(F1156="ATM",E1156&gt;2000,D1156&lt;=4),1,0)</f>
        <v>0</v>
      </c>
      <c r="K1156" s="1" t="n">
        <f aca="false">IF(COUNTIF('SQL Findings'!$A$4:$A$18,B1156)&gt;0,1,0)</f>
        <v>1</v>
      </c>
      <c r="L1156" s="1" t="n">
        <f aca="false">SUM(H1156:K1156)</f>
        <v>1</v>
      </c>
      <c r="M1156" s="1" t="str">
        <f aca="false">IF(L1156&gt;=2,"High",IF(L1156=1,"Medium","Low"))</f>
        <v>Medium</v>
      </c>
    </row>
    <row r="1157" customFormat="false" ht="15" hidden="false" customHeight="true" outlineLevel="0" collapsed="false">
      <c r="A1157" s="1" t="str">
        <f aca="false">Transactions!A1157</f>
        <v>TXN500569</v>
      </c>
      <c r="B1157" s="1" t="str">
        <f aca="false">Transactions!B1157</f>
        <v>ACC1025</v>
      </c>
      <c r="C1157" s="1" t="str">
        <f aca="false">Transactions!I1157</f>
        <v>2026-03-12</v>
      </c>
      <c r="D1157" s="1" t="n">
        <f aca="false">Transactions!J1157</f>
        <v>1</v>
      </c>
      <c r="E1157" s="1" t="n">
        <f aca="false">Transactions!D1157</f>
        <v>12.38</v>
      </c>
      <c r="F1157" s="1" t="str">
        <f aca="false">Transactions!H1157</f>
        <v>ATM</v>
      </c>
      <c r="G1157" s="1" t="str">
        <f aca="false">Transactions!G1157</f>
        <v>Online Marketplace</v>
      </c>
      <c r="H1157" s="1" t="n">
        <f aca="false">IF(COUNTIFS($B$2:$B$1489,B1157,$C$2:$C$1489,C1157,$D$2:$D$1489,D1157)&gt;6,1,0)</f>
        <v>0</v>
      </c>
      <c r="I1157" s="1" t="n">
        <f aca="false">IF(AND(F1157="Wire",E1157&gt;=1000,MOD(E1157,1000)=0),1,0)</f>
        <v>0</v>
      </c>
      <c r="J1157" s="1" t="n">
        <f aca="false">IF(AND(F1157="ATM",E1157&gt;2000,D1157&lt;=4),1,0)</f>
        <v>0</v>
      </c>
      <c r="K1157" s="1" t="n">
        <f aca="false">IF(COUNTIF('SQL Findings'!$A$4:$A$18,B1157)&gt;0,1,0)</f>
        <v>0</v>
      </c>
      <c r="L1157" s="1" t="n">
        <f aca="false">SUM(H1157:K1157)</f>
        <v>0</v>
      </c>
      <c r="M1157" s="1" t="str">
        <f aca="false">IF(L1157&gt;=2,"High",IF(L1157=1,"Medium","Low"))</f>
        <v>Low</v>
      </c>
    </row>
    <row r="1158" customFormat="false" ht="15" hidden="false" customHeight="true" outlineLevel="0" collapsed="false">
      <c r="A1158" s="1" t="str">
        <f aca="false">Transactions!A1158</f>
        <v>TXN501486</v>
      </c>
      <c r="B1158" s="1" t="str">
        <f aca="false">Transactions!B1158</f>
        <v>ACC1048</v>
      </c>
      <c r="C1158" s="1" t="str">
        <f aca="false">Transactions!I1158</f>
        <v>2026-03-12</v>
      </c>
      <c r="D1158" s="1" t="n">
        <f aca="false">Transactions!J1158</f>
        <v>2</v>
      </c>
      <c r="E1158" s="1" t="n">
        <f aca="false">Transactions!D1158</f>
        <v>2242.13</v>
      </c>
      <c r="F1158" s="1" t="str">
        <f aca="false">Transactions!H1158</f>
        <v>ATM</v>
      </c>
      <c r="G1158" s="1" t="str">
        <f aca="false">Transactions!G1158</f>
        <v>Cash Withdrawal</v>
      </c>
      <c r="H1158" s="1" t="n">
        <f aca="false">IF(COUNTIFS($B$2:$B$1489,B1158,$C$2:$C$1489,C1158,$D$2:$D$1489,D1158)&gt;6,1,0)</f>
        <v>0</v>
      </c>
      <c r="I1158" s="1" t="n">
        <f aca="false">IF(AND(F1158="Wire",E1158&gt;=1000,MOD(E1158,1000)=0),1,0)</f>
        <v>0</v>
      </c>
      <c r="J1158" s="1" t="n">
        <f aca="false">IF(AND(F1158="ATM",E1158&gt;2000,D1158&lt;=4),1,0)</f>
        <v>1</v>
      </c>
      <c r="K1158" s="1" t="n">
        <f aca="false">IF(COUNTIF('SQL Findings'!$A$4:$A$18,B1158)&gt;0,1,0)</f>
        <v>0</v>
      </c>
      <c r="L1158" s="1" t="n">
        <f aca="false">SUM(H1158:K1158)</f>
        <v>1</v>
      </c>
      <c r="M1158" s="1" t="str">
        <f aca="false">IF(L1158&gt;=2,"High",IF(L1158=1,"Medium","Low"))</f>
        <v>Medium</v>
      </c>
    </row>
    <row r="1159" customFormat="false" ht="15" hidden="false" customHeight="true" outlineLevel="0" collapsed="false">
      <c r="A1159" s="1" t="str">
        <f aca="false">Transactions!A1159</f>
        <v>TXN501079</v>
      </c>
      <c r="B1159" s="1" t="str">
        <f aca="false">Transactions!B1159</f>
        <v>ACC1047</v>
      </c>
      <c r="C1159" s="1" t="str">
        <f aca="false">Transactions!I1159</f>
        <v>2026-03-12</v>
      </c>
      <c r="D1159" s="1" t="n">
        <f aca="false">Transactions!J1159</f>
        <v>2</v>
      </c>
      <c r="E1159" s="1" t="n">
        <f aca="false">Transactions!D1159</f>
        <v>257.41</v>
      </c>
      <c r="F1159" s="1" t="str">
        <f aca="false">Transactions!H1159</f>
        <v>ATM</v>
      </c>
      <c r="G1159" s="1" t="str">
        <f aca="false">Transactions!G1159</f>
        <v>Wire Transfer</v>
      </c>
      <c r="H1159" s="1" t="n">
        <f aca="false">IF(COUNTIFS($B$2:$B$1489,B1159,$C$2:$C$1489,C1159,$D$2:$D$1489,D1159)&gt;6,1,0)</f>
        <v>0</v>
      </c>
      <c r="I1159" s="1" t="n">
        <f aca="false">IF(AND(F1159="Wire",E1159&gt;=1000,MOD(E1159,1000)=0),1,0)</f>
        <v>0</v>
      </c>
      <c r="J1159" s="1" t="n">
        <f aca="false">IF(AND(F1159="ATM",E1159&gt;2000,D1159&lt;=4),1,0)</f>
        <v>0</v>
      </c>
      <c r="K1159" s="1" t="n">
        <f aca="false">IF(COUNTIF('SQL Findings'!$A$4:$A$18,B1159)&gt;0,1,0)</f>
        <v>0</v>
      </c>
      <c r="L1159" s="1" t="n">
        <f aca="false">SUM(H1159:K1159)</f>
        <v>0</v>
      </c>
      <c r="M1159" s="1" t="str">
        <f aca="false">IF(L1159&gt;=2,"High",IF(L1159=1,"Medium","Low"))</f>
        <v>Low</v>
      </c>
    </row>
    <row r="1160" customFormat="false" ht="15" hidden="false" customHeight="true" outlineLevel="0" collapsed="false">
      <c r="A1160" s="1" t="str">
        <f aca="false">Transactions!A1160</f>
        <v>TXN501248</v>
      </c>
      <c r="B1160" s="1" t="str">
        <f aca="false">Transactions!B1160</f>
        <v>ACC1054</v>
      </c>
      <c r="C1160" s="1" t="str">
        <f aca="false">Transactions!I1160</f>
        <v>2026-03-12</v>
      </c>
      <c r="D1160" s="1" t="n">
        <f aca="false">Transactions!J1160</f>
        <v>3</v>
      </c>
      <c r="E1160" s="1" t="n">
        <f aca="false">Transactions!D1160</f>
        <v>33.35</v>
      </c>
      <c r="F1160" s="1" t="str">
        <f aca="false">Transactions!H1160</f>
        <v>POS</v>
      </c>
      <c r="G1160" s="1" t="str">
        <f aca="false">Transactions!G1160</f>
        <v>Travel</v>
      </c>
      <c r="H1160" s="1" t="n">
        <f aca="false">IF(COUNTIFS($B$2:$B$1489,B1160,$C$2:$C$1489,C1160,$D$2:$D$1489,D1160)&gt;6,1,0)</f>
        <v>0</v>
      </c>
      <c r="I1160" s="1" t="n">
        <f aca="false">IF(AND(F1160="Wire",E1160&gt;=1000,MOD(E1160,1000)=0),1,0)</f>
        <v>0</v>
      </c>
      <c r="J1160" s="1" t="n">
        <f aca="false">IF(AND(F1160="ATM",E1160&gt;2000,D1160&lt;=4),1,0)</f>
        <v>0</v>
      </c>
      <c r="K1160" s="1" t="n">
        <f aca="false">IF(COUNTIF('SQL Findings'!$A$4:$A$18,B1160)&gt;0,1,0)</f>
        <v>0</v>
      </c>
      <c r="L1160" s="1" t="n">
        <f aca="false">SUM(H1160:K1160)</f>
        <v>0</v>
      </c>
      <c r="M1160" s="1" t="str">
        <f aca="false">IF(L1160&gt;=2,"High",IF(L1160=1,"Medium","Low"))</f>
        <v>Low</v>
      </c>
    </row>
    <row r="1161" customFormat="false" ht="15" hidden="false" customHeight="true" outlineLevel="0" collapsed="false">
      <c r="A1161" s="1" t="str">
        <f aca="false">Transactions!A1161</f>
        <v>TXN500039</v>
      </c>
      <c r="B1161" s="1" t="str">
        <f aca="false">Transactions!B1161</f>
        <v>ACC1001</v>
      </c>
      <c r="C1161" s="1" t="str">
        <f aca="false">Transactions!I1161</f>
        <v>2026-03-12</v>
      </c>
      <c r="D1161" s="1" t="n">
        <f aca="false">Transactions!J1161</f>
        <v>4</v>
      </c>
      <c r="E1161" s="1" t="n">
        <f aca="false">Transactions!D1161</f>
        <v>20.18</v>
      </c>
      <c r="F1161" s="1" t="str">
        <f aca="false">Transactions!H1161</f>
        <v>POS</v>
      </c>
      <c r="G1161" s="1" t="str">
        <f aca="false">Transactions!G1161</f>
        <v>Retail</v>
      </c>
      <c r="H1161" s="1" t="n">
        <f aca="false">IF(COUNTIFS($B$2:$B$1489,B1161,$C$2:$C$1489,C1161,$D$2:$D$1489,D1161)&gt;6,1,0)</f>
        <v>0</v>
      </c>
      <c r="I1161" s="1" t="n">
        <f aca="false">IF(AND(F1161="Wire",E1161&gt;=1000,MOD(E1161,1000)=0),1,0)</f>
        <v>0</v>
      </c>
      <c r="J1161" s="1" t="n">
        <f aca="false">IF(AND(F1161="ATM",E1161&gt;2000,D1161&lt;=4),1,0)</f>
        <v>0</v>
      </c>
      <c r="K1161" s="1" t="n">
        <f aca="false">IF(COUNTIF('SQL Findings'!$A$4:$A$18,B1161)&gt;0,1,0)</f>
        <v>1</v>
      </c>
      <c r="L1161" s="1" t="n">
        <f aca="false">SUM(H1161:K1161)</f>
        <v>1</v>
      </c>
      <c r="M1161" s="1" t="str">
        <f aca="false">IF(L1161&gt;=2,"High",IF(L1161=1,"Medium","Low"))</f>
        <v>Medium</v>
      </c>
    </row>
    <row r="1162" customFormat="false" ht="15" hidden="false" customHeight="true" outlineLevel="0" collapsed="false">
      <c r="A1162" s="1" t="str">
        <f aca="false">Transactions!A1162</f>
        <v>TXN501302</v>
      </c>
      <c r="B1162" s="1" t="str">
        <f aca="false">Transactions!B1162</f>
        <v>ACC1057</v>
      </c>
      <c r="C1162" s="1" t="str">
        <f aca="false">Transactions!I1162</f>
        <v>2026-03-12</v>
      </c>
      <c r="D1162" s="1" t="n">
        <f aca="false">Transactions!J1162</f>
        <v>6</v>
      </c>
      <c r="E1162" s="1" t="n">
        <f aca="false">Transactions!D1162</f>
        <v>162.85</v>
      </c>
      <c r="F1162" s="1" t="str">
        <f aca="false">Transactions!H1162</f>
        <v>POS</v>
      </c>
      <c r="G1162" s="1" t="str">
        <f aca="false">Transactions!G1162</f>
        <v>Wire Transfer</v>
      </c>
      <c r="H1162" s="1" t="n">
        <f aca="false">IF(COUNTIFS($B$2:$B$1489,B1162,$C$2:$C$1489,C1162,$D$2:$D$1489,D1162)&gt;6,1,0)</f>
        <v>0</v>
      </c>
      <c r="I1162" s="1" t="n">
        <f aca="false">IF(AND(F1162="Wire",E1162&gt;=1000,MOD(E1162,1000)=0),1,0)</f>
        <v>0</v>
      </c>
      <c r="J1162" s="1" t="n">
        <f aca="false">IF(AND(F1162="ATM",E1162&gt;2000,D1162&lt;=4),1,0)</f>
        <v>0</v>
      </c>
      <c r="K1162" s="1" t="n">
        <f aca="false">IF(COUNTIF('SQL Findings'!$A$4:$A$18,B1162)&gt;0,1,0)</f>
        <v>1</v>
      </c>
      <c r="L1162" s="1" t="n">
        <f aca="false">SUM(H1162:K1162)</f>
        <v>1</v>
      </c>
      <c r="M1162" s="1" t="str">
        <f aca="false">IF(L1162&gt;=2,"High",IF(L1162=1,"Medium","Low"))</f>
        <v>Medium</v>
      </c>
    </row>
    <row r="1163" customFormat="false" ht="15" hidden="false" customHeight="true" outlineLevel="0" collapsed="false">
      <c r="A1163" s="1" t="str">
        <f aca="false">Transactions!A1163</f>
        <v>TXN500383</v>
      </c>
      <c r="B1163" s="1" t="str">
        <f aca="false">Transactions!B1163</f>
        <v>ACC1016</v>
      </c>
      <c r="C1163" s="1" t="str">
        <f aca="false">Transactions!I1163</f>
        <v>2026-03-12</v>
      </c>
      <c r="D1163" s="1" t="n">
        <f aca="false">Transactions!J1163</f>
        <v>6</v>
      </c>
      <c r="E1163" s="1" t="n">
        <f aca="false">Transactions!D1163</f>
        <v>9.86</v>
      </c>
      <c r="F1163" s="1" t="str">
        <f aca="false">Transactions!H1163</f>
        <v>POS</v>
      </c>
      <c r="G1163" s="1" t="str">
        <f aca="false">Transactions!G1163</f>
        <v>Electronics</v>
      </c>
      <c r="H1163" s="1" t="n">
        <f aca="false">IF(COUNTIFS($B$2:$B$1489,B1163,$C$2:$C$1489,C1163,$D$2:$D$1489,D1163)&gt;6,1,0)</f>
        <v>0</v>
      </c>
      <c r="I1163" s="1" t="n">
        <f aca="false">IF(AND(F1163="Wire",E1163&gt;=1000,MOD(E1163,1000)=0),1,0)</f>
        <v>0</v>
      </c>
      <c r="J1163" s="1" t="n">
        <f aca="false">IF(AND(F1163="ATM",E1163&gt;2000,D1163&lt;=4),1,0)</f>
        <v>0</v>
      </c>
      <c r="K1163" s="1" t="n">
        <f aca="false">IF(COUNTIF('SQL Findings'!$A$4:$A$18,B1163)&gt;0,1,0)</f>
        <v>0</v>
      </c>
      <c r="L1163" s="1" t="n">
        <f aca="false">SUM(H1163:K1163)</f>
        <v>0</v>
      </c>
      <c r="M1163" s="1" t="str">
        <f aca="false">IF(L1163&gt;=2,"High",IF(L1163=1,"Medium","Low"))</f>
        <v>Low</v>
      </c>
    </row>
    <row r="1164" customFormat="false" ht="15" hidden="false" customHeight="true" outlineLevel="0" collapsed="false">
      <c r="A1164" s="1" t="str">
        <f aca="false">Transactions!A1164</f>
        <v>TXN500245</v>
      </c>
      <c r="B1164" s="1" t="str">
        <f aca="false">Transactions!B1164</f>
        <v>ACC1010</v>
      </c>
      <c r="C1164" s="1" t="str">
        <f aca="false">Transactions!I1164</f>
        <v>2026-03-12</v>
      </c>
      <c r="D1164" s="1" t="n">
        <f aca="false">Transactions!J1164</f>
        <v>7</v>
      </c>
      <c r="E1164" s="1" t="n">
        <f aca="false">Transactions!D1164</f>
        <v>22.64</v>
      </c>
      <c r="F1164" s="1" t="str">
        <f aca="false">Transactions!H1164</f>
        <v>Online</v>
      </c>
      <c r="G1164" s="1" t="str">
        <f aca="false">Transactions!G1164</f>
        <v>Dining</v>
      </c>
      <c r="H1164" s="1" t="n">
        <f aca="false">IF(COUNTIFS($B$2:$B$1489,B1164,$C$2:$C$1489,C1164,$D$2:$D$1489,D1164)&gt;6,1,0)</f>
        <v>0</v>
      </c>
      <c r="I1164" s="1" t="n">
        <f aca="false">IF(AND(F1164="Wire",E1164&gt;=1000,MOD(E1164,1000)=0),1,0)</f>
        <v>0</v>
      </c>
      <c r="J1164" s="1" t="n">
        <f aca="false">IF(AND(F1164="ATM",E1164&gt;2000,D1164&lt;=4),1,0)</f>
        <v>0</v>
      </c>
      <c r="K1164" s="1" t="n">
        <f aca="false">IF(COUNTIF('SQL Findings'!$A$4:$A$18,B1164)&gt;0,1,0)</f>
        <v>0</v>
      </c>
      <c r="L1164" s="1" t="n">
        <f aca="false">SUM(H1164:K1164)</f>
        <v>0</v>
      </c>
      <c r="M1164" s="1" t="str">
        <f aca="false">IF(L1164&gt;=2,"High",IF(L1164=1,"Medium","Low"))</f>
        <v>Low</v>
      </c>
    </row>
    <row r="1165" customFormat="false" ht="15" hidden="false" customHeight="true" outlineLevel="0" collapsed="false">
      <c r="A1165" s="1" t="str">
        <f aca="false">Transactions!A1165</f>
        <v>TXN500029</v>
      </c>
      <c r="B1165" s="1" t="str">
        <f aca="false">Transactions!B1165</f>
        <v>ACC1001</v>
      </c>
      <c r="C1165" s="1" t="str">
        <f aca="false">Transactions!I1165</f>
        <v>2026-03-12</v>
      </c>
      <c r="D1165" s="1" t="n">
        <f aca="false">Transactions!J1165</f>
        <v>7</v>
      </c>
      <c r="E1165" s="1" t="n">
        <f aca="false">Transactions!D1165</f>
        <v>38.84</v>
      </c>
      <c r="F1165" s="1" t="str">
        <f aca="false">Transactions!H1165</f>
        <v>POS</v>
      </c>
      <c r="G1165" s="1" t="str">
        <f aca="false">Transactions!G1165</f>
        <v>Retail</v>
      </c>
      <c r="H1165" s="1" t="n">
        <f aca="false">IF(COUNTIFS($B$2:$B$1489,B1165,$C$2:$C$1489,C1165,$D$2:$D$1489,D1165)&gt;6,1,0)</f>
        <v>0</v>
      </c>
      <c r="I1165" s="1" t="n">
        <f aca="false">IF(AND(F1165="Wire",E1165&gt;=1000,MOD(E1165,1000)=0),1,0)</f>
        <v>0</v>
      </c>
      <c r="J1165" s="1" t="n">
        <f aca="false">IF(AND(F1165="ATM",E1165&gt;2000,D1165&lt;=4),1,0)</f>
        <v>0</v>
      </c>
      <c r="K1165" s="1" t="n">
        <f aca="false">IF(COUNTIF('SQL Findings'!$A$4:$A$18,B1165)&gt;0,1,0)</f>
        <v>1</v>
      </c>
      <c r="L1165" s="1" t="n">
        <f aca="false">SUM(H1165:K1165)</f>
        <v>1</v>
      </c>
      <c r="M1165" s="1" t="str">
        <f aca="false">IF(L1165&gt;=2,"High",IF(L1165=1,"Medium","Low"))</f>
        <v>Medium</v>
      </c>
    </row>
    <row r="1166" customFormat="false" ht="15" hidden="false" customHeight="true" outlineLevel="0" collapsed="false">
      <c r="A1166" s="1" t="str">
        <f aca="false">Transactions!A1166</f>
        <v>TXN500703</v>
      </c>
      <c r="B1166" s="1" t="str">
        <f aca="false">Transactions!B1166</f>
        <v>ACC1030</v>
      </c>
      <c r="C1166" s="1" t="str">
        <f aca="false">Transactions!I1166</f>
        <v>2026-03-12</v>
      </c>
      <c r="D1166" s="1" t="n">
        <f aca="false">Transactions!J1166</f>
        <v>7</v>
      </c>
      <c r="E1166" s="1" t="n">
        <f aca="false">Transactions!D1166</f>
        <v>35.38</v>
      </c>
      <c r="F1166" s="1" t="str">
        <f aca="false">Transactions!H1166</f>
        <v>POS</v>
      </c>
      <c r="G1166" s="1" t="str">
        <f aca="false">Transactions!G1166</f>
        <v>Electronics</v>
      </c>
      <c r="H1166" s="1" t="n">
        <f aca="false">IF(COUNTIFS($B$2:$B$1489,B1166,$C$2:$C$1489,C1166,$D$2:$D$1489,D1166)&gt;6,1,0)</f>
        <v>0</v>
      </c>
      <c r="I1166" s="1" t="n">
        <f aca="false">IF(AND(F1166="Wire",E1166&gt;=1000,MOD(E1166,1000)=0),1,0)</f>
        <v>0</v>
      </c>
      <c r="J1166" s="1" t="n">
        <f aca="false">IF(AND(F1166="ATM",E1166&gt;2000,D1166&lt;=4),1,0)</f>
        <v>0</v>
      </c>
      <c r="K1166" s="1" t="n">
        <f aca="false">IF(COUNTIF('SQL Findings'!$A$4:$A$18,B1166)&gt;0,1,0)</f>
        <v>1</v>
      </c>
      <c r="L1166" s="1" t="n">
        <f aca="false">SUM(H1166:K1166)</f>
        <v>1</v>
      </c>
      <c r="M1166" s="1" t="str">
        <f aca="false">IF(L1166&gt;=2,"High",IF(L1166=1,"Medium","Low"))</f>
        <v>Medium</v>
      </c>
    </row>
    <row r="1167" customFormat="false" ht="15" hidden="false" customHeight="true" outlineLevel="0" collapsed="false">
      <c r="A1167" s="1" t="str">
        <f aca="false">Transactions!A1167</f>
        <v>TXN501241</v>
      </c>
      <c r="B1167" s="1" t="str">
        <f aca="false">Transactions!B1167</f>
        <v>ACC1054</v>
      </c>
      <c r="C1167" s="1" t="str">
        <f aca="false">Transactions!I1167</f>
        <v>2026-03-12</v>
      </c>
      <c r="D1167" s="1" t="n">
        <f aca="false">Transactions!J1167</f>
        <v>8</v>
      </c>
      <c r="E1167" s="1" t="n">
        <f aca="false">Transactions!D1167</f>
        <v>47.41</v>
      </c>
      <c r="F1167" s="1" t="str">
        <f aca="false">Transactions!H1167</f>
        <v>POS</v>
      </c>
      <c r="G1167" s="1" t="str">
        <f aca="false">Transactions!G1167</f>
        <v>Dining</v>
      </c>
      <c r="H1167" s="1" t="n">
        <f aca="false">IF(COUNTIFS($B$2:$B$1489,B1167,$C$2:$C$1489,C1167,$D$2:$D$1489,D1167)&gt;6,1,0)</f>
        <v>0</v>
      </c>
      <c r="I1167" s="1" t="n">
        <f aca="false">IF(AND(F1167="Wire",E1167&gt;=1000,MOD(E1167,1000)=0),1,0)</f>
        <v>0</v>
      </c>
      <c r="J1167" s="1" t="n">
        <f aca="false">IF(AND(F1167="ATM",E1167&gt;2000,D1167&lt;=4),1,0)</f>
        <v>0</v>
      </c>
      <c r="K1167" s="1" t="n">
        <f aca="false">IF(COUNTIF('SQL Findings'!$A$4:$A$18,B1167)&gt;0,1,0)</f>
        <v>0</v>
      </c>
      <c r="L1167" s="1" t="n">
        <f aca="false">SUM(H1167:K1167)</f>
        <v>0</v>
      </c>
      <c r="M1167" s="1" t="str">
        <f aca="false">IF(L1167&gt;=2,"High",IF(L1167=1,"Medium","Low"))</f>
        <v>Low</v>
      </c>
    </row>
    <row r="1168" customFormat="false" ht="15" hidden="false" customHeight="true" outlineLevel="0" collapsed="false">
      <c r="A1168" s="1" t="str">
        <f aca="false">Transactions!A1168</f>
        <v>TXN500796</v>
      </c>
      <c r="B1168" s="1" t="str">
        <f aca="false">Transactions!B1168</f>
        <v>ACC1034</v>
      </c>
      <c r="C1168" s="1" t="str">
        <f aca="false">Transactions!I1168</f>
        <v>2026-03-12</v>
      </c>
      <c r="D1168" s="1" t="n">
        <f aca="false">Transactions!J1168</f>
        <v>9</v>
      </c>
      <c r="E1168" s="1" t="n">
        <f aca="false">Transactions!D1168</f>
        <v>172.06</v>
      </c>
      <c r="F1168" s="1" t="str">
        <f aca="false">Transactions!H1168</f>
        <v>ATM</v>
      </c>
      <c r="G1168" s="1" t="str">
        <f aca="false">Transactions!G1168</f>
        <v>Utilities</v>
      </c>
      <c r="H1168" s="1" t="n">
        <f aca="false">IF(COUNTIFS($B$2:$B$1489,B1168,$C$2:$C$1489,C1168,$D$2:$D$1489,D1168)&gt;6,1,0)</f>
        <v>0</v>
      </c>
      <c r="I1168" s="1" t="n">
        <f aca="false">IF(AND(F1168="Wire",E1168&gt;=1000,MOD(E1168,1000)=0),1,0)</f>
        <v>0</v>
      </c>
      <c r="J1168" s="1" t="n">
        <f aca="false">IF(AND(F1168="ATM",E1168&gt;2000,D1168&lt;=4),1,0)</f>
        <v>0</v>
      </c>
      <c r="K1168" s="1" t="n">
        <f aca="false">IF(COUNTIF('SQL Findings'!$A$4:$A$18,B1168)&gt;0,1,0)</f>
        <v>0</v>
      </c>
      <c r="L1168" s="1" t="n">
        <f aca="false">SUM(H1168:K1168)</f>
        <v>0</v>
      </c>
      <c r="M1168" s="1" t="str">
        <f aca="false">IF(L1168&gt;=2,"High",IF(L1168=1,"Medium","Low"))</f>
        <v>Low</v>
      </c>
    </row>
    <row r="1169" customFormat="false" ht="15" hidden="false" customHeight="true" outlineLevel="0" collapsed="false">
      <c r="A1169" s="1" t="str">
        <f aca="false">Transactions!A1169</f>
        <v>TXN500143</v>
      </c>
      <c r="B1169" s="1" t="str">
        <f aca="false">Transactions!B1169</f>
        <v>ACC1006</v>
      </c>
      <c r="C1169" s="1" t="str">
        <f aca="false">Transactions!I1169</f>
        <v>2026-03-12</v>
      </c>
      <c r="D1169" s="1" t="n">
        <f aca="false">Transactions!J1169</f>
        <v>9</v>
      </c>
      <c r="E1169" s="1" t="n">
        <f aca="false">Transactions!D1169</f>
        <v>15.69</v>
      </c>
      <c r="F1169" s="1" t="str">
        <f aca="false">Transactions!H1169</f>
        <v>Online</v>
      </c>
      <c r="G1169" s="1" t="str">
        <f aca="false">Transactions!G1169</f>
        <v>Online Marketplace</v>
      </c>
      <c r="H1169" s="1" t="n">
        <f aca="false">IF(COUNTIFS($B$2:$B$1489,B1169,$C$2:$C$1489,C1169,$D$2:$D$1489,D1169)&gt;6,1,0)</f>
        <v>0</v>
      </c>
      <c r="I1169" s="1" t="n">
        <f aca="false">IF(AND(F1169="Wire",E1169&gt;=1000,MOD(E1169,1000)=0),1,0)</f>
        <v>0</v>
      </c>
      <c r="J1169" s="1" t="n">
        <f aca="false">IF(AND(F1169="ATM",E1169&gt;2000,D1169&lt;=4),1,0)</f>
        <v>0</v>
      </c>
      <c r="K1169" s="1" t="n">
        <f aca="false">IF(COUNTIF('SQL Findings'!$A$4:$A$18,B1169)&gt;0,1,0)</f>
        <v>0</v>
      </c>
      <c r="L1169" s="1" t="n">
        <f aca="false">SUM(H1169:K1169)</f>
        <v>0</v>
      </c>
      <c r="M1169" s="1" t="str">
        <f aca="false">IF(L1169&gt;=2,"High",IF(L1169=1,"Medium","Low"))</f>
        <v>Low</v>
      </c>
    </row>
    <row r="1170" customFormat="false" ht="15" hidden="false" customHeight="true" outlineLevel="0" collapsed="false">
      <c r="A1170" s="1" t="str">
        <f aca="false">Transactions!A1170</f>
        <v>TXN500680</v>
      </c>
      <c r="B1170" s="1" t="str">
        <f aca="false">Transactions!B1170</f>
        <v>ACC1029</v>
      </c>
      <c r="C1170" s="1" t="str">
        <f aca="false">Transactions!I1170</f>
        <v>2026-03-12</v>
      </c>
      <c r="D1170" s="1" t="n">
        <f aca="false">Transactions!J1170</f>
        <v>11</v>
      </c>
      <c r="E1170" s="1" t="n">
        <f aca="false">Transactions!D1170</f>
        <v>209.43</v>
      </c>
      <c r="F1170" s="1" t="str">
        <f aca="false">Transactions!H1170</f>
        <v>Online</v>
      </c>
      <c r="G1170" s="1" t="str">
        <f aca="false">Transactions!G1170</f>
        <v>Dining</v>
      </c>
      <c r="H1170" s="1" t="n">
        <f aca="false">IF(COUNTIFS($B$2:$B$1489,B1170,$C$2:$C$1489,C1170,$D$2:$D$1489,D1170)&gt;6,1,0)</f>
        <v>0</v>
      </c>
      <c r="I1170" s="1" t="n">
        <f aca="false">IF(AND(F1170="Wire",E1170&gt;=1000,MOD(E1170,1000)=0),1,0)</f>
        <v>0</v>
      </c>
      <c r="J1170" s="1" t="n">
        <f aca="false">IF(AND(F1170="ATM",E1170&gt;2000,D1170&lt;=4),1,0)</f>
        <v>0</v>
      </c>
      <c r="K1170" s="1" t="n">
        <f aca="false">IF(COUNTIF('SQL Findings'!$A$4:$A$18,B1170)&gt;0,1,0)</f>
        <v>0</v>
      </c>
      <c r="L1170" s="1" t="n">
        <f aca="false">SUM(H1170:K1170)</f>
        <v>0</v>
      </c>
      <c r="M1170" s="1" t="str">
        <f aca="false">IF(L1170&gt;=2,"High",IF(L1170=1,"Medium","Low"))</f>
        <v>Low</v>
      </c>
    </row>
    <row r="1171" customFormat="false" ht="15" hidden="false" customHeight="true" outlineLevel="0" collapsed="false">
      <c r="A1171" s="1" t="str">
        <f aca="false">Transactions!A1171</f>
        <v>TXN501113</v>
      </c>
      <c r="B1171" s="1" t="str">
        <f aca="false">Transactions!B1171</f>
        <v>ACC1049</v>
      </c>
      <c r="C1171" s="1" t="str">
        <f aca="false">Transactions!I1171</f>
        <v>2026-03-12</v>
      </c>
      <c r="D1171" s="1" t="n">
        <f aca="false">Transactions!J1171</f>
        <v>12</v>
      </c>
      <c r="E1171" s="1" t="n">
        <f aca="false">Transactions!D1171</f>
        <v>145.92</v>
      </c>
      <c r="F1171" s="1" t="str">
        <f aca="false">Transactions!H1171</f>
        <v>ATM</v>
      </c>
      <c r="G1171" s="1" t="str">
        <f aca="false">Transactions!G1171</f>
        <v>Online Marketplace</v>
      </c>
      <c r="H1171" s="1" t="n">
        <f aca="false">IF(COUNTIFS($B$2:$B$1489,B1171,$C$2:$C$1489,C1171,$D$2:$D$1489,D1171)&gt;6,1,0)</f>
        <v>0</v>
      </c>
      <c r="I1171" s="1" t="n">
        <f aca="false">IF(AND(F1171="Wire",E1171&gt;=1000,MOD(E1171,1000)=0),1,0)</f>
        <v>0</v>
      </c>
      <c r="J1171" s="1" t="n">
        <f aca="false">IF(AND(F1171="ATM",E1171&gt;2000,D1171&lt;=4),1,0)</f>
        <v>0</v>
      </c>
      <c r="K1171" s="1" t="n">
        <f aca="false">IF(COUNTIF('SQL Findings'!$A$4:$A$18,B1171)&gt;0,1,0)</f>
        <v>0</v>
      </c>
      <c r="L1171" s="1" t="n">
        <f aca="false">SUM(H1171:K1171)</f>
        <v>0</v>
      </c>
      <c r="M1171" s="1" t="str">
        <f aca="false">IF(L1171&gt;=2,"High",IF(L1171=1,"Medium","Low"))</f>
        <v>Low</v>
      </c>
    </row>
    <row r="1172" customFormat="false" ht="15" hidden="false" customHeight="true" outlineLevel="0" collapsed="false">
      <c r="A1172" s="1" t="str">
        <f aca="false">Transactions!A1172</f>
        <v>TXN500899</v>
      </c>
      <c r="B1172" s="1" t="str">
        <f aca="false">Transactions!B1172</f>
        <v>ACC1038</v>
      </c>
      <c r="C1172" s="1" t="str">
        <f aca="false">Transactions!I1172</f>
        <v>2026-03-12</v>
      </c>
      <c r="D1172" s="1" t="n">
        <f aca="false">Transactions!J1172</f>
        <v>17</v>
      </c>
      <c r="E1172" s="1" t="n">
        <f aca="false">Transactions!D1172</f>
        <v>197.52</v>
      </c>
      <c r="F1172" s="1" t="str">
        <f aca="false">Transactions!H1172</f>
        <v>POS</v>
      </c>
      <c r="G1172" s="1" t="str">
        <f aca="false">Transactions!G1172</f>
        <v>Dining</v>
      </c>
      <c r="H1172" s="1" t="n">
        <f aca="false">IF(COUNTIFS($B$2:$B$1489,B1172,$C$2:$C$1489,C1172,$D$2:$D$1489,D1172)&gt;6,1,0)</f>
        <v>0</v>
      </c>
      <c r="I1172" s="1" t="n">
        <f aca="false">IF(AND(F1172="Wire",E1172&gt;=1000,MOD(E1172,1000)=0),1,0)</f>
        <v>0</v>
      </c>
      <c r="J1172" s="1" t="n">
        <f aca="false">IF(AND(F1172="ATM",E1172&gt;2000,D1172&lt;=4),1,0)</f>
        <v>0</v>
      </c>
      <c r="K1172" s="1" t="n">
        <f aca="false">IF(COUNTIF('SQL Findings'!$A$4:$A$18,B1172)&gt;0,1,0)</f>
        <v>0</v>
      </c>
      <c r="L1172" s="1" t="n">
        <f aca="false">SUM(H1172:K1172)</f>
        <v>0</v>
      </c>
      <c r="M1172" s="1" t="str">
        <f aca="false">IF(L1172&gt;=2,"High",IF(L1172=1,"Medium","Low"))</f>
        <v>Low</v>
      </c>
    </row>
    <row r="1173" customFormat="false" ht="15" hidden="false" customHeight="true" outlineLevel="0" collapsed="false">
      <c r="A1173" s="1" t="str">
        <f aca="false">Transactions!A1173</f>
        <v>TXN500950</v>
      </c>
      <c r="B1173" s="1" t="str">
        <f aca="false">Transactions!B1173</f>
        <v>ACC1041</v>
      </c>
      <c r="C1173" s="1" t="str">
        <f aca="false">Transactions!I1173</f>
        <v>2026-03-12</v>
      </c>
      <c r="D1173" s="1" t="n">
        <f aca="false">Transactions!J1173</f>
        <v>21</v>
      </c>
      <c r="E1173" s="1" t="n">
        <f aca="false">Transactions!D1173</f>
        <v>83.01</v>
      </c>
      <c r="F1173" s="1" t="str">
        <f aca="false">Transactions!H1173</f>
        <v>ATM</v>
      </c>
      <c r="G1173" s="1" t="str">
        <f aca="false">Transactions!G1173</f>
        <v>Dining</v>
      </c>
      <c r="H1173" s="1" t="n">
        <f aca="false">IF(COUNTIFS($B$2:$B$1489,B1173,$C$2:$C$1489,C1173,$D$2:$D$1489,D1173)&gt;6,1,0)</f>
        <v>0</v>
      </c>
      <c r="I1173" s="1" t="n">
        <f aca="false">IF(AND(F1173="Wire",E1173&gt;=1000,MOD(E1173,1000)=0),1,0)</f>
        <v>0</v>
      </c>
      <c r="J1173" s="1" t="n">
        <f aca="false">IF(AND(F1173="ATM",E1173&gt;2000,D1173&lt;=4),1,0)</f>
        <v>0</v>
      </c>
      <c r="K1173" s="1" t="n">
        <f aca="false">IF(COUNTIF('SQL Findings'!$A$4:$A$18,B1173)&gt;0,1,0)</f>
        <v>1</v>
      </c>
      <c r="L1173" s="1" t="n">
        <f aca="false">SUM(H1173:K1173)</f>
        <v>1</v>
      </c>
      <c r="M1173" s="1" t="str">
        <f aca="false">IF(L1173&gt;=2,"High",IF(L1173=1,"Medium","Low"))</f>
        <v>Medium</v>
      </c>
    </row>
    <row r="1174" customFormat="false" ht="15" hidden="false" customHeight="true" outlineLevel="0" collapsed="false">
      <c r="A1174" s="1" t="str">
        <f aca="false">Transactions!A1174</f>
        <v>TXN500448</v>
      </c>
      <c r="B1174" s="1" t="str">
        <f aca="false">Transactions!B1174</f>
        <v>ACC1020</v>
      </c>
      <c r="C1174" s="1" t="str">
        <f aca="false">Transactions!I1174</f>
        <v>2026-03-12</v>
      </c>
      <c r="D1174" s="1" t="n">
        <f aca="false">Transactions!J1174</f>
        <v>22</v>
      </c>
      <c r="E1174" s="1" t="n">
        <f aca="false">Transactions!D1174</f>
        <v>28.62</v>
      </c>
      <c r="F1174" s="1" t="str">
        <f aca="false">Transactions!H1174</f>
        <v>ATM</v>
      </c>
      <c r="G1174" s="1" t="str">
        <f aca="false">Transactions!G1174</f>
        <v>Wire Transfer</v>
      </c>
      <c r="H1174" s="1" t="n">
        <f aca="false">IF(COUNTIFS($B$2:$B$1489,B1174,$C$2:$C$1489,C1174,$D$2:$D$1489,D1174)&gt;6,1,0)</f>
        <v>0</v>
      </c>
      <c r="I1174" s="1" t="n">
        <f aca="false">IF(AND(F1174="Wire",E1174&gt;=1000,MOD(E1174,1000)=0),1,0)</f>
        <v>0</v>
      </c>
      <c r="J1174" s="1" t="n">
        <f aca="false">IF(AND(F1174="ATM",E1174&gt;2000,D1174&lt;=4),1,0)</f>
        <v>0</v>
      </c>
      <c r="K1174" s="1" t="n">
        <f aca="false">IF(COUNTIF('SQL Findings'!$A$4:$A$18,B1174)&gt;0,1,0)</f>
        <v>0</v>
      </c>
      <c r="L1174" s="1" t="n">
        <f aca="false">SUM(H1174:K1174)</f>
        <v>0</v>
      </c>
      <c r="M1174" s="1" t="str">
        <f aca="false">IF(L1174&gt;=2,"High",IF(L1174=1,"Medium","Low"))</f>
        <v>Low</v>
      </c>
    </row>
    <row r="1175" customFormat="false" ht="15" hidden="false" customHeight="true" outlineLevel="0" collapsed="false">
      <c r="A1175" s="1" t="str">
        <f aca="false">Transactions!A1175</f>
        <v>TXN500265</v>
      </c>
      <c r="B1175" s="1" t="str">
        <f aca="false">Transactions!B1175</f>
        <v>ACC1011</v>
      </c>
      <c r="C1175" s="1" t="str">
        <f aca="false">Transactions!I1175</f>
        <v>2026-03-13</v>
      </c>
      <c r="D1175" s="1" t="n">
        <f aca="false">Transactions!J1175</f>
        <v>2</v>
      </c>
      <c r="E1175" s="1" t="n">
        <f aca="false">Transactions!D1175</f>
        <v>53.13</v>
      </c>
      <c r="F1175" s="1" t="str">
        <f aca="false">Transactions!H1175</f>
        <v>ATM</v>
      </c>
      <c r="G1175" s="1" t="str">
        <f aca="false">Transactions!G1175</f>
        <v>Cash Withdrawal</v>
      </c>
      <c r="H1175" s="1" t="n">
        <f aca="false">IF(COUNTIFS($B$2:$B$1489,B1175,$C$2:$C$1489,C1175,$D$2:$D$1489,D1175)&gt;6,1,0)</f>
        <v>0</v>
      </c>
      <c r="I1175" s="1" t="n">
        <f aca="false">IF(AND(F1175="Wire",E1175&gt;=1000,MOD(E1175,1000)=0),1,0)</f>
        <v>0</v>
      </c>
      <c r="J1175" s="1" t="n">
        <f aca="false">IF(AND(F1175="ATM",E1175&gt;2000,D1175&lt;=4),1,0)</f>
        <v>0</v>
      </c>
      <c r="K1175" s="1" t="n">
        <f aca="false">IF(COUNTIF('SQL Findings'!$A$4:$A$18,B1175)&gt;0,1,0)</f>
        <v>0</v>
      </c>
      <c r="L1175" s="1" t="n">
        <f aca="false">SUM(H1175:K1175)</f>
        <v>0</v>
      </c>
      <c r="M1175" s="1" t="str">
        <f aca="false">IF(L1175&gt;=2,"High",IF(L1175=1,"Medium","Low"))</f>
        <v>Low</v>
      </c>
    </row>
    <row r="1176" customFormat="false" ht="15" hidden="false" customHeight="true" outlineLevel="0" collapsed="false">
      <c r="A1176" s="1" t="str">
        <f aca="false">Transactions!A1176</f>
        <v>TXN500815</v>
      </c>
      <c r="B1176" s="1" t="str">
        <f aca="false">Transactions!B1176</f>
        <v>ACC1034</v>
      </c>
      <c r="C1176" s="1" t="str">
        <f aca="false">Transactions!I1176</f>
        <v>2026-03-13</v>
      </c>
      <c r="D1176" s="1" t="n">
        <f aca="false">Transactions!J1176</f>
        <v>6</v>
      </c>
      <c r="E1176" s="1" t="n">
        <f aca="false">Transactions!D1176</f>
        <v>168.79</v>
      </c>
      <c r="F1176" s="1" t="str">
        <f aca="false">Transactions!H1176</f>
        <v>POS</v>
      </c>
      <c r="G1176" s="1" t="str">
        <f aca="false">Transactions!G1176</f>
        <v>Online Marketplace</v>
      </c>
      <c r="H1176" s="1" t="n">
        <f aca="false">IF(COUNTIFS($B$2:$B$1489,B1176,$C$2:$C$1489,C1176,$D$2:$D$1489,D1176)&gt;6,1,0)</f>
        <v>0</v>
      </c>
      <c r="I1176" s="1" t="n">
        <f aca="false">IF(AND(F1176="Wire",E1176&gt;=1000,MOD(E1176,1000)=0),1,0)</f>
        <v>0</v>
      </c>
      <c r="J1176" s="1" t="n">
        <f aca="false">IF(AND(F1176="ATM",E1176&gt;2000,D1176&lt;=4),1,0)</f>
        <v>0</v>
      </c>
      <c r="K1176" s="1" t="n">
        <f aca="false">IF(COUNTIF('SQL Findings'!$A$4:$A$18,B1176)&gt;0,1,0)</f>
        <v>0</v>
      </c>
      <c r="L1176" s="1" t="n">
        <f aca="false">SUM(H1176:K1176)</f>
        <v>0</v>
      </c>
      <c r="M1176" s="1" t="str">
        <f aca="false">IF(L1176&gt;=2,"High",IF(L1176=1,"Medium","Low"))</f>
        <v>Low</v>
      </c>
    </row>
    <row r="1177" customFormat="false" ht="15" hidden="false" customHeight="true" outlineLevel="0" collapsed="false">
      <c r="A1177" s="1" t="str">
        <f aca="false">Transactions!A1177</f>
        <v>TXN500880</v>
      </c>
      <c r="B1177" s="1" t="str">
        <f aca="false">Transactions!B1177</f>
        <v>ACC1038</v>
      </c>
      <c r="C1177" s="1" t="str">
        <f aca="false">Transactions!I1177</f>
        <v>2026-03-13</v>
      </c>
      <c r="D1177" s="1" t="n">
        <f aca="false">Transactions!J1177</f>
        <v>7</v>
      </c>
      <c r="E1177" s="1" t="n">
        <f aca="false">Transactions!D1177</f>
        <v>194.33</v>
      </c>
      <c r="F1177" s="1" t="str">
        <f aca="false">Transactions!H1177</f>
        <v>Online</v>
      </c>
      <c r="G1177" s="1" t="str">
        <f aca="false">Transactions!G1177</f>
        <v>Online Marketplace</v>
      </c>
      <c r="H1177" s="1" t="n">
        <f aca="false">IF(COUNTIFS($B$2:$B$1489,B1177,$C$2:$C$1489,C1177,$D$2:$D$1489,D1177)&gt;6,1,0)</f>
        <v>0</v>
      </c>
      <c r="I1177" s="1" t="n">
        <f aca="false">IF(AND(F1177="Wire",E1177&gt;=1000,MOD(E1177,1000)=0),1,0)</f>
        <v>0</v>
      </c>
      <c r="J1177" s="1" t="n">
        <f aca="false">IF(AND(F1177="ATM",E1177&gt;2000,D1177&lt;=4),1,0)</f>
        <v>0</v>
      </c>
      <c r="K1177" s="1" t="n">
        <f aca="false">IF(COUNTIF('SQL Findings'!$A$4:$A$18,B1177)&gt;0,1,0)</f>
        <v>0</v>
      </c>
      <c r="L1177" s="1" t="n">
        <f aca="false">SUM(H1177:K1177)</f>
        <v>0</v>
      </c>
      <c r="M1177" s="1" t="str">
        <f aca="false">IF(L1177&gt;=2,"High",IF(L1177=1,"Medium","Low"))</f>
        <v>Low</v>
      </c>
    </row>
    <row r="1178" customFormat="false" ht="15" hidden="false" customHeight="true" outlineLevel="0" collapsed="false">
      <c r="A1178" s="1" t="str">
        <f aca="false">Transactions!A1178</f>
        <v>TXN500098</v>
      </c>
      <c r="B1178" s="1" t="str">
        <f aca="false">Transactions!B1178</f>
        <v>ACC1004</v>
      </c>
      <c r="C1178" s="1" t="str">
        <f aca="false">Transactions!I1178</f>
        <v>2026-03-13</v>
      </c>
      <c r="D1178" s="1" t="n">
        <f aca="false">Transactions!J1178</f>
        <v>7</v>
      </c>
      <c r="E1178" s="1" t="n">
        <f aca="false">Transactions!D1178</f>
        <v>84.35</v>
      </c>
      <c r="F1178" s="1" t="str">
        <f aca="false">Transactions!H1178</f>
        <v>Online</v>
      </c>
      <c r="G1178" s="1" t="str">
        <f aca="false">Transactions!G1178</f>
        <v>Electronics</v>
      </c>
      <c r="H1178" s="1" t="n">
        <f aca="false">IF(COUNTIFS($B$2:$B$1489,B1178,$C$2:$C$1489,C1178,$D$2:$D$1489,D1178)&gt;6,1,0)</f>
        <v>0</v>
      </c>
      <c r="I1178" s="1" t="n">
        <f aca="false">IF(AND(F1178="Wire",E1178&gt;=1000,MOD(E1178,1000)=0),1,0)</f>
        <v>0</v>
      </c>
      <c r="J1178" s="1" t="n">
        <f aca="false">IF(AND(F1178="ATM",E1178&gt;2000,D1178&lt;=4),1,0)</f>
        <v>0</v>
      </c>
      <c r="K1178" s="1" t="n">
        <f aca="false">IF(COUNTIF('SQL Findings'!$A$4:$A$18,B1178)&gt;0,1,0)</f>
        <v>1</v>
      </c>
      <c r="L1178" s="1" t="n">
        <f aca="false">SUM(H1178:K1178)</f>
        <v>1</v>
      </c>
      <c r="M1178" s="1" t="str">
        <f aca="false">IF(L1178&gt;=2,"High",IF(L1178=1,"Medium","Low"))</f>
        <v>Medium</v>
      </c>
    </row>
    <row r="1179" customFormat="false" ht="15" hidden="false" customHeight="true" outlineLevel="0" collapsed="false">
      <c r="A1179" s="1" t="str">
        <f aca="false">Transactions!A1179</f>
        <v>TXN501380</v>
      </c>
      <c r="B1179" s="1" t="str">
        <f aca="false">Transactions!B1179</f>
        <v>ACC1040</v>
      </c>
      <c r="C1179" s="1" t="str">
        <f aca="false">Transactions!I1179</f>
        <v>2026-03-13</v>
      </c>
      <c r="D1179" s="1" t="n">
        <f aca="false">Transactions!J1179</f>
        <v>9</v>
      </c>
      <c r="E1179" s="1" t="n">
        <f aca="false">Transactions!D1179</f>
        <v>2622.15</v>
      </c>
      <c r="F1179" s="1" t="str">
        <f aca="false">Transactions!H1179</f>
        <v>Wire</v>
      </c>
      <c r="G1179" s="1" t="str">
        <f aca="false">Transactions!G1179</f>
        <v>Wire Transfer</v>
      </c>
      <c r="H1179" s="1" t="n">
        <f aca="false">IF(COUNTIFS($B$2:$B$1489,B1179,$C$2:$C$1489,C1179,$D$2:$D$1489,D1179)&gt;6,1,0)</f>
        <v>0</v>
      </c>
      <c r="I1179" s="1" t="n">
        <f aca="false">IF(AND(F1179="Wire",E1179&gt;=1000,MOD(E1179,1000)=0),1,0)</f>
        <v>0</v>
      </c>
      <c r="J1179" s="1" t="n">
        <f aca="false">IF(AND(F1179="ATM",E1179&gt;2000,D1179&lt;=4),1,0)</f>
        <v>0</v>
      </c>
      <c r="K1179" s="1" t="n">
        <f aca="false">IF(COUNTIF('SQL Findings'!$A$4:$A$18,B1179)&gt;0,1,0)</f>
        <v>1</v>
      </c>
      <c r="L1179" s="1" t="n">
        <f aca="false">SUM(H1179:K1179)</f>
        <v>1</v>
      </c>
      <c r="M1179" s="1" t="str">
        <f aca="false">IF(L1179&gt;=2,"High",IF(L1179=1,"Medium","Low"))</f>
        <v>Medium</v>
      </c>
    </row>
    <row r="1180" customFormat="false" ht="15" hidden="false" customHeight="true" outlineLevel="0" collapsed="false">
      <c r="A1180" s="1" t="str">
        <f aca="false">Transactions!A1180</f>
        <v>TXN501145</v>
      </c>
      <c r="B1180" s="1" t="str">
        <f aca="false">Transactions!B1180</f>
        <v>ACC1050</v>
      </c>
      <c r="C1180" s="1" t="str">
        <f aca="false">Transactions!I1180</f>
        <v>2026-03-13</v>
      </c>
      <c r="D1180" s="1" t="n">
        <f aca="false">Transactions!J1180</f>
        <v>10</v>
      </c>
      <c r="E1180" s="1" t="n">
        <f aca="false">Transactions!D1180</f>
        <v>57.07</v>
      </c>
      <c r="F1180" s="1" t="str">
        <f aca="false">Transactions!H1180</f>
        <v>ATM</v>
      </c>
      <c r="G1180" s="1" t="str">
        <f aca="false">Transactions!G1180</f>
        <v>Cash Withdrawal</v>
      </c>
      <c r="H1180" s="1" t="n">
        <f aca="false">IF(COUNTIFS($B$2:$B$1489,B1180,$C$2:$C$1489,C1180,$D$2:$D$1489,D1180)&gt;6,1,0)</f>
        <v>0</v>
      </c>
      <c r="I1180" s="1" t="n">
        <f aca="false">IF(AND(F1180="Wire",E1180&gt;=1000,MOD(E1180,1000)=0),1,0)</f>
        <v>0</v>
      </c>
      <c r="J1180" s="1" t="n">
        <f aca="false">IF(AND(F1180="ATM",E1180&gt;2000,D1180&lt;=4),1,0)</f>
        <v>0</v>
      </c>
      <c r="K1180" s="1" t="n">
        <f aca="false">IF(COUNTIF('SQL Findings'!$A$4:$A$18,B1180)&gt;0,1,0)</f>
        <v>0</v>
      </c>
      <c r="L1180" s="1" t="n">
        <f aca="false">SUM(H1180:K1180)</f>
        <v>0</v>
      </c>
      <c r="M1180" s="1" t="str">
        <f aca="false">IF(L1180&gt;=2,"High",IF(L1180=1,"Medium","Low"))</f>
        <v>Low</v>
      </c>
    </row>
    <row r="1181" customFormat="false" ht="15" hidden="false" customHeight="true" outlineLevel="0" collapsed="false">
      <c r="A1181" s="1" t="str">
        <f aca="false">Transactions!A1181</f>
        <v>TXN501381</v>
      </c>
      <c r="B1181" s="1" t="str">
        <f aca="false">Transactions!B1181</f>
        <v>ACC1040</v>
      </c>
      <c r="C1181" s="1" t="str">
        <f aca="false">Transactions!I1181</f>
        <v>2026-03-13</v>
      </c>
      <c r="D1181" s="1" t="n">
        <f aca="false">Transactions!J1181</f>
        <v>10</v>
      </c>
      <c r="E1181" s="1" t="n">
        <f aca="false">Transactions!D1181</f>
        <v>2697.07</v>
      </c>
      <c r="F1181" s="1" t="str">
        <f aca="false">Transactions!H1181</f>
        <v>Wire</v>
      </c>
      <c r="G1181" s="1" t="str">
        <f aca="false">Transactions!G1181</f>
        <v>Wire Transfer</v>
      </c>
      <c r="H1181" s="1" t="n">
        <f aca="false">IF(COUNTIFS($B$2:$B$1489,B1181,$C$2:$C$1489,C1181,$D$2:$D$1489,D1181)&gt;6,1,0)</f>
        <v>0</v>
      </c>
      <c r="I1181" s="1" t="n">
        <f aca="false">IF(AND(F1181="Wire",E1181&gt;=1000,MOD(E1181,1000)=0),1,0)</f>
        <v>0</v>
      </c>
      <c r="J1181" s="1" t="n">
        <f aca="false">IF(AND(F1181="ATM",E1181&gt;2000,D1181&lt;=4),1,0)</f>
        <v>0</v>
      </c>
      <c r="K1181" s="1" t="n">
        <f aca="false">IF(COUNTIF('SQL Findings'!$A$4:$A$18,B1181)&gt;0,1,0)</f>
        <v>1</v>
      </c>
      <c r="L1181" s="1" t="n">
        <f aca="false">SUM(H1181:K1181)</f>
        <v>1</v>
      </c>
      <c r="M1181" s="1" t="str">
        <f aca="false">IF(L1181&gt;=2,"High",IF(L1181=1,"Medium","Low"))</f>
        <v>Medium</v>
      </c>
    </row>
    <row r="1182" customFormat="false" ht="15" hidden="false" customHeight="true" outlineLevel="0" collapsed="false">
      <c r="A1182" s="1" t="str">
        <f aca="false">Transactions!A1182</f>
        <v>TXN500553</v>
      </c>
      <c r="B1182" s="1" t="str">
        <f aca="false">Transactions!B1182</f>
        <v>ACC1024</v>
      </c>
      <c r="C1182" s="1" t="str">
        <f aca="false">Transactions!I1182</f>
        <v>2026-03-13</v>
      </c>
      <c r="D1182" s="1" t="n">
        <f aca="false">Transactions!J1182</f>
        <v>12</v>
      </c>
      <c r="E1182" s="1" t="n">
        <f aca="false">Transactions!D1182</f>
        <v>190.76</v>
      </c>
      <c r="F1182" s="1" t="str">
        <f aca="false">Transactions!H1182</f>
        <v>POS</v>
      </c>
      <c r="G1182" s="1" t="str">
        <f aca="false">Transactions!G1182</f>
        <v>Retail</v>
      </c>
      <c r="H1182" s="1" t="n">
        <f aca="false">IF(COUNTIFS($B$2:$B$1489,B1182,$C$2:$C$1489,C1182,$D$2:$D$1489,D1182)&gt;6,1,0)</f>
        <v>0</v>
      </c>
      <c r="I1182" s="1" t="n">
        <f aca="false">IF(AND(F1182="Wire",E1182&gt;=1000,MOD(E1182,1000)=0),1,0)</f>
        <v>0</v>
      </c>
      <c r="J1182" s="1" t="n">
        <f aca="false">IF(AND(F1182="ATM",E1182&gt;2000,D1182&lt;=4),1,0)</f>
        <v>0</v>
      </c>
      <c r="K1182" s="1" t="n">
        <f aca="false">IF(COUNTIF('SQL Findings'!$A$4:$A$18,B1182)&gt;0,1,0)</f>
        <v>1</v>
      </c>
      <c r="L1182" s="1" t="n">
        <f aca="false">SUM(H1182:K1182)</f>
        <v>1</v>
      </c>
      <c r="M1182" s="1" t="str">
        <f aca="false">IF(L1182&gt;=2,"High",IF(L1182=1,"Medium","Low"))</f>
        <v>Medium</v>
      </c>
    </row>
    <row r="1183" customFormat="false" ht="15" hidden="false" customHeight="true" outlineLevel="0" collapsed="false">
      <c r="A1183" s="1" t="str">
        <f aca="false">Transactions!A1183</f>
        <v>TXN501382</v>
      </c>
      <c r="B1183" s="1" t="str">
        <f aca="false">Transactions!B1183</f>
        <v>ACC1040</v>
      </c>
      <c r="C1183" s="1" t="str">
        <f aca="false">Transactions!I1183</f>
        <v>2026-03-13</v>
      </c>
      <c r="D1183" s="1" t="n">
        <f aca="false">Transactions!J1183</f>
        <v>12</v>
      </c>
      <c r="E1183" s="1" t="n">
        <f aca="false">Transactions!D1183</f>
        <v>2611.43</v>
      </c>
      <c r="F1183" s="1" t="str">
        <f aca="false">Transactions!H1183</f>
        <v>Wire</v>
      </c>
      <c r="G1183" s="1" t="str">
        <f aca="false">Transactions!G1183</f>
        <v>Wire Transfer</v>
      </c>
      <c r="H1183" s="1" t="n">
        <f aca="false">IF(COUNTIFS($B$2:$B$1489,B1183,$C$2:$C$1489,C1183,$D$2:$D$1489,D1183)&gt;6,1,0)</f>
        <v>0</v>
      </c>
      <c r="I1183" s="1" t="n">
        <f aca="false">IF(AND(F1183="Wire",E1183&gt;=1000,MOD(E1183,1000)=0),1,0)</f>
        <v>0</v>
      </c>
      <c r="J1183" s="1" t="n">
        <f aca="false">IF(AND(F1183="ATM",E1183&gt;2000,D1183&lt;=4),1,0)</f>
        <v>0</v>
      </c>
      <c r="K1183" s="1" t="n">
        <f aca="false">IF(COUNTIF('SQL Findings'!$A$4:$A$18,B1183)&gt;0,1,0)</f>
        <v>1</v>
      </c>
      <c r="L1183" s="1" t="n">
        <f aca="false">SUM(H1183:K1183)</f>
        <v>1</v>
      </c>
      <c r="M1183" s="1" t="str">
        <f aca="false">IF(L1183&gt;=2,"High",IF(L1183=1,"Medium","Low"))</f>
        <v>Medium</v>
      </c>
    </row>
    <row r="1184" customFormat="false" ht="15" hidden="false" customHeight="true" outlineLevel="0" collapsed="false">
      <c r="A1184" s="1" t="str">
        <f aca="false">Transactions!A1184</f>
        <v>TXN501383</v>
      </c>
      <c r="B1184" s="1" t="str">
        <f aca="false">Transactions!B1184</f>
        <v>ACC1040</v>
      </c>
      <c r="C1184" s="1" t="str">
        <f aca="false">Transactions!I1184</f>
        <v>2026-03-13</v>
      </c>
      <c r="D1184" s="1" t="n">
        <f aca="false">Transactions!J1184</f>
        <v>14</v>
      </c>
      <c r="E1184" s="1" t="n">
        <f aca="false">Transactions!D1184</f>
        <v>2466.66</v>
      </c>
      <c r="F1184" s="1" t="str">
        <f aca="false">Transactions!H1184</f>
        <v>Wire</v>
      </c>
      <c r="G1184" s="1" t="str">
        <f aca="false">Transactions!G1184</f>
        <v>Wire Transfer</v>
      </c>
      <c r="H1184" s="1" t="n">
        <f aca="false">IF(COUNTIFS($B$2:$B$1489,B1184,$C$2:$C$1489,C1184,$D$2:$D$1489,D1184)&gt;6,1,0)</f>
        <v>0</v>
      </c>
      <c r="I1184" s="1" t="n">
        <f aca="false">IF(AND(F1184="Wire",E1184&gt;=1000,MOD(E1184,1000)=0),1,0)</f>
        <v>0</v>
      </c>
      <c r="J1184" s="1" t="n">
        <f aca="false">IF(AND(F1184="ATM",E1184&gt;2000,D1184&lt;=4),1,0)</f>
        <v>0</v>
      </c>
      <c r="K1184" s="1" t="n">
        <f aca="false">IF(COUNTIF('SQL Findings'!$A$4:$A$18,B1184)&gt;0,1,0)</f>
        <v>1</v>
      </c>
      <c r="L1184" s="1" t="n">
        <f aca="false">SUM(H1184:K1184)</f>
        <v>1</v>
      </c>
      <c r="M1184" s="1" t="str">
        <f aca="false">IF(L1184&gt;=2,"High",IF(L1184=1,"Medium","Low"))</f>
        <v>Medium</v>
      </c>
    </row>
    <row r="1185" customFormat="false" ht="15" hidden="false" customHeight="true" outlineLevel="0" collapsed="false">
      <c r="A1185" s="1" t="str">
        <f aca="false">Transactions!A1185</f>
        <v>TXN501317</v>
      </c>
      <c r="B1185" s="1" t="str">
        <f aca="false">Transactions!B1185</f>
        <v>ACC1057</v>
      </c>
      <c r="C1185" s="1" t="str">
        <f aca="false">Transactions!I1185</f>
        <v>2026-03-13</v>
      </c>
      <c r="D1185" s="1" t="n">
        <f aca="false">Transactions!J1185</f>
        <v>17</v>
      </c>
      <c r="E1185" s="1" t="n">
        <f aca="false">Transactions!D1185</f>
        <v>25.57</v>
      </c>
      <c r="F1185" s="1" t="str">
        <f aca="false">Transactions!H1185</f>
        <v>Online</v>
      </c>
      <c r="G1185" s="1" t="str">
        <f aca="false">Transactions!G1185</f>
        <v>Electronics</v>
      </c>
      <c r="H1185" s="1" t="n">
        <f aca="false">IF(COUNTIFS($B$2:$B$1489,B1185,$C$2:$C$1489,C1185,$D$2:$D$1489,D1185)&gt;6,1,0)</f>
        <v>0</v>
      </c>
      <c r="I1185" s="1" t="n">
        <f aca="false">IF(AND(F1185="Wire",E1185&gt;=1000,MOD(E1185,1000)=0),1,0)</f>
        <v>0</v>
      </c>
      <c r="J1185" s="1" t="n">
        <f aca="false">IF(AND(F1185="ATM",E1185&gt;2000,D1185&lt;=4),1,0)</f>
        <v>0</v>
      </c>
      <c r="K1185" s="1" t="n">
        <f aca="false">IF(COUNTIF('SQL Findings'!$A$4:$A$18,B1185)&gt;0,1,0)</f>
        <v>1</v>
      </c>
      <c r="L1185" s="1" t="n">
        <f aca="false">SUM(H1185:K1185)</f>
        <v>1</v>
      </c>
      <c r="M1185" s="1" t="str">
        <f aca="false">IF(L1185&gt;=2,"High",IF(L1185=1,"Medium","Low"))</f>
        <v>Medium</v>
      </c>
    </row>
    <row r="1186" customFormat="false" ht="15" hidden="false" customHeight="true" outlineLevel="0" collapsed="false">
      <c r="A1186" s="1" t="str">
        <f aca="false">Transactions!A1186</f>
        <v>TXN500287</v>
      </c>
      <c r="B1186" s="1" t="str">
        <f aca="false">Transactions!B1186</f>
        <v>ACC1012</v>
      </c>
      <c r="C1186" s="1" t="str">
        <f aca="false">Transactions!I1186</f>
        <v>2026-03-13</v>
      </c>
      <c r="D1186" s="1" t="n">
        <f aca="false">Transactions!J1186</f>
        <v>17</v>
      </c>
      <c r="E1186" s="1" t="n">
        <f aca="false">Transactions!D1186</f>
        <v>58.17</v>
      </c>
      <c r="F1186" s="1" t="str">
        <f aca="false">Transactions!H1186</f>
        <v>POS</v>
      </c>
      <c r="G1186" s="1" t="str">
        <f aca="false">Transactions!G1186</f>
        <v>Cash Withdrawal</v>
      </c>
      <c r="H1186" s="1" t="n">
        <f aca="false">IF(COUNTIFS($B$2:$B$1489,B1186,$C$2:$C$1489,C1186,$D$2:$D$1489,D1186)&gt;6,1,0)</f>
        <v>0</v>
      </c>
      <c r="I1186" s="1" t="n">
        <f aca="false">IF(AND(F1186="Wire",E1186&gt;=1000,MOD(E1186,1000)=0),1,0)</f>
        <v>0</v>
      </c>
      <c r="J1186" s="1" t="n">
        <f aca="false">IF(AND(F1186="ATM",E1186&gt;2000,D1186&lt;=4),1,0)</f>
        <v>0</v>
      </c>
      <c r="K1186" s="1" t="n">
        <f aca="false">IF(COUNTIF('SQL Findings'!$A$4:$A$18,B1186)&gt;0,1,0)</f>
        <v>0</v>
      </c>
      <c r="L1186" s="1" t="n">
        <f aca="false">SUM(H1186:K1186)</f>
        <v>0</v>
      </c>
      <c r="M1186" s="1" t="str">
        <f aca="false">IF(L1186&gt;=2,"High",IF(L1186=1,"Medium","Low"))</f>
        <v>Low</v>
      </c>
    </row>
    <row r="1187" customFormat="false" ht="15" hidden="false" customHeight="true" outlineLevel="0" collapsed="false">
      <c r="A1187" s="1" t="str">
        <f aca="false">Transactions!A1187</f>
        <v>TXN500069</v>
      </c>
      <c r="B1187" s="1" t="str">
        <f aca="false">Transactions!B1187</f>
        <v>ACC1002</v>
      </c>
      <c r="C1187" s="1" t="str">
        <f aca="false">Transactions!I1187</f>
        <v>2026-03-13</v>
      </c>
      <c r="D1187" s="1" t="n">
        <f aca="false">Transactions!J1187</f>
        <v>18</v>
      </c>
      <c r="E1187" s="1" t="n">
        <f aca="false">Transactions!D1187</f>
        <v>92.34</v>
      </c>
      <c r="F1187" s="1" t="str">
        <f aca="false">Transactions!H1187</f>
        <v>POS</v>
      </c>
      <c r="G1187" s="1" t="str">
        <f aca="false">Transactions!G1187</f>
        <v>Travel</v>
      </c>
      <c r="H1187" s="1" t="n">
        <f aca="false">IF(COUNTIFS($B$2:$B$1489,B1187,$C$2:$C$1489,C1187,$D$2:$D$1489,D1187)&gt;6,1,0)</f>
        <v>0</v>
      </c>
      <c r="I1187" s="1" t="n">
        <f aca="false">IF(AND(F1187="Wire",E1187&gt;=1000,MOD(E1187,1000)=0),1,0)</f>
        <v>0</v>
      </c>
      <c r="J1187" s="1" t="n">
        <f aca="false">IF(AND(F1187="ATM",E1187&gt;2000,D1187&lt;=4),1,0)</f>
        <v>0</v>
      </c>
      <c r="K1187" s="1" t="n">
        <f aca="false">IF(COUNTIF('SQL Findings'!$A$4:$A$18,B1187)&gt;0,1,0)</f>
        <v>1</v>
      </c>
      <c r="L1187" s="1" t="n">
        <f aca="false">SUM(H1187:K1187)</f>
        <v>1</v>
      </c>
      <c r="M1187" s="1" t="str">
        <f aca="false">IF(L1187&gt;=2,"High",IF(L1187=1,"Medium","Low"))</f>
        <v>Medium</v>
      </c>
    </row>
    <row r="1188" customFormat="false" ht="15" hidden="false" customHeight="true" outlineLevel="0" collapsed="false">
      <c r="A1188" s="1" t="str">
        <f aca="false">Transactions!A1188</f>
        <v>TXN500556</v>
      </c>
      <c r="B1188" s="1" t="str">
        <f aca="false">Transactions!B1188</f>
        <v>ACC1024</v>
      </c>
      <c r="C1188" s="1" t="str">
        <f aca="false">Transactions!I1188</f>
        <v>2026-03-13</v>
      </c>
      <c r="D1188" s="1" t="n">
        <f aca="false">Transactions!J1188</f>
        <v>19</v>
      </c>
      <c r="E1188" s="1" t="n">
        <f aca="false">Transactions!D1188</f>
        <v>46.03</v>
      </c>
      <c r="F1188" s="1" t="str">
        <f aca="false">Transactions!H1188</f>
        <v>ATM</v>
      </c>
      <c r="G1188" s="1" t="str">
        <f aca="false">Transactions!G1188</f>
        <v>Travel</v>
      </c>
      <c r="H1188" s="1" t="n">
        <f aca="false">IF(COUNTIFS($B$2:$B$1489,B1188,$C$2:$C$1489,C1188,$D$2:$D$1489,D1188)&gt;6,1,0)</f>
        <v>0</v>
      </c>
      <c r="I1188" s="1" t="n">
        <f aca="false">IF(AND(F1188="Wire",E1188&gt;=1000,MOD(E1188,1000)=0),1,0)</f>
        <v>0</v>
      </c>
      <c r="J1188" s="1" t="n">
        <f aca="false">IF(AND(F1188="ATM",E1188&gt;2000,D1188&lt;=4),1,0)</f>
        <v>0</v>
      </c>
      <c r="K1188" s="1" t="n">
        <f aca="false">IF(COUNTIF('SQL Findings'!$A$4:$A$18,B1188)&gt;0,1,0)</f>
        <v>1</v>
      </c>
      <c r="L1188" s="1" t="n">
        <f aca="false">SUM(H1188:K1188)</f>
        <v>1</v>
      </c>
      <c r="M1188" s="1" t="str">
        <f aca="false">IF(L1188&gt;=2,"High",IF(L1188=1,"Medium","Low"))</f>
        <v>Medium</v>
      </c>
    </row>
    <row r="1189" customFormat="false" ht="15" hidden="false" customHeight="true" outlineLevel="0" collapsed="false">
      <c r="A1189" s="1" t="str">
        <f aca="false">Transactions!A1189</f>
        <v>TXN501030</v>
      </c>
      <c r="B1189" s="1" t="str">
        <f aca="false">Transactions!B1189</f>
        <v>ACC1045</v>
      </c>
      <c r="C1189" s="1" t="str">
        <f aca="false">Transactions!I1189</f>
        <v>2026-03-13</v>
      </c>
      <c r="D1189" s="1" t="n">
        <f aca="false">Transactions!J1189</f>
        <v>19</v>
      </c>
      <c r="E1189" s="1" t="n">
        <f aca="false">Transactions!D1189</f>
        <v>26.56</v>
      </c>
      <c r="F1189" s="1" t="str">
        <f aca="false">Transactions!H1189</f>
        <v>Online</v>
      </c>
      <c r="G1189" s="1" t="str">
        <f aca="false">Transactions!G1189</f>
        <v>Cash Withdrawal</v>
      </c>
      <c r="H1189" s="1" t="n">
        <f aca="false">IF(COUNTIFS($B$2:$B$1489,B1189,$C$2:$C$1489,C1189,$D$2:$D$1489,D1189)&gt;6,1,0)</f>
        <v>0</v>
      </c>
      <c r="I1189" s="1" t="n">
        <f aca="false">IF(AND(F1189="Wire",E1189&gt;=1000,MOD(E1189,1000)=0),1,0)</f>
        <v>0</v>
      </c>
      <c r="J1189" s="1" t="n">
        <f aca="false">IF(AND(F1189="ATM",E1189&gt;2000,D1189&lt;=4),1,0)</f>
        <v>0</v>
      </c>
      <c r="K1189" s="1" t="n">
        <f aca="false">IF(COUNTIF('SQL Findings'!$A$4:$A$18,B1189)&gt;0,1,0)</f>
        <v>0</v>
      </c>
      <c r="L1189" s="1" t="n">
        <f aca="false">SUM(H1189:K1189)</f>
        <v>0</v>
      </c>
      <c r="M1189" s="1" t="str">
        <f aca="false">IF(L1189&gt;=2,"High",IF(L1189=1,"Medium","Low"))</f>
        <v>Low</v>
      </c>
    </row>
    <row r="1190" customFormat="false" ht="15" hidden="false" customHeight="true" outlineLevel="0" collapsed="false">
      <c r="A1190" s="1" t="str">
        <f aca="false">Transactions!A1190</f>
        <v>TXN500271</v>
      </c>
      <c r="B1190" s="1" t="str">
        <f aca="false">Transactions!B1190</f>
        <v>ACC1011</v>
      </c>
      <c r="C1190" s="1" t="str">
        <f aca="false">Transactions!I1190</f>
        <v>2026-03-13</v>
      </c>
      <c r="D1190" s="1" t="n">
        <f aca="false">Transactions!J1190</f>
        <v>22</v>
      </c>
      <c r="E1190" s="1" t="n">
        <f aca="false">Transactions!D1190</f>
        <v>243.99</v>
      </c>
      <c r="F1190" s="1" t="str">
        <f aca="false">Transactions!H1190</f>
        <v>ATM</v>
      </c>
      <c r="G1190" s="1" t="str">
        <f aca="false">Transactions!G1190</f>
        <v>Retail</v>
      </c>
      <c r="H1190" s="1" t="n">
        <f aca="false">IF(COUNTIFS($B$2:$B$1489,B1190,$C$2:$C$1489,C1190,$D$2:$D$1489,D1190)&gt;6,1,0)</f>
        <v>0</v>
      </c>
      <c r="I1190" s="1" t="n">
        <f aca="false">IF(AND(F1190="Wire",E1190&gt;=1000,MOD(E1190,1000)=0),1,0)</f>
        <v>0</v>
      </c>
      <c r="J1190" s="1" t="n">
        <f aca="false">IF(AND(F1190="ATM",E1190&gt;2000,D1190&lt;=4),1,0)</f>
        <v>0</v>
      </c>
      <c r="K1190" s="1" t="n">
        <f aca="false">IF(COUNTIF('SQL Findings'!$A$4:$A$18,B1190)&gt;0,1,0)</f>
        <v>0</v>
      </c>
      <c r="L1190" s="1" t="n">
        <f aca="false">SUM(H1190:K1190)</f>
        <v>0</v>
      </c>
      <c r="M1190" s="1" t="str">
        <f aca="false">IF(L1190&gt;=2,"High",IF(L1190=1,"Medium","Low"))</f>
        <v>Low</v>
      </c>
    </row>
    <row r="1191" customFormat="false" ht="15" hidden="false" customHeight="true" outlineLevel="0" collapsed="false">
      <c r="A1191" s="1" t="str">
        <f aca="false">Transactions!A1191</f>
        <v>TXN500643</v>
      </c>
      <c r="B1191" s="1" t="str">
        <f aca="false">Transactions!B1191</f>
        <v>ACC1028</v>
      </c>
      <c r="C1191" s="1" t="str">
        <f aca="false">Transactions!I1191</f>
        <v>2026-03-14</v>
      </c>
      <c r="D1191" s="1" t="n">
        <f aca="false">Transactions!J1191</f>
        <v>0</v>
      </c>
      <c r="E1191" s="1" t="n">
        <f aca="false">Transactions!D1191</f>
        <v>52.79</v>
      </c>
      <c r="F1191" s="1" t="str">
        <f aca="false">Transactions!H1191</f>
        <v>Online</v>
      </c>
      <c r="G1191" s="1" t="str">
        <f aca="false">Transactions!G1191</f>
        <v>Travel</v>
      </c>
      <c r="H1191" s="1" t="n">
        <f aca="false">IF(COUNTIFS($B$2:$B$1489,B1191,$C$2:$C$1489,C1191,$D$2:$D$1489,D1191)&gt;6,1,0)</f>
        <v>0</v>
      </c>
      <c r="I1191" s="1" t="n">
        <f aca="false">IF(AND(F1191="Wire",E1191&gt;=1000,MOD(E1191,1000)=0),1,0)</f>
        <v>0</v>
      </c>
      <c r="J1191" s="1" t="n">
        <f aca="false">IF(AND(F1191="ATM",E1191&gt;2000,D1191&lt;=4),1,0)</f>
        <v>0</v>
      </c>
      <c r="K1191" s="1" t="n">
        <f aca="false">IF(COUNTIF('SQL Findings'!$A$4:$A$18,B1191)&gt;0,1,0)</f>
        <v>0</v>
      </c>
      <c r="L1191" s="1" t="n">
        <f aca="false">SUM(H1191:K1191)</f>
        <v>0</v>
      </c>
      <c r="M1191" s="1" t="str">
        <f aca="false">IF(L1191&gt;=2,"High",IF(L1191=1,"Medium","Low"))</f>
        <v>Low</v>
      </c>
    </row>
    <row r="1192" customFormat="false" ht="15" hidden="false" customHeight="true" outlineLevel="0" collapsed="false">
      <c r="A1192" s="1" t="str">
        <f aca="false">Transactions!A1192</f>
        <v>TXN500740</v>
      </c>
      <c r="B1192" s="1" t="str">
        <f aca="false">Transactions!B1192</f>
        <v>ACC1031</v>
      </c>
      <c r="C1192" s="1" t="str">
        <f aca="false">Transactions!I1192</f>
        <v>2026-03-14</v>
      </c>
      <c r="D1192" s="1" t="n">
        <f aca="false">Transactions!J1192</f>
        <v>4</v>
      </c>
      <c r="E1192" s="1" t="n">
        <f aca="false">Transactions!D1192</f>
        <v>166.16</v>
      </c>
      <c r="F1192" s="1" t="str">
        <f aca="false">Transactions!H1192</f>
        <v>Online</v>
      </c>
      <c r="G1192" s="1" t="str">
        <f aca="false">Transactions!G1192</f>
        <v>Travel</v>
      </c>
      <c r="H1192" s="1" t="n">
        <f aca="false">IF(COUNTIFS($B$2:$B$1489,B1192,$C$2:$C$1489,C1192,$D$2:$D$1489,D1192)&gt;6,1,0)</f>
        <v>0</v>
      </c>
      <c r="I1192" s="1" t="n">
        <f aca="false">IF(AND(F1192="Wire",E1192&gt;=1000,MOD(E1192,1000)=0),1,0)</f>
        <v>0</v>
      </c>
      <c r="J1192" s="1" t="n">
        <f aca="false">IF(AND(F1192="ATM",E1192&gt;2000,D1192&lt;=4),1,0)</f>
        <v>0</v>
      </c>
      <c r="K1192" s="1" t="n">
        <f aca="false">IF(COUNTIF('SQL Findings'!$A$4:$A$18,B1192)&gt;0,1,0)</f>
        <v>0</v>
      </c>
      <c r="L1192" s="1" t="n">
        <f aca="false">SUM(H1192:K1192)</f>
        <v>0</v>
      </c>
      <c r="M1192" s="1" t="str">
        <f aca="false">IF(L1192&gt;=2,"High",IF(L1192=1,"Medium","Low"))</f>
        <v>Low</v>
      </c>
    </row>
    <row r="1193" customFormat="false" ht="15" hidden="false" customHeight="true" outlineLevel="0" collapsed="false">
      <c r="A1193" s="1" t="str">
        <f aca="false">Transactions!A1193</f>
        <v>TXN501126</v>
      </c>
      <c r="B1193" s="1" t="str">
        <f aca="false">Transactions!B1193</f>
        <v>ACC1049</v>
      </c>
      <c r="C1193" s="1" t="str">
        <f aca="false">Transactions!I1193</f>
        <v>2026-03-14</v>
      </c>
      <c r="D1193" s="1" t="n">
        <f aca="false">Transactions!J1193</f>
        <v>6</v>
      </c>
      <c r="E1193" s="1" t="n">
        <f aca="false">Transactions!D1193</f>
        <v>23.77</v>
      </c>
      <c r="F1193" s="1" t="str">
        <f aca="false">Transactions!H1193</f>
        <v>ATM</v>
      </c>
      <c r="G1193" s="1" t="str">
        <f aca="false">Transactions!G1193</f>
        <v>Cash Withdrawal</v>
      </c>
      <c r="H1193" s="1" t="n">
        <f aca="false">IF(COUNTIFS($B$2:$B$1489,B1193,$C$2:$C$1489,C1193,$D$2:$D$1489,D1193)&gt;6,1,0)</f>
        <v>0</v>
      </c>
      <c r="I1193" s="1" t="n">
        <f aca="false">IF(AND(F1193="Wire",E1193&gt;=1000,MOD(E1193,1000)=0),1,0)</f>
        <v>0</v>
      </c>
      <c r="J1193" s="1" t="n">
        <f aca="false">IF(AND(F1193="ATM",E1193&gt;2000,D1193&lt;=4),1,0)</f>
        <v>0</v>
      </c>
      <c r="K1193" s="1" t="n">
        <f aca="false">IF(COUNTIF('SQL Findings'!$A$4:$A$18,B1193)&gt;0,1,0)</f>
        <v>0</v>
      </c>
      <c r="L1193" s="1" t="n">
        <f aca="false">SUM(H1193:K1193)</f>
        <v>0</v>
      </c>
      <c r="M1193" s="1" t="str">
        <f aca="false">IF(L1193&gt;=2,"High",IF(L1193=1,"Medium","Low"))</f>
        <v>Low</v>
      </c>
    </row>
    <row r="1194" customFormat="false" ht="15" hidden="false" customHeight="true" outlineLevel="0" collapsed="false">
      <c r="A1194" s="1" t="str">
        <f aca="false">Transactions!A1194</f>
        <v>TXN500088</v>
      </c>
      <c r="B1194" s="1" t="str">
        <f aca="false">Transactions!B1194</f>
        <v>ACC1003</v>
      </c>
      <c r="C1194" s="1" t="str">
        <f aca="false">Transactions!I1194</f>
        <v>2026-03-14</v>
      </c>
      <c r="D1194" s="1" t="n">
        <f aca="false">Transactions!J1194</f>
        <v>8</v>
      </c>
      <c r="E1194" s="1" t="n">
        <f aca="false">Transactions!D1194</f>
        <v>89.65</v>
      </c>
      <c r="F1194" s="1" t="str">
        <f aca="false">Transactions!H1194</f>
        <v>Online</v>
      </c>
      <c r="G1194" s="1" t="str">
        <f aca="false">Transactions!G1194</f>
        <v>Retail</v>
      </c>
      <c r="H1194" s="1" t="n">
        <f aca="false">IF(COUNTIFS($B$2:$B$1489,B1194,$C$2:$C$1489,C1194,$D$2:$D$1489,D1194)&gt;6,1,0)</f>
        <v>0</v>
      </c>
      <c r="I1194" s="1" t="n">
        <f aca="false">IF(AND(F1194="Wire",E1194&gt;=1000,MOD(E1194,1000)=0),1,0)</f>
        <v>0</v>
      </c>
      <c r="J1194" s="1" t="n">
        <f aca="false">IF(AND(F1194="ATM",E1194&gt;2000,D1194&lt;=4),1,0)</f>
        <v>0</v>
      </c>
      <c r="K1194" s="1" t="n">
        <f aca="false">IF(COUNTIF('SQL Findings'!$A$4:$A$18,B1194)&gt;0,1,0)</f>
        <v>0</v>
      </c>
      <c r="L1194" s="1" t="n">
        <f aca="false">SUM(H1194:K1194)</f>
        <v>0</v>
      </c>
      <c r="M1194" s="1" t="str">
        <f aca="false">IF(L1194&gt;=2,"High",IF(L1194=1,"Medium","Low"))</f>
        <v>Low</v>
      </c>
    </row>
    <row r="1195" customFormat="false" ht="15" hidden="false" customHeight="true" outlineLevel="0" collapsed="false">
      <c r="A1195" s="1" t="str">
        <f aca="false">Transactions!A1195</f>
        <v>TXN501340</v>
      </c>
      <c r="B1195" s="1" t="str">
        <f aca="false">Transactions!B1195</f>
        <v>ACC1058</v>
      </c>
      <c r="C1195" s="1" t="str">
        <f aca="false">Transactions!I1195</f>
        <v>2026-03-14</v>
      </c>
      <c r="D1195" s="1" t="n">
        <f aca="false">Transactions!J1195</f>
        <v>8</v>
      </c>
      <c r="E1195" s="1" t="n">
        <f aca="false">Transactions!D1195</f>
        <v>77.74</v>
      </c>
      <c r="F1195" s="1" t="str">
        <f aca="false">Transactions!H1195</f>
        <v>ATM</v>
      </c>
      <c r="G1195" s="1" t="str">
        <f aca="false">Transactions!G1195</f>
        <v>Online Marketplace</v>
      </c>
      <c r="H1195" s="1" t="n">
        <f aca="false">IF(COUNTIFS($B$2:$B$1489,B1195,$C$2:$C$1489,C1195,$D$2:$D$1489,D1195)&gt;6,1,0)</f>
        <v>0</v>
      </c>
      <c r="I1195" s="1" t="n">
        <f aca="false">IF(AND(F1195="Wire",E1195&gt;=1000,MOD(E1195,1000)=0),1,0)</f>
        <v>0</v>
      </c>
      <c r="J1195" s="1" t="n">
        <f aca="false">IF(AND(F1195="ATM",E1195&gt;2000,D1195&lt;=4),1,0)</f>
        <v>0</v>
      </c>
      <c r="K1195" s="1" t="n">
        <f aca="false">IF(COUNTIF('SQL Findings'!$A$4:$A$18,B1195)&gt;0,1,0)</f>
        <v>0</v>
      </c>
      <c r="L1195" s="1" t="n">
        <f aca="false">SUM(H1195:K1195)</f>
        <v>0</v>
      </c>
      <c r="M1195" s="1" t="str">
        <f aca="false">IF(L1195&gt;=2,"High",IF(L1195=1,"Medium","Low"))</f>
        <v>Low</v>
      </c>
    </row>
    <row r="1196" customFormat="false" ht="15" hidden="false" customHeight="true" outlineLevel="0" collapsed="false">
      <c r="A1196" s="1" t="str">
        <f aca="false">Transactions!A1196</f>
        <v>TXN500423</v>
      </c>
      <c r="B1196" s="1" t="str">
        <f aca="false">Transactions!B1196</f>
        <v>ACC1018</v>
      </c>
      <c r="C1196" s="1" t="str">
        <f aca="false">Transactions!I1196</f>
        <v>2026-03-14</v>
      </c>
      <c r="D1196" s="1" t="n">
        <f aca="false">Transactions!J1196</f>
        <v>8</v>
      </c>
      <c r="E1196" s="1" t="n">
        <f aca="false">Transactions!D1196</f>
        <v>53.3</v>
      </c>
      <c r="F1196" s="1" t="str">
        <f aca="false">Transactions!H1196</f>
        <v>Online</v>
      </c>
      <c r="G1196" s="1" t="str">
        <f aca="false">Transactions!G1196</f>
        <v>Retail</v>
      </c>
      <c r="H1196" s="1" t="n">
        <f aca="false">IF(COUNTIFS($B$2:$B$1489,B1196,$C$2:$C$1489,C1196,$D$2:$D$1489,D1196)&gt;6,1,0)</f>
        <v>0</v>
      </c>
      <c r="I1196" s="1" t="n">
        <f aca="false">IF(AND(F1196="Wire",E1196&gt;=1000,MOD(E1196,1000)=0),1,0)</f>
        <v>0</v>
      </c>
      <c r="J1196" s="1" t="n">
        <f aca="false">IF(AND(F1196="ATM",E1196&gt;2000,D1196&lt;=4),1,0)</f>
        <v>0</v>
      </c>
      <c r="K1196" s="1" t="n">
        <f aca="false">IF(COUNTIF('SQL Findings'!$A$4:$A$18,B1196)&gt;0,1,0)</f>
        <v>0</v>
      </c>
      <c r="L1196" s="1" t="n">
        <f aca="false">SUM(H1196:K1196)</f>
        <v>0</v>
      </c>
      <c r="M1196" s="1" t="str">
        <f aca="false">IF(L1196&gt;=2,"High",IF(L1196=1,"Medium","Low"))</f>
        <v>Low</v>
      </c>
    </row>
    <row r="1197" customFormat="false" ht="15" hidden="false" customHeight="true" outlineLevel="0" collapsed="false">
      <c r="A1197" s="1" t="str">
        <f aca="false">Transactions!A1197</f>
        <v>TXN500617</v>
      </c>
      <c r="B1197" s="1" t="str">
        <f aca="false">Transactions!B1197</f>
        <v>ACC1027</v>
      </c>
      <c r="C1197" s="1" t="str">
        <f aca="false">Transactions!I1197</f>
        <v>2026-03-14</v>
      </c>
      <c r="D1197" s="1" t="n">
        <f aca="false">Transactions!J1197</f>
        <v>9</v>
      </c>
      <c r="E1197" s="1" t="n">
        <f aca="false">Transactions!D1197</f>
        <v>73.59</v>
      </c>
      <c r="F1197" s="1" t="str">
        <f aca="false">Transactions!H1197</f>
        <v>Online</v>
      </c>
      <c r="G1197" s="1" t="str">
        <f aca="false">Transactions!G1197</f>
        <v>Travel</v>
      </c>
      <c r="H1197" s="1" t="n">
        <f aca="false">IF(COUNTIFS($B$2:$B$1489,B1197,$C$2:$C$1489,C1197,$D$2:$D$1489,D1197)&gt;6,1,0)</f>
        <v>0</v>
      </c>
      <c r="I1197" s="1" t="n">
        <f aca="false">IF(AND(F1197="Wire",E1197&gt;=1000,MOD(E1197,1000)=0),1,0)</f>
        <v>0</v>
      </c>
      <c r="J1197" s="1" t="n">
        <f aca="false">IF(AND(F1197="ATM",E1197&gt;2000,D1197&lt;=4),1,0)</f>
        <v>0</v>
      </c>
      <c r="K1197" s="1" t="n">
        <f aca="false">IF(COUNTIF('SQL Findings'!$A$4:$A$18,B1197)&gt;0,1,0)</f>
        <v>0</v>
      </c>
      <c r="L1197" s="1" t="n">
        <f aca="false">SUM(H1197:K1197)</f>
        <v>0</v>
      </c>
      <c r="M1197" s="1" t="str">
        <f aca="false">IF(L1197&gt;=2,"High",IF(L1197=1,"Medium","Low"))</f>
        <v>Low</v>
      </c>
    </row>
    <row r="1198" customFormat="false" ht="15" hidden="false" customHeight="true" outlineLevel="0" collapsed="false">
      <c r="A1198" s="1" t="str">
        <f aca="false">Transactions!A1198</f>
        <v>TXN501393</v>
      </c>
      <c r="B1198" s="1" t="str">
        <f aca="false">Transactions!B1198</f>
        <v>ACC1042</v>
      </c>
      <c r="C1198" s="1" t="str">
        <f aca="false">Transactions!I1198</f>
        <v>2026-03-14</v>
      </c>
      <c r="D1198" s="1" t="n">
        <f aca="false">Transactions!J1198</f>
        <v>9</v>
      </c>
      <c r="E1198" s="1" t="n">
        <f aca="false">Transactions!D1198</f>
        <v>2886.87</v>
      </c>
      <c r="F1198" s="1" t="str">
        <f aca="false">Transactions!H1198</f>
        <v>Wire</v>
      </c>
      <c r="G1198" s="1" t="str">
        <f aca="false">Transactions!G1198</f>
        <v>Wire Transfer</v>
      </c>
      <c r="H1198" s="1" t="n">
        <f aca="false">IF(COUNTIFS($B$2:$B$1489,B1198,$C$2:$C$1489,C1198,$D$2:$D$1489,D1198)&gt;6,1,0)</f>
        <v>0</v>
      </c>
      <c r="I1198" s="1" t="n">
        <f aca="false">IF(AND(F1198="Wire",E1198&gt;=1000,MOD(E1198,1000)=0),1,0)</f>
        <v>0</v>
      </c>
      <c r="J1198" s="1" t="n">
        <f aca="false">IF(AND(F1198="ATM",E1198&gt;2000,D1198&lt;=4),1,0)</f>
        <v>0</v>
      </c>
      <c r="K1198" s="1" t="n">
        <f aca="false">IF(COUNTIF('SQL Findings'!$A$4:$A$18,B1198)&gt;0,1,0)</f>
        <v>1</v>
      </c>
      <c r="L1198" s="1" t="n">
        <f aca="false">SUM(H1198:K1198)</f>
        <v>1</v>
      </c>
      <c r="M1198" s="1" t="str">
        <f aca="false">IF(L1198&gt;=2,"High",IF(L1198=1,"Medium","Low"))</f>
        <v>Medium</v>
      </c>
    </row>
    <row r="1199" customFormat="false" ht="15" hidden="false" customHeight="true" outlineLevel="0" collapsed="false">
      <c r="A1199" s="1" t="str">
        <f aca="false">Transactions!A1199</f>
        <v>TXN501394</v>
      </c>
      <c r="B1199" s="1" t="str">
        <f aca="false">Transactions!B1199</f>
        <v>ACC1042</v>
      </c>
      <c r="C1199" s="1" t="str">
        <f aca="false">Transactions!I1199</f>
        <v>2026-03-14</v>
      </c>
      <c r="D1199" s="1" t="n">
        <f aca="false">Transactions!J1199</f>
        <v>10</v>
      </c>
      <c r="E1199" s="1" t="n">
        <f aca="false">Transactions!D1199</f>
        <v>2804.43</v>
      </c>
      <c r="F1199" s="1" t="str">
        <f aca="false">Transactions!H1199</f>
        <v>Wire</v>
      </c>
      <c r="G1199" s="1" t="str">
        <f aca="false">Transactions!G1199</f>
        <v>Wire Transfer</v>
      </c>
      <c r="H1199" s="1" t="n">
        <f aca="false">IF(COUNTIFS($B$2:$B$1489,B1199,$C$2:$C$1489,C1199,$D$2:$D$1489,D1199)&gt;6,1,0)</f>
        <v>0</v>
      </c>
      <c r="I1199" s="1" t="n">
        <f aca="false">IF(AND(F1199="Wire",E1199&gt;=1000,MOD(E1199,1000)=0),1,0)</f>
        <v>0</v>
      </c>
      <c r="J1199" s="1" t="n">
        <f aca="false">IF(AND(F1199="ATM",E1199&gt;2000,D1199&lt;=4),1,0)</f>
        <v>0</v>
      </c>
      <c r="K1199" s="1" t="n">
        <f aca="false">IF(COUNTIF('SQL Findings'!$A$4:$A$18,B1199)&gt;0,1,0)</f>
        <v>1</v>
      </c>
      <c r="L1199" s="1" t="n">
        <f aca="false">SUM(H1199:K1199)</f>
        <v>1</v>
      </c>
      <c r="M1199" s="1" t="str">
        <f aca="false">IF(L1199&gt;=2,"High",IF(L1199=1,"Medium","Low"))</f>
        <v>Medium</v>
      </c>
    </row>
    <row r="1200" customFormat="false" ht="15" hidden="false" customHeight="true" outlineLevel="0" collapsed="false">
      <c r="A1200" s="1" t="str">
        <f aca="false">Transactions!A1200</f>
        <v>TXN501395</v>
      </c>
      <c r="B1200" s="1" t="str">
        <f aca="false">Transactions!B1200</f>
        <v>ACC1042</v>
      </c>
      <c r="C1200" s="1" t="str">
        <f aca="false">Transactions!I1200</f>
        <v>2026-03-14</v>
      </c>
      <c r="D1200" s="1" t="n">
        <f aca="false">Transactions!J1200</f>
        <v>12</v>
      </c>
      <c r="E1200" s="1" t="n">
        <f aca="false">Transactions!D1200</f>
        <v>2419.63</v>
      </c>
      <c r="F1200" s="1" t="str">
        <f aca="false">Transactions!H1200</f>
        <v>Wire</v>
      </c>
      <c r="G1200" s="1" t="str">
        <f aca="false">Transactions!G1200</f>
        <v>Wire Transfer</v>
      </c>
      <c r="H1200" s="1" t="n">
        <f aca="false">IF(COUNTIFS($B$2:$B$1489,B1200,$C$2:$C$1489,C1200,$D$2:$D$1489,D1200)&gt;6,1,0)</f>
        <v>0</v>
      </c>
      <c r="I1200" s="1" t="n">
        <f aca="false">IF(AND(F1200="Wire",E1200&gt;=1000,MOD(E1200,1000)=0),1,0)</f>
        <v>0</v>
      </c>
      <c r="J1200" s="1" t="n">
        <f aca="false">IF(AND(F1200="ATM",E1200&gt;2000,D1200&lt;=4),1,0)</f>
        <v>0</v>
      </c>
      <c r="K1200" s="1" t="n">
        <f aca="false">IF(COUNTIF('SQL Findings'!$A$4:$A$18,B1200)&gt;0,1,0)</f>
        <v>1</v>
      </c>
      <c r="L1200" s="1" t="n">
        <f aca="false">SUM(H1200:K1200)</f>
        <v>1</v>
      </c>
      <c r="M1200" s="1" t="str">
        <f aca="false">IF(L1200&gt;=2,"High",IF(L1200=1,"Medium","Low"))</f>
        <v>Medium</v>
      </c>
    </row>
    <row r="1201" customFormat="false" ht="15" hidden="false" customHeight="true" outlineLevel="0" collapsed="false">
      <c r="A1201" s="1" t="str">
        <f aca="false">Transactions!A1201</f>
        <v>TXN501261</v>
      </c>
      <c r="B1201" s="1" t="str">
        <f aca="false">Transactions!B1201</f>
        <v>ACC1055</v>
      </c>
      <c r="C1201" s="1" t="str">
        <f aca="false">Transactions!I1201</f>
        <v>2026-03-14</v>
      </c>
      <c r="D1201" s="1" t="n">
        <f aca="false">Transactions!J1201</f>
        <v>13</v>
      </c>
      <c r="E1201" s="1" t="n">
        <f aca="false">Transactions!D1201</f>
        <v>110.22</v>
      </c>
      <c r="F1201" s="1" t="str">
        <f aca="false">Transactions!H1201</f>
        <v>POS</v>
      </c>
      <c r="G1201" s="1" t="str">
        <f aca="false">Transactions!G1201</f>
        <v>Travel</v>
      </c>
      <c r="H1201" s="1" t="n">
        <f aca="false">IF(COUNTIFS($B$2:$B$1489,B1201,$C$2:$C$1489,C1201,$D$2:$D$1489,D1201)&gt;6,1,0)</f>
        <v>0</v>
      </c>
      <c r="I1201" s="1" t="n">
        <f aca="false">IF(AND(F1201="Wire",E1201&gt;=1000,MOD(E1201,1000)=0),1,0)</f>
        <v>0</v>
      </c>
      <c r="J1201" s="1" t="n">
        <f aca="false">IF(AND(F1201="ATM",E1201&gt;2000,D1201&lt;=4),1,0)</f>
        <v>0</v>
      </c>
      <c r="K1201" s="1" t="n">
        <f aca="false">IF(COUNTIF('SQL Findings'!$A$4:$A$18,B1201)&gt;0,1,0)</f>
        <v>1</v>
      </c>
      <c r="L1201" s="1" t="n">
        <f aca="false">SUM(H1201:K1201)</f>
        <v>1</v>
      </c>
      <c r="M1201" s="1" t="str">
        <f aca="false">IF(L1201&gt;=2,"High",IF(L1201=1,"Medium","Low"))</f>
        <v>Medium</v>
      </c>
    </row>
    <row r="1202" customFormat="false" ht="15" hidden="false" customHeight="true" outlineLevel="0" collapsed="false">
      <c r="A1202" s="1" t="str">
        <f aca="false">Transactions!A1202</f>
        <v>TXN501211</v>
      </c>
      <c r="B1202" s="1" t="str">
        <f aca="false">Transactions!B1202</f>
        <v>ACC1053</v>
      </c>
      <c r="C1202" s="1" t="str">
        <f aca="false">Transactions!I1202</f>
        <v>2026-03-14</v>
      </c>
      <c r="D1202" s="1" t="n">
        <f aca="false">Transactions!J1202</f>
        <v>13</v>
      </c>
      <c r="E1202" s="1" t="n">
        <f aca="false">Transactions!D1202</f>
        <v>21.77</v>
      </c>
      <c r="F1202" s="1" t="str">
        <f aca="false">Transactions!H1202</f>
        <v>POS</v>
      </c>
      <c r="G1202" s="1" t="str">
        <f aca="false">Transactions!G1202</f>
        <v>Dining</v>
      </c>
      <c r="H1202" s="1" t="n">
        <f aca="false">IF(COUNTIFS($B$2:$B$1489,B1202,$C$2:$C$1489,C1202,$D$2:$D$1489,D1202)&gt;6,1,0)</f>
        <v>0</v>
      </c>
      <c r="I1202" s="1" t="n">
        <f aca="false">IF(AND(F1202="Wire",E1202&gt;=1000,MOD(E1202,1000)=0),1,0)</f>
        <v>0</v>
      </c>
      <c r="J1202" s="1" t="n">
        <f aca="false">IF(AND(F1202="ATM",E1202&gt;2000,D1202&lt;=4),1,0)</f>
        <v>0</v>
      </c>
      <c r="K1202" s="1" t="n">
        <f aca="false">IF(COUNTIF('SQL Findings'!$A$4:$A$18,B1202)&gt;0,1,0)</f>
        <v>0</v>
      </c>
      <c r="L1202" s="1" t="n">
        <f aca="false">SUM(H1202:K1202)</f>
        <v>0</v>
      </c>
      <c r="M1202" s="1" t="str">
        <f aca="false">IF(L1202&gt;=2,"High",IF(L1202=1,"Medium","Low"))</f>
        <v>Low</v>
      </c>
    </row>
    <row r="1203" customFormat="false" ht="15" hidden="false" customHeight="true" outlineLevel="0" collapsed="false">
      <c r="A1203" s="1" t="str">
        <f aca="false">Transactions!A1203</f>
        <v>TXN500538</v>
      </c>
      <c r="B1203" s="1" t="str">
        <f aca="false">Transactions!B1203</f>
        <v>ACC1023</v>
      </c>
      <c r="C1203" s="1" t="str">
        <f aca="false">Transactions!I1203</f>
        <v>2026-03-14</v>
      </c>
      <c r="D1203" s="1" t="n">
        <f aca="false">Transactions!J1203</f>
        <v>14</v>
      </c>
      <c r="E1203" s="1" t="n">
        <f aca="false">Transactions!D1203</f>
        <v>47.18</v>
      </c>
      <c r="F1203" s="1" t="str">
        <f aca="false">Transactions!H1203</f>
        <v>POS</v>
      </c>
      <c r="G1203" s="1" t="str">
        <f aca="false">Transactions!G1203</f>
        <v>Cash Withdrawal</v>
      </c>
      <c r="H1203" s="1" t="n">
        <f aca="false">IF(COUNTIFS($B$2:$B$1489,B1203,$C$2:$C$1489,C1203,$D$2:$D$1489,D1203)&gt;6,1,0)</f>
        <v>0</v>
      </c>
      <c r="I1203" s="1" t="n">
        <f aca="false">IF(AND(F1203="Wire",E1203&gt;=1000,MOD(E1203,1000)=0),1,0)</f>
        <v>0</v>
      </c>
      <c r="J1203" s="1" t="n">
        <f aca="false">IF(AND(F1203="ATM",E1203&gt;2000,D1203&lt;=4),1,0)</f>
        <v>0</v>
      </c>
      <c r="K1203" s="1" t="n">
        <f aca="false">IF(COUNTIF('SQL Findings'!$A$4:$A$18,B1203)&gt;0,1,0)</f>
        <v>0</v>
      </c>
      <c r="L1203" s="1" t="n">
        <f aca="false">SUM(H1203:K1203)</f>
        <v>0</v>
      </c>
      <c r="M1203" s="1" t="str">
        <f aca="false">IF(L1203&gt;=2,"High",IF(L1203=1,"Medium","Low"))</f>
        <v>Low</v>
      </c>
    </row>
    <row r="1204" customFormat="false" ht="15" hidden="false" customHeight="true" outlineLevel="0" collapsed="false">
      <c r="A1204" s="1" t="str">
        <f aca="false">Transactions!A1204</f>
        <v>TXN500300</v>
      </c>
      <c r="B1204" s="1" t="str">
        <f aca="false">Transactions!B1204</f>
        <v>ACC1013</v>
      </c>
      <c r="C1204" s="1" t="str">
        <f aca="false">Transactions!I1204</f>
        <v>2026-03-14</v>
      </c>
      <c r="D1204" s="1" t="n">
        <f aca="false">Transactions!J1204</f>
        <v>16</v>
      </c>
      <c r="E1204" s="1" t="n">
        <f aca="false">Transactions!D1204</f>
        <v>117.53</v>
      </c>
      <c r="F1204" s="1" t="str">
        <f aca="false">Transactions!H1204</f>
        <v>ATM</v>
      </c>
      <c r="G1204" s="1" t="str">
        <f aca="false">Transactions!G1204</f>
        <v>Cash Withdrawal</v>
      </c>
      <c r="H1204" s="1" t="n">
        <f aca="false">IF(COUNTIFS($B$2:$B$1489,B1204,$C$2:$C$1489,C1204,$D$2:$D$1489,D1204)&gt;6,1,0)</f>
        <v>0</v>
      </c>
      <c r="I1204" s="1" t="n">
        <f aca="false">IF(AND(F1204="Wire",E1204&gt;=1000,MOD(E1204,1000)=0),1,0)</f>
        <v>0</v>
      </c>
      <c r="J1204" s="1" t="n">
        <f aca="false">IF(AND(F1204="ATM",E1204&gt;2000,D1204&lt;=4),1,0)</f>
        <v>0</v>
      </c>
      <c r="K1204" s="1" t="n">
        <f aca="false">IF(COUNTIF('SQL Findings'!$A$4:$A$18,B1204)&gt;0,1,0)</f>
        <v>0</v>
      </c>
      <c r="L1204" s="1" t="n">
        <f aca="false">SUM(H1204:K1204)</f>
        <v>0</v>
      </c>
      <c r="M1204" s="1" t="str">
        <f aca="false">IF(L1204&gt;=2,"High",IF(L1204=1,"Medium","Low"))</f>
        <v>Low</v>
      </c>
    </row>
    <row r="1205" customFormat="false" ht="15" hidden="false" customHeight="true" outlineLevel="0" collapsed="false">
      <c r="A1205" s="1" t="str">
        <f aca="false">Transactions!A1205</f>
        <v>TXN501304</v>
      </c>
      <c r="B1205" s="1" t="str">
        <f aca="false">Transactions!B1205</f>
        <v>ACC1057</v>
      </c>
      <c r="C1205" s="1" t="str">
        <f aca="false">Transactions!I1205</f>
        <v>2026-03-14</v>
      </c>
      <c r="D1205" s="1" t="n">
        <f aca="false">Transactions!J1205</f>
        <v>16</v>
      </c>
      <c r="E1205" s="1" t="n">
        <f aca="false">Transactions!D1205</f>
        <v>33.78</v>
      </c>
      <c r="F1205" s="1" t="str">
        <f aca="false">Transactions!H1205</f>
        <v>POS</v>
      </c>
      <c r="G1205" s="1" t="str">
        <f aca="false">Transactions!G1205</f>
        <v>Dining</v>
      </c>
      <c r="H1205" s="1" t="n">
        <f aca="false">IF(COUNTIFS($B$2:$B$1489,B1205,$C$2:$C$1489,C1205,$D$2:$D$1489,D1205)&gt;6,1,0)</f>
        <v>0</v>
      </c>
      <c r="I1205" s="1" t="n">
        <f aca="false">IF(AND(F1205="Wire",E1205&gt;=1000,MOD(E1205,1000)=0),1,0)</f>
        <v>0</v>
      </c>
      <c r="J1205" s="1" t="n">
        <f aca="false">IF(AND(F1205="ATM",E1205&gt;2000,D1205&lt;=4),1,0)</f>
        <v>0</v>
      </c>
      <c r="K1205" s="1" t="n">
        <f aca="false">IF(COUNTIF('SQL Findings'!$A$4:$A$18,B1205)&gt;0,1,0)</f>
        <v>1</v>
      </c>
      <c r="L1205" s="1" t="n">
        <f aca="false">SUM(H1205:K1205)</f>
        <v>1</v>
      </c>
      <c r="M1205" s="1" t="str">
        <f aca="false">IF(L1205&gt;=2,"High",IF(L1205=1,"Medium","Low"))</f>
        <v>Medium</v>
      </c>
    </row>
    <row r="1206" customFormat="false" ht="15" hidden="false" customHeight="true" outlineLevel="0" collapsed="false">
      <c r="A1206" s="1" t="str">
        <f aca="false">Transactions!A1206</f>
        <v>TXN500681</v>
      </c>
      <c r="B1206" s="1" t="str">
        <f aca="false">Transactions!B1206</f>
        <v>ACC1029</v>
      </c>
      <c r="C1206" s="1" t="str">
        <f aca="false">Transactions!I1206</f>
        <v>2026-03-14</v>
      </c>
      <c r="D1206" s="1" t="n">
        <f aca="false">Transactions!J1206</f>
        <v>16</v>
      </c>
      <c r="E1206" s="1" t="n">
        <f aca="false">Transactions!D1206</f>
        <v>127.68</v>
      </c>
      <c r="F1206" s="1" t="str">
        <f aca="false">Transactions!H1206</f>
        <v>Online</v>
      </c>
      <c r="G1206" s="1" t="str">
        <f aca="false">Transactions!G1206</f>
        <v>Dining</v>
      </c>
      <c r="H1206" s="1" t="n">
        <f aca="false">IF(COUNTIFS($B$2:$B$1489,B1206,$C$2:$C$1489,C1206,$D$2:$D$1489,D1206)&gt;6,1,0)</f>
        <v>0</v>
      </c>
      <c r="I1206" s="1" t="n">
        <f aca="false">IF(AND(F1206="Wire",E1206&gt;=1000,MOD(E1206,1000)=0),1,0)</f>
        <v>0</v>
      </c>
      <c r="J1206" s="1" t="n">
        <f aca="false">IF(AND(F1206="ATM",E1206&gt;2000,D1206&lt;=4),1,0)</f>
        <v>0</v>
      </c>
      <c r="K1206" s="1" t="n">
        <f aca="false">IF(COUNTIF('SQL Findings'!$A$4:$A$18,B1206)&gt;0,1,0)</f>
        <v>0</v>
      </c>
      <c r="L1206" s="1" t="n">
        <f aca="false">SUM(H1206:K1206)</f>
        <v>0</v>
      </c>
      <c r="M1206" s="1" t="str">
        <f aca="false">IF(L1206&gt;=2,"High",IF(L1206=1,"Medium","Low"))</f>
        <v>Low</v>
      </c>
    </row>
    <row r="1207" customFormat="false" ht="15" hidden="false" customHeight="true" outlineLevel="0" collapsed="false">
      <c r="A1207" s="1" t="str">
        <f aca="false">Transactions!A1207</f>
        <v>TXN500777</v>
      </c>
      <c r="B1207" s="1" t="str">
        <f aca="false">Transactions!B1207</f>
        <v>ACC1033</v>
      </c>
      <c r="C1207" s="1" t="str">
        <f aca="false">Transactions!I1207</f>
        <v>2026-03-14</v>
      </c>
      <c r="D1207" s="1" t="n">
        <f aca="false">Transactions!J1207</f>
        <v>16</v>
      </c>
      <c r="E1207" s="1" t="n">
        <f aca="false">Transactions!D1207</f>
        <v>34.66</v>
      </c>
      <c r="F1207" s="1" t="str">
        <f aca="false">Transactions!H1207</f>
        <v>ATM</v>
      </c>
      <c r="G1207" s="1" t="str">
        <f aca="false">Transactions!G1207</f>
        <v>Utilities</v>
      </c>
      <c r="H1207" s="1" t="n">
        <f aca="false">IF(COUNTIFS($B$2:$B$1489,B1207,$C$2:$C$1489,C1207,$D$2:$D$1489,D1207)&gt;6,1,0)</f>
        <v>0</v>
      </c>
      <c r="I1207" s="1" t="n">
        <f aca="false">IF(AND(F1207="Wire",E1207&gt;=1000,MOD(E1207,1000)=0),1,0)</f>
        <v>0</v>
      </c>
      <c r="J1207" s="1" t="n">
        <f aca="false">IF(AND(F1207="ATM",E1207&gt;2000,D1207&lt;=4),1,0)</f>
        <v>0</v>
      </c>
      <c r="K1207" s="1" t="n">
        <f aca="false">IF(COUNTIF('SQL Findings'!$A$4:$A$18,B1207)&gt;0,1,0)</f>
        <v>0</v>
      </c>
      <c r="L1207" s="1" t="n">
        <f aca="false">SUM(H1207:K1207)</f>
        <v>0</v>
      </c>
      <c r="M1207" s="1" t="str">
        <f aca="false">IF(L1207&gt;=2,"High",IF(L1207=1,"Medium","Low"))</f>
        <v>Low</v>
      </c>
    </row>
    <row r="1208" customFormat="false" ht="15" hidden="false" customHeight="true" outlineLevel="0" collapsed="false">
      <c r="A1208" s="1" t="str">
        <f aca="false">Transactions!A1208</f>
        <v>TXN500166</v>
      </c>
      <c r="B1208" s="1" t="str">
        <f aca="false">Transactions!B1208</f>
        <v>ACC1007</v>
      </c>
      <c r="C1208" s="1" t="str">
        <f aca="false">Transactions!I1208</f>
        <v>2026-03-14</v>
      </c>
      <c r="D1208" s="1" t="n">
        <f aca="false">Transactions!J1208</f>
        <v>20</v>
      </c>
      <c r="E1208" s="1" t="n">
        <f aca="false">Transactions!D1208</f>
        <v>96.69</v>
      </c>
      <c r="F1208" s="1" t="str">
        <f aca="false">Transactions!H1208</f>
        <v>Online</v>
      </c>
      <c r="G1208" s="1" t="str">
        <f aca="false">Transactions!G1208</f>
        <v>Electronics</v>
      </c>
      <c r="H1208" s="1" t="n">
        <f aca="false">IF(COUNTIFS($B$2:$B$1489,B1208,$C$2:$C$1489,C1208,$D$2:$D$1489,D1208)&gt;6,1,0)</f>
        <v>0</v>
      </c>
      <c r="I1208" s="1" t="n">
        <f aca="false">IF(AND(F1208="Wire",E1208&gt;=1000,MOD(E1208,1000)=0),1,0)</f>
        <v>0</v>
      </c>
      <c r="J1208" s="1" t="n">
        <f aca="false">IF(AND(F1208="ATM",E1208&gt;2000,D1208&lt;=4),1,0)</f>
        <v>0</v>
      </c>
      <c r="K1208" s="1" t="n">
        <f aca="false">IF(COUNTIF('SQL Findings'!$A$4:$A$18,B1208)&gt;0,1,0)</f>
        <v>0</v>
      </c>
      <c r="L1208" s="1" t="n">
        <f aca="false">SUM(H1208:K1208)</f>
        <v>0</v>
      </c>
      <c r="M1208" s="1" t="str">
        <f aca="false">IF(L1208&gt;=2,"High",IF(L1208=1,"Medium","Low"))</f>
        <v>Low</v>
      </c>
    </row>
    <row r="1209" customFormat="false" ht="15" hidden="false" customHeight="true" outlineLevel="0" collapsed="false">
      <c r="A1209" s="1" t="str">
        <f aca="false">Transactions!A1209</f>
        <v>TXN501032</v>
      </c>
      <c r="B1209" s="1" t="str">
        <f aca="false">Transactions!B1209</f>
        <v>ACC1045</v>
      </c>
      <c r="C1209" s="1" t="str">
        <f aca="false">Transactions!I1209</f>
        <v>2026-03-15</v>
      </c>
      <c r="D1209" s="1" t="n">
        <f aca="false">Transactions!J1209</f>
        <v>0</v>
      </c>
      <c r="E1209" s="1" t="n">
        <f aca="false">Transactions!D1209</f>
        <v>14.85</v>
      </c>
      <c r="F1209" s="1" t="str">
        <f aca="false">Transactions!H1209</f>
        <v>ATM</v>
      </c>
      <c r="G1209" s="1" t="str">
        <f aca="false">Transactions!G1209</f>
        <v>Wire Transfer</v>
      </c>
      <c r="H1209" s="1" t="n">
        <f aca="false">IF(COUNTIFS($B$2:$B$1489,B1209,$C$2:$C$1489,C1209,$D$2:$D$1489,D1209)&gt;6,1,0)</f>
        <v>0</v>
      </c>
      <c r="I1209" s="1" t="n">
        <f aca="false">IF(AND(F1209="Wire",E1209&gt;=1000,MOD(E1209,1000)=0),1,0)</f>
        <v>0</v>
      </c>
      <c r="J1209" s="1" t="n">
        <f aca="false">IF(AND(F1209="ATM",E1209&gt;2000,D1209&lt;=4),1,0)</f>
        <v>0</v>
      </c>
      <c r="K1209" s="1" t="n">
        <f aca="false">IF(COUNTIF('SQL Findings'!$A$4:$A$18,B1209)&gt;0,1,0)</f>
        <v>0</v>
      </c>
      <c r="L1209" s="1" t="n">
        <f aca="false">SUM(H1209:K1209)</f>
        <v>0</v>
      </c>
      <c r="M1209" s="1" t="str">
        <f aca="false">IF(L1209&gt;=2,"High",IF(L1209=1,"Medium","Low"))</f>
        <v>Low</v>
      </c>
    </row>
    <row r="1210" customFormat="false" ht="15" hidden="false" customHeight="true" outlineLevel="0" collapsed="false">
      <c r="A1210" s="1" t="str">
        <f aca="false">Transactions!A1210</f>
        <v>TXN501176</v>
      </c>
      <c r="B1210" s="1" t="str">
        <f aca="false">Transactions!B1210</f>
        <v>ACC1051</v>
      </c>
      <c r="C1210" s="1" t="str">
        <f aca="false">Transactions!I1210</f>
        <v>2026-03-15</v>
      </c>
      <c r="D1210" s="1" t="n">
        <f aca="false">Transactions!J1210</f>
        <v>4</v>
      </c>
      <c r="E1210" s="1" t="n">
        <f aca="false">Transactions!D1210</f>
        <v>51.8</v>
      </c>
      <c r="F1210" s="1" t="str">
        <f aca="false">Transactions!H1210</f>
        <v>Online</v>
      </c>
      <c r="G1210" s="1" t="str">
        <f aca="false">Transactions!G1210</f>
        <v>Wire Transfer</v>
      </c>
      <c r="H1210" s="1" t="n">
        <f aca="false">IF(COUNTIFS($B$2:$B$1489,B1210,$C$2:$C$1489,C1210,$D$2:$D$1489,D1210)&gt;6,1,0)</f>
        <v>0</v>
      </c>
      <c r="I1210" s="1" t="n">
        <f aca="false">IF(AND(F1210="Wire",E1210&gt;=1000,MOD(E1210,1000)=0),1,0)</f>
        <v>0</v>
      </c>
      <c r="J1210" s="1" t="n">
        <f aca="false">IF(AND(F1210="ATM",E1210&gt;2000,D1210&lt;=4),1,0)</f>
        <v>0</v>
      </c>
      <c r="K1210" s="1" t="n">
        <f aca="false">IF(COUNTIF('SQL Findings'!$A$4:$A$18,B1210)&gt;0,1,0)</f>
        <v>0</v>
      </c>
      <c r="L1210" s="1" t="n">
        <f aca="false">SUM(H1210:K1210)</f>
        <v>0</v>
      </c>
      <c r="M1210" s="1" t="str">
        <f aca="false">IF(L1210&gt;=2,"High",IF(L1210=1,"Medium","Low"))</f>
        <v>Low</v>
      </c>
    </row>
    <row r="1211" customFormat="false" ht="15" hidden="false" customHeight="true" outlineLevel="0" collapsed="false">
      <c r="A1211" s="1" t="str">
        <f aca="false">Transactions!A1211</f>
        <v>TXN500372</v>
      </c>
      <c r="B1211" s="1" t="str">
        <f aca="false">Transactions!B1211</f>
        <v>ACC1016</v>
      </c>
      <c r="C1211" s="1" t="str">
        <f aca="false">Transactions!I1211</f>
        <v>2026-03-15</v>
      </c>
      <c r="D1211" s="1" t="n">
        <f aca="false">Transactions!J1211</f>
        <v>6</v>
      </c>
      <c r="E1211" s="1" t="n">
        <f aca="false">Transactions!D1211</f>
        <v>104.4</v>
      </c>
      <c r="F1211" s="1" t="str">
        <f aca="false">Transactions!H1211</f>
        <v>Online</v>
      </c>
      <c r="G1211" s="1" t="str">
        <f aca="false">Transactions!G1211</f>
        <v>Wire Transfer</v>
      </c>
      <c r="H1211" s="1" t="n">
        <f aca="false">IF(COUNTIFS($B$2:$B$1489,B1211,$C$2:$C$1489,C1211,$D$2:$D$1489,D1211)&gt;6,1,0)</f>
        <v>0</v>
      </c>
      <c r="I1211" s="1" t="n">
        <f aca="false">IF(AND(F1211="Wire",E1211&gt;=1000,MOD(E1211,1000)=0),1,0)</f>
        <v>0</v>
      </c>
      <c r="J1211" s="1" t="n">
        <f aca="false">IF(AND(F1211="ATM",E1211&gt;2000,D1211&lt;=4),1,0)</f>
        <v>0</v>
      </c>
      <c r="K1211" s="1" t="n">
        <f aca="false">IF(COUNTIF('SQL Findings'!$A$4:$A$18,B1211)&gt;0,1,0)</f>
        <v>0</v>
      </c>
      <c r="L1211" s="1" t="n">
        <f aca="false">SUM(H1211:K1211)</f>
        <v>0</v>
      </c>
      <c r="M1211" s="1" t="str">
        <f aca="false">IF(L1211&gt;=2,"High",IF(L1211=1,"Medium","Low"))</f>
        <v>Low</v>
      </c>
    </row>
    <row r="1212" customFormat="false" ht="15" hidden="false" customHeight="true" outlineLevel="0" collapsed="false">
      <c r="A1212" s="1" t="str">
        <f aca="false">Transactions!A1212</f>
        <v>TXN500628</v>
      </c>
      <c r="B1212" s="1" t="str">
        <f aca="false">Transactions!B1212</f>
        <v>ACC1027</v>
      </c>
      <c r="C1212" s="1" t="str">
        <f aca="false">Transactions!I1212</f>
        <v>2026-03-15</v>
      </c>
      <c r="D1212" s="1" t="n">
        <f aca="false">Transactions!J1212</f>
        <v>6</v>
      </c>
      <c r="E1212" s="1" t="n">
        <f aca="false">Transactions!D1212</f>
        <v>59.55</v>
      </c>
      <c r="F1212" s="1" t="str">
        <f aca="false">Transactions!H1212</f>
        <v>Online</v>
      </c>
      <c r="G1212" s="1" t="str">
        <f aca="false">Transactions!G1212</f>
        <v>Online Marketplace</v>
      </c>
      <c r="H1212" s="1" t="n">
        <f aca="false">IF(COUNTIFS($B$2:$B$1489,B1212,$C$2:$C$1489,C1212,$D$2:$D$1489,D1212)&gt;6,1,0)</f>
        <v>0</v>
      </c>
      <c r="I1212" s="1" t="n">
        <f aca="false">IF(AND(F1212="Wire",E1212&gt;=1000,MOD(E1212,1000)=0),1,0)</f>
        <v>0</v>
      </c>
      <c r="J1212" s="1" t="n">
        <f aca="false">IF(AND(F1212="ATM",E1212&gt;2000,D1212&lt;=4),1,0)</f>
        <v>0</v>
      </c>
      <c r="K1212" s="1" t="n">
        <f aca="false">IF(COUNTIF('SQL Findings'!$A$4:$A$18,B1212)&gt;0,1,0)</f>
        <v>0</v>
      </c>
      <c r="L1212" s="1" t="n">
        <f aca="false">SUM(H1212:K1212)</f>
        <v>0</v>
      </c>
      <c r="M1212" s="1" t="str">
        <f aca="false">IF(L1212&gt;=2,"High",IF(L1212=1,"Medium","Low"))</f>
        <v>Low</v>
      </c>
    </row>
    <row r="1213" customFormat="false" ht="15" hidden="false" customHeight="true" outlineLevel="0" collapsed="false">
      <c r="A1213" s="1" t="str">
        <f aca="false">Transactions!A1213</f>
        <v>TXN500081</v>
      </c>
      <c r="B1213" s="1" t="str">
        <f aca="false">Transactions!B1213</f>
        <v>ACC1003</v>
      </c>
      <c r="C1213" s="1" t="str">
        <f aca="false">Transactions!I1213</f>
        <v>2026-03-15</v>
      </c>
      <c r="D1213" s="1" t="n">
        <f aca="false">Transactions!J1213</f>
        <v>7</v>
      </c>
      <c r="E1213" s="1" t="n">
        <f aca="false">Transactions!D1213</f>
        <v>54.72</v>
      </c>
      <c r="F1213" s="1" t="str">
        <f aca="false">Transactions!H1213</f>
        <v>POS</v>
      </c>
      <c r="G1213" s="1" t="str">
        <f aca="false">Transactions!G1213</f>
        <v>Wire Transfer</v>
      </c>
      <c r="H1213" s="1" t="n">
        <f aca="false">IF(COUNTIFS($B$2:$B$1489,B1213,$C$2:$C$1489,C1213,$D$2:$D$1489,D1213)&gt;6,1,0)</f>
        <v>0</v>
      </c>
      <c r="I1213" s="1" t="n">
        <f aca="false">IF(AND(F1213="Wire",E1213&gt;=1000,MOD(E1213,1000)=0),1,0)</f>
        <v>0</v>
      </c>
      <c r="J1213" s="1" t="n">
        <f aca="false">IF(AND(F1213="ATM",E1213&gt;2000,D1213&lt;=4),1,0)</f>
        <v>0</v>
      </c>
      <c r="K1213" s="1" t="n">
        <f aca="false">IF(COUNTIF('SQL Findings'!$A$4:$A$18,B1213)&gt;0,1,0)</f>
        <v>0</v>
      </c>
      <c r="L1213" s="1" t="n">
        <f aca="false">SUM(H1213:K1213)</f>
        <v>0</v>
      </c>
      <c r="M1213" s="1" t="str">
        <f aca="false">IF(L1213&gt;=2,"High",IF(L1213=1,"Medium","Low"))</f>
        <v>Low</v>
      </c>
    </row>
    <row r="1214" customFormat="false" ht="15" hidden="false" customHeight="true" outlineLevel="0" collapsed="false">
      <c r="A1214" s="1" t="str">
        <f aca="false">Transactions!A1214</f>
        <v>TXN501174</v>
      </c>
      <c r="B1214" s="1" t="str">
        <f aca="false">Transactions!B1214</f>
        <v>ACC1051</v>
      </c>
      <c r="C1214" s="1" t="str">
        <f aca="false">Transactions!I1214</f>
        <v>2026-03-15</v>
      </c>
      <c r="D1214" s="1" t="n">
        <f aca="false">Transactions!J1214</f>
        <v>7</v>
      </c>
      <c r="E1214" s="1" t="n">
        <f aca="false">Transactions!D1214</f>
        <v>63.03</v>
      </c>
      <c r="F1214" s="1" t="str">
        <f aca="false">Transactions!H1214</f>
        <v>POS</v>
      </c>
      <c r="G1214" s="1" t="str">
        <f aca="false">Transactions!G1214</f>
        <v>Dining</v>
      </c>
      <c r="H1214" s="1" t="n">
        <f aca="false">IF(COUNTIFS($B$2:$B$1489,B1214,$C$2:$C$1489,C1214,$D$2:$D$1489,D1214)&gt;6,1,0)</f>
        <v>0</v>
      </c>
      <c r="I1214" s="1" t="n">
        <f aca="false">IF(AND(F1214="Wire",E1214&gt;=1000,MOD(E1214,1000)=0),1,0)</f>
        <v>0</v>
      </c>
      <c r="J1214" s="1" t="n">
        <f aca="false">IF(AND(F1214="ATM",E1214&gt;2000,D1214&lt;=4),1,0)</f>
        <v>0</v>
      </c>
      <c r="K1214" s="1" t="n">
        <f aca="false">IF(COUNTIF('SQL Findings'!$A$4:$A$18,B1214)&gt;0,1,0)</f>
        <v>0</v>
      </c>
      <c r="L1214" s="1" t="n">
        <f aca="false">SUM(H1214:K1214)</f>
        <v>0</v>
      </c>
      <c r="M1214" s="1" t="str">
        <f aca="false">IF(L1214&gt;=2,"High",IF(L1214=1,"Medium","Low"))</f>
        <v>Low</v>
      </c>
    </row>
    <row r="1215" customFormat="false" ht="15" hidden="false" customHeight="true" outlineLevel="0" collapsed="false">
      <c r="A1215" s="1" t="str">
        <f aca="false">Transactions!A1215</f>
        <v>TXN500451</v>
      </c>
      <c r="B1215" s="1" t="str">
        <f aca="false">Transactions!B1215</f>
        <v>ACC1020</v>
      </c>
      <c r="C1215" s="1" t="str">
        <f aca="false">Transactions!I1215</f>
        <v>2026-03-15</v>
      </c>
      <c r="D1215" s="1" t="n">
        <f aca="false">Transactions!J1215</f>
        <v>7</v>
      </c>
      <c r="E1215" s="1" t="n">
        <f aca="false">Transactions!D1215</f>
        <v>63.03</v>
      </c>
      <c r="F1215" s="1" t="str">
        <f aca="false">Transactions!H1215</f>
        <v>POS</v>
      </c>
      <c r="G1215" s="1" t="str">
        <f aca="false">Transactions!G1215</f>
        <v>Retail</v>
      </c>
      <c r="H1215" s="1" t="n">
        <f aca="false">IF(COUNTIFS($B$2:$B$1489,B1215,$C$2:$C$1489,C1215,$D$2:$D$1489,D1215)&gt;6,1,0)</f>
        <v>0</v>
      </c>
      <c r="I1215" s="1" t="n">
        <f aca="false">IF(AND(F1215="Wire",E1215&gt;=1000,MOD(E1215,1000)=0),1,0)</f>
        <v>0</v>
      </c>
      <c r="J1215" s="1" t="n">
        <f aca="false">IF(AND(F1215="ATM",E1215&gt;2000,D1215&lt;=4),1,0)</f>
        <v>0</v>
      </c>
      <c r="K1215" s="1" t="n">
        <f aca="false">IF(COUNTIF('SQL Findings'!$A$4:$A$18,B1215)&gt;0,1,0)</f>
        <v>0</v>
      </c>
      <c r="L1215" s="1" t="n">
        <f aca="false">SUM(H1215:K1215)</f>
        <v>0</v>
      </c>
      <c r="M1215" s="1" t="str">
        <f aca="false">IF(L1215&gt;=2,"High",IF(L1215=1,"Medium","Low"))</f>
        <v>Low</v>
      </c>
    </row>
    <row r="1216" customFormat="false" ht="15" hidden="false" customHeight="true" outlineLevel="0" collapsed="false">
      <c r="A1216" s="1" t="str">
        <f aca="false">Transactions!A1216</f>
        <v>TXN501454</v>
      </c>
      <c r="B1216" s="1" t="str">
        <f aca="false">Transactions!B1216</f>
        <v>ACC1015</v>
      </c>
      <c r="C1216" s="1" t="str">
        <f aca="false">Transactions!I1216</f>
        <v>2026-03-15</v>
      </c>
      <c r="D1216" s="1" t="n">
        <f aca="false">Transactions!J1216</f>
        <v>8</v>
      </c>
      <c r="E1216" s="1" t="n">
        <f aca="false">Transactions!D1216</f>
        <v>1720.48</v>
      </c>
      <c r="F1216" s="1" t="str">
        <f aca="false">Transactions!H1216</f>
        <v>POS</v>
      </c>
      <c r="G1216" s="1" t="str">
        <f aca="false">Transactions!G1216</f>
        <v>Retail</v>
      </c>
      <c r="H1216" s="1" t="n">
        <f aca="false">IF(COUNTIFS($B$2:$B$1489,B1216,$C$2:$C$1489,C1216,$D$2:$D$1489,D1216)&gt;6,1,0)</f>
        <v>0</v>
      </c>
      <c r="I1216" s="1" t="n">
        <f aca="false">IF(AND(F1216="Wire",E1216&gt;=1000,MOD(E1216,1000)=0),1,0)</f>
        <v>0</v>
      </c>
      <c r="J1216" s="1" t="n">
        <f aca="false">IF(AND(F1216="ATM",E1216&gt;2000,D1216&lt;=4),1,0)</f>
        <v>0</v>
      </c>
      <c r="K1216" s="1" t="n">
        <f aca="false">IF(COUNTIF('SQL Findings'!$A$4:$A$18,B1216)&gt;0,1,0)</f>
        <v>1</v>
      </c>
      <c r="L1216" s="1" t="n">
        <f aca="false">SUM(H1216:K1216)</f>
        <v>1</v>
      </c>
      <c r="M1216" s="1" t="str">
        <f aca="false">IF(L1216&gt;=2,"High",IF(L1216=1,"Medium","Low"))</f>
        <v>Medium</v>
      </c>
    </row>
    <row r="1217" customFormat="false" ht="15" hidden="false" customHeight="true" outlineLevel="0" collapsed="false">
      <c r="A1217" s="1" t="str">
        <f aca="false">Transactions!A1217</f>
        <v>TXN500494</v>
      </c>
      <c r="B1217" s="1" t="str">
        <f aca="false">Transactions!B1217</f>
        <v>ACC1022</v>
      </c>
      <c r="C1217" s="1" t="str">
        <f aca="false">Transactions!I1217</f>
        <v>2026-03-15</v>
      </c>
      <c r="D1217" s="1" t="n">
        <f aca="false">Transactions!J1217</f>
        <v>9</v>
      </c>
      <c r="E1217" s="1" t="n">
        <f aca="false">Transactions!D1217</f>
        <v>30.72</v>
      </c>
      <c r="F1217" s="1" t="str">
        <f aca="false">Transactions!H1217</f>
        <v>POS</v>
      </c>
      <c r="G1217" s="1" t="str">
        <f aca="false">Transactions!G1217</f>
        <v>Cash Withdrawal</v>
      </c>
      <c r="H1217" s="1" t="n">
        <f aca="false">IF(COUNTIFS($B$2:$B$1489,B1217,$C$2:$C$1489,C1217,$D$2:$D$1489,D1217)&gt;6,1,0)</f>
        <v>0</v>
      </c>
      <c r="I1217" s="1" t="n">
        <f aca="false">IF(AND(F1217="Wire",E1217&gt;=1000,MOD(E1217,1000)=0),1,0)</f>
        <v>0</v>
      </c>
      <c r="J1217" s="1" t="n">
        <f aca="false">IF(AND(F1217="ATM",E1217&gt;2000,D1217&lt;=4),1,0)</f>
        <v>0</v>
      </c>
      <c r="K1217" s="1" t="n">
        <f aca="false">IF(COUNTIF('SQL Findings'!$A$4:$A$18,B1217)&gt;0,1,0)</f>
        <v>0</v>
      </c>
      <c r="L1217" s="1" t="n">
        <f aca="false">SUM(H1217:K1217)</f>
        <v>0</v>
      </c>
      <c r="M1217" s="1" t="str">
        <f aca="false">IF(L1217&gt;=2,"High",IF(L1217=1,"Medium","Low"))</f>
        <v>Low</v>
      </c>
    </row>
    <row r="1218" customFormat="false" ht="15" hidden="false" customHeight="true" outlineLevel="0" collapsed="false">
      <c r="A1218" s="1" t="str">
        <f aca="false">Transactions!A1218</f>
        <v>TXN501014</v>
      </c>
      <c r="B1218" s="1" t="str">
        <f aca="false">Transactions!B1218</f>
        <v>ACC1044</v>
      </c>
      <c r="C1218" s="1" t="str">
        <f aca="false">Transactions!I1218</f>
        <v>2026-03-15</v>
      </c>
      <c r="D1218" s="1" t="n">
        <f aca="false">Transactions!J1218</f>
        <v>9</v>
      </c>
      <c r="E1218" s="1" t="n">
        <f aca="false">Transactions!D1218</f>
        <v>35.86</v>
      </c>
      <c r="F1218" s="1" t="str">
        <f aca="false">Transactions!H1218</f>
        <v>ATM</v>
      </c>
      <c r="G1218" s="1" t="str">
        <f aca="false">Transactions!G1218</f>
        <v>Wire Transfer</v>
      </c>
      <c r="H1218" s="1" t="n">
        <f aca="false">IF(COUNTIFS($B$2:$B$1489,B1218,$C$2:$C$1489,C1218,$D$2:$D$1489,D1218)&gt;6,1,0)</f>
        <v>0</v>
      </c>
      <c r="I1218" s="1" t="n">
        <f aca="false">IF(AND(F1218="Wire",E1218&gt;=1000,MOD(E1218,1000)=0),1,0)</f>
        <v>0</v>
      </c>
      <c r="J1218" s="1" t="n">
        <f aca="false">IF(AND(F1218="ATM",E1218&gt;2000,D1218&lt;=4),1,0)</f>
        <v>0</v>
      </c>
      <c r="K1218" s="1" t="n">
        <f aca="false">IF(COUNTIF('SQL Findings'!$A$4:$A$18,B1218)&gt;0,1,0)</f>
        <v>0</v>
      </c>
      <c r="L1218" s="1" t="n">
        <f aca="false">SUM(H1218:K1218)</f>
        <v>0</v>
      </c>
      <c r="M1218" s="1" t="str">
        <f aca="false">IF(L1218&gt;=2,"High",IF(L1218=1,"Medium","Low"))</f>
        <v>Low</v>
      </c>
    </row>
    <row r="1219" customFormat="false" ht="15" hidden="false" customHeight="true" outlineLevel="0" collapsed="false">
      <c r="A1219" s="1" t="str">
        <f aca="false">Transactions!A1219</f>
        <v>TXN500738</v>
      </c>
      <c r="B1219" s="1" t="str">
        <f aca="false">Transactions!B1219</f>
        <v>ACC1031</v>
      </c>
      <c r="C1219" s="1" t="str">
        <f aca="false">Transactions!I1219</f>
        <v>2026-03-15</v>
      </c>
      <c r="D1219" s="1" t="n">
        <f aca="false">Transactions!J1219</f>
        <v>10</v>
      </c>
      <c r="E1219" s="1" t="n">
        <f aca="false">Transactions!D1219</f>
        <v>161.49</v>
      </c>
      <c r="F1219" s="1" t="str">
        <f aca="false">Transactions!H1219</f>
        <v>POS</v>
      </c>
      <c r="G1219" s="1" t="str">
        <f aca="false">Transactions!G1219</f>
        <v>Retail</v>
      </c>
      <c r="H1219" s="1" t="n">
        <f aca="false">IF(COUNTIFS($B$2:$B$1489,B1219,$C$2:$C$1489,C1219,$D$2:$D$1489,D1219)&gt;6,1,0)</f>
        <v>0</v>
      </c>
      <c r="I1219" s="1" t="n">
        <f aca="false">IF(AND(F1219="Wire",E1219&gt;=1000,MOD(E1219,1000)=0),1,0)</f>
        <v>0</v>
      </c>
      <c r="J1219" s="1" t="n">
        <f aca="false">IF(AND(F1219="ATM",E1219&gt;2000,D1219&lt;=4),1,0)</f>
        <v>0</v>
      </c>
      <c r="K1219" s="1" t="n">
        <f aca="false">IF(COUNTIF('SQL Findings'!$A$4:$A$18,B1219)&gt;0,1,0)</f>
        <v>0</v>
      </c>
      <c r="L1219" s="1" t="n">
        <f aca="false">SUM(H1219:K1219)</f>
        <v>0</v>
      </c>
      <c r="M1219" s="1" t="str">
        <f aca="false">IF(L1219&gt;=2,"High",IF(L1219=1,"Medium","Low"))</f>
        <v>Low</v>
      </c>
    </row>
    <row r="1220" customFormat="false" ht="15" hidden="false" customHeight="true" outlineLevel="0" collapsed="false">
      <c r="A1220" s="1" t="str">
        <f aca="false">Transactions!A1220</f>
        <v>TXN500876</v>
      </c>
      <c r="B1220" s="1" t="str">
        <f aca="false">Transactions!B1220</f>
        <v>ACC1038</v>
      </c>
      <c r="C1220" s="1" t="str">
        <f aca="false">Transactions!I1220</f>
        <v>2026-03-15</v>
      </c>
      <c r="D1220" s="1" t="n">
        <f aca="false">Transactions!J1220</f>
        <v>11</v>
      </c>
      <c r="E1220" s="1" t="n">
        <f aca="false">Transactions!D1220</f>
        <v>335.33</v>
      </c>
      <c r="F1220" s="1" t="str">
        <f aca="false">Transactions!H1220</f>
        <v>Online</v>
      </c>
      <c r="G1220" s="1" t="str">
        <f aca="false">Transactions!G1220</f>
        <v>Online Marketplace</v>
      </c>
      <c r="H1220" s="1" t="n">
        <f aca="false">IF(COUNTIFS($B$2:$B$1489,B1220,$C$2:$C$1489,C1220,$D$2:$D$1489,D1220)&gt;6,1,0)</f>
        <v>0</v>
      </c>
      <c r="I1220" s="1" t="n">
        <f aca="false">IF(AND(F1220="Wire",E1220&gt;=1000,MOD(E1220,1000)=0),1,0)</f>
        <v>0</v>
      </c>
      <c r="J1220" s="1" t="n">
        <f aca="false">IF(AND(F1220="ATM",E1220&gt;2000,D1220&lt;=4),1,0)</f>
        <v>0</v>
      </c>
      <c r="K1220" s="1" t="n">
        <f aca="false">IF(COUNTIF('SQL Findings'!$A$4:$A$18,B1220)&gt;0,1,0)</f>
        <v>0</v>
      </c>
      <c r="L1220" s="1" t="n">
        <f aca="false">SUM(H1220:K1220)</f>
        <v>0</v>
      </c>
      <c r="M1220" s="1" t="str">
        <f aca="false">IF(L1220&gt;=2,"High",IF(L1220=1,"Medium","Low"))</f>
        <v>Low</v>
      </c>
    </row>
    <row r="1221" customFormat="false" ht="15" hidden="false" customHeight="true" outlineLevel="0" collapsed="false">
      <c r="A1221" s="1" t="str">
        <f aca="false">Transactions!A1221</f>
        <v>TXN501455</v>
      </c>
      <c r="B1221" s="1" t="str">
        <f aca="false">Transactions!B1221</f>
        <v>ACC1015</v>
      </c>
      <c r="C1221" s="1" t="str">
        <f aca="false">Transactions!I1221</f>
        <v>2026-03-15</v>
      </c>
      <c r="D1221" s="1" t="n">
        <f aca="false">Transactions!J1221</f>
        <v>12</v>
      </c>
      <c r="E1221" s="1" t="n">
        <f aca="false">Transactions!D1221</f>
        <v>756.57</v>
      </c>
      <c r="F1221" s="1" t="str">
        <f aca="false">Transactions!H1221</f>
        <v>ATM</v>
      </c>
      <c r="G1221" s="1" t="str">
        <f aca="false">Transactions!G1221</f>
        <v>Cash Withdrawal</v>
      </c>
      <c r="H1221" s="1" t="n">
        <f aca="false">IF(COUNTIFS($B$2:$B$1489,B1221,$C$2:$C$1489,C1221,$D$2:$D$1489,D1221)&gt;6,1,0)</f>
        <v>0</v>
      </c>
      <c r="I1221" s="1" t="n">
        <f aca="false">IF(AND(F1221="Wire",E1221&gt;=1000,MOD(E1221,1000)=0),1,0)</f>
        <v>0</v>
      </c>
      <c r="J1221" s="1" t="n">
        <f aca="false">IF(AND(F1221="ATM",E1221&gt;2000,D1221&lt;=4),1,0)</f>
        <v>0</v>
      </c>
      <c r="K1221" s="1" t="n">
        <f aca="false">IF(COUNTIF('SQL Findings'!$A$4:$A$18,B1221)&gt;0,1,0)</f>
        <v>1</v>
      </c>
      <c r="L1221" s="1" t="n">
        <f aca="false">SUM(H1221:K1221)</f>
        <v>1</v>
      </c>
      <c r="M1221" s="1" t="str">
        <f aca="false">IF(L1221&gt;=2,"High",IF(L1221=1,"Medium","Low"))</f>
        <v>Medium</v>
      </c>
    </row>
    <row r="1222" customFormat="false" ht="15" hidden="false" customHeight="true" outlineLevel="0" collapsed="false">
      <c r="A1222" s="1" t="str">
        <f aca="false">Transactions!A1222</f>
        <v>TXN500922</v>
      </c>
      <c r="B1222" s="1" t="str">
        <f aca="false">Transactions!B1222</f>
        <v>ACC1039</v>
      </c>
      <c r="C1222" s="1" t="str">
        <f aca="false">Transactions!I1222</f>
        <v>2026-03-15</v>
      </c>
      <c r="D1222" s="1" t="n">
        <f aca="false">Transactions!J1222</f>
        <v>12</v>
      </c>
      <c r="E1222" s="1" t="n">
        <f aca="false">Transactions!D1222</f>
        <v>26.47</v>
      </c>
      <c r="F1222" s="1" t="str">
        <f aca="false">Transactions!H1222</f>
        <v>ATM</v>
      </c>
      <c r="G1222" s="1" t="str">
        <f aca="false">Transactions!G1222</f>
        <v>Cash Withdrawal</v>
      </c>
      <c r="H1222" s="1" t="n">
        <f aca="false">IF(COUNTIFS($B$2:$B$1489,B1222,$C$2:$C$1489,C1222,$D$2:$D$1489,D1222)&gt;6,1,0)</f>
        <v>0</v>
      </c>
      <c r="I1222" s="1" t="n">
        <f aca="false">IF(AND(F1222="Wire",E1222&gt;=1000,MOD(E1222,1000)=0),1,0)</f>
        <v>0</v>
      </c>
      <c r="J1222" s="1" t="n">
        <f aca="false">IF(AND(F1222="ATM",E1222&gt;2000,D1222&lt;=4),1,0)</f>
        <v>0</v>
      </c>
      <c r="K1222" s="1" t="n">
        <f aca="false">IF(COUNTIF('SQL Findings'!$A$4:$A$18,B1222)&gt;0,1,0)</f>
        <v>0</v>
      </c>
      <c r="L1222" s="1" t="n">
        <f aca="false">SUM(H1222:K1222)</f>
        <v>0</v>
      </c>
      <c r="M1222" s="1" t="str">
        <f aca="false">IF(L1222&gt;=2,"High",IF(L1222=1,"Medium","Low"))</f>
        <v>Low</v>
      </c>
    </row>
    <row r="1223" customFormat="false" ht="15" hidden="false" customHeight="true" outlineLevel="0" collapsed="false">
      <c r="A1223" s="1" t="str">
        <f aca="false">Transactions!A1223</f>
        <v>TXN501169</v>
      </c>
      <c r="B1223" s="1" t="str">
        <f aca="false">Transactions!B1223</f>
        <v>ACC1051</v>
      </c>
      <c r="C1223" s="1" t="str">
        <f aca="false">Transactions!I1223</f>
        <v>2026-03-15</v>
      </c>
      <c r="D1223" s="1" t="n">
        <f aca="false">Transactions!J1223</f>
        <v>12</v>
      </c>
      <c r="E1223" s="1" t="n">
        <f aca="false">Transactions!D1223</f>
        <v>113.9</v>
      </c>
      <c r="F1223" s="1" t="str">
        <f aca="false">Transactions!H1223</f>
        <v>Online</v>
      </c>
      <c r="G1223" s="1" t="str">
        <f aca="false">Transactions!G1223</f>
        <v>Wire Transfer</v>
      </c>
      <c r="H1223" s="1" t="n">
        <f aca="false">IF(COUNTIFS($B$2:$B$1489,B1223,$C$2:$C$1489,C1223,$D$2:$D$1489,D1223)&gt;6,1,0)</f>
        <v>0</v>
      </c>
      <c r="I1223" s="1" t="n">
        <f aca="false">IF(AND(F1223="Wire",E1223&gt;=1000,MOD(E1223,1000)=0),1,0)</f>
        <v>0</v>
      </c>
      <c r="J1223" s="1" t="n">
        <f aca="false">IF(AND(F1223="ATM",E1223&gt;2000,D1223&lt;=4),1,0)</f>
        <v>0</v>
      </c>
      <c r="K1223" s="1" t="n">
        <f aca="false">IF(COUNTIF('SQL Findings'!$A$4:$A$18,B1223)&gt;0,1,0)</f>
        <v>0</v>
      </c>
      <c r="L1223" s="1" t="n">
        <f aca="false">SUM(H1223:K1223)</f>
        <v>0</v>
      </c>
      <c r="M1223" s="1" t="str">
        <f aca="false">IF(L1223&gt;=2,"High",IF(L1223=1,"Medium","Low"))</f>
        <v>Low</v>
      </c>
    </row>
    <row r="1224" customFormat="false" ht="15" hidden="false" customHeight="true" outlineLevel="0" collapsed="false">
      <c r="A1224" s="1" t="str">
        <f aca="false">Transactions!A1224</f>
        <v>TXN500756</v>
      </c>
      <c r="B1224" s="1" t="str">
        <f aca="false">Transactions!B1224</f>
        <v>ACC1032</v>
      </c>
      <c r="C1224" s="1" t="str">
        <f aca="false">Transactions!I1224</f>
        <v>2026-03-15</v>
      </c>
      <c r="D1224" s="1" t="n">
        <f aca="false">Transactions!J1224</f>
        <v>12</v>
      </c>
      <c r="E1224" s="1" t="n">
        <f aca="false">Transactions!D1224</f>
        <v>712.76</v>
      </c>
      <c r="F1224" s="1" t="str">
        <f aca="false">Transactions!H1224</f>
        <v>POS</v>
      </c>
      <c r="G1224" s="1" t="str">
        <f aca="false">Transactions!G1224</f>
        <v>Travel</v>
      </c>
      <c r="H1224" s="1" t="n">
        <f aca="false">IF(COUNTIFS($B$2:$B$1489,B1224,$C$2:$C$1489,C1224,$D$2:$D$1489,D1224)&gt;6,1,0)</f>
        <v>0</v>
      </c>
      <c r="I1224" s="1" t="n">
        <f aca="false">IF(AND(F1224="Wire",E1224&gt;=1000,MOD(E1224,1000)=0),1,0)</f>
        <v>0</v>
      </c>
      <c r="J1224" s="1" t="n">
        <f aca="false">IF(AND(F1224="ATM",E1224&gt;2000,D1224&lt;=4),1,0)</f>
        <v>0</v>
      </c>
      <c r="K1224" s="1" t="n">
        <f aca="false">IF(COUNTIF('SQL Findings'!$A$4:$A$18,B1224)&gt;0,1,0)</f>
        <v>0</v>
      </c>
      <c r="L1224" s="1" t="n">
        <f aca="false">SUM(H1224:K1224)</f>
        <v>0</v>
      </c>
      <c r="M1224" s="1" t="str">
        <f aca="false">IF(L1224&gt;=2,"High",IF(L1224=1,"Medium","Low"))</f>
        <v>Low</v>
      </c>
    </row>
    <row r="1225" customFormat="false" ht="15" hidden="false" customHeight="true" outlineLevel="0" collapsed="false">
      <c r="A1225" s="1" t="str">
        <f aca="false">Transactions!A1225</f>
        <v>TXN500307</v>
      </c>
      <c r="B1225" s="1" t="str">
        <f aca="false">Transactions!B1225</f>
        <v>ACC1013</v>
      </c>
      <c r="C1225" s="1" t="str">
        <f aca="false">Transactions!I1225</f>
        <v>2026-03-15</v>
      </c>
      <c r="D1225" s="1" t="n">
        <f aca="false">Transactions!J1225</f>
        <v>14</v>
      </c>
      <c r="E1225" s="1" t="n">
        <f aca="false">Transactions!D1225</f>
        <v>210.59</v>
      </c>
      <c r="F1225" s="1" t="str">
        <f aca="false">Transactions!H1225</f>
        <v>ATM</v>
      </c>
      <c r="G1225" s="1" t="str">
        <f aca="false">Transactions!G1225</f>
        <v>Online Marketplace</v>
      </c>
      <c r="H1225" s="1" t="n">
        <f aca="false">IF(COUNTIFS($B$2:$B$1489,B1225,$C$2:$C$1489,C1225,$D$2:$D$1489,D1225)&gt;6,1,0)</f>
        <v>0</v>
      </c>
      <c r="I1225" s="1" t="n">
        <f aca="false">IF(AND(F1225="Wire",E1225&gt;=1000,MOD(E1225,1000)=0),1,0)</f>
        <v>0</v>
      </c>
      <c r="J1225" s="1" t="n">
        <f aca="false">IF(AND(F1225="ATM",E1225&gt;2000,D1225&lt;=4),1,0)</f>
        <v>0</v>
      </c>
      <c r="K1225" s="1" t="n">
        <f aca="false">IF(COUNTIF('SQL Findings'!$A$4:$A$18,B1225)&gt;0,1,0)</f>
        <v>0</v>
      </c>
      <c r="L1225" s="1" t="n">
        <f aca="false">SUM(H1225:K1225)</f>
        <v>0</v>
      </c>
      <c r="M1225" s="1" t="str">
        <f aca="false">IF(L1225&gt;=2,"High",IF(L1225=1,"Medium","Low"))</f>
        <v>Low</v>
      </c>
    </row>
    <row r="1226" customFormat="false" ht="15" hidden="false" customHeight="true" outlineLevel="0" collapsed="false">
      <c r="A1226" s="1" t="str">
        <f aca="false">Transactions!A1226</f>
        <v>TXN501267</v>
      </c>
      <c r="B1226" s="1" t="str">
        <f aca="false">Transactions!B1226</f>
        <v>ACC1055</v>
      </c>
      <c r="C1226" s="1" t="str">
        <f aca="false">Transactions!I1226</f>
        <v>2026-03-15</v>
      </c>
      <c r="D1226" s="1" t="n">
        <f aca="false">Transactions!J1226</f>
        <v>14</v>
      </c>
      <c r="E1226" s="1" t="n">
        <f aca="false">Transactions!D1226</f>
        <v>60.33</v>
      </c>
      <c r="F1226" s="1" t="str">
        <f aca="false">Transactions!H1226</f>
        <v>POS</v>
      </c>
      <c r="G1226" s="1" t="str">
        <f aca="false">Transactions!G1226</f>
        <v>Cash Withdrawal</v>
      </c>
      <c r="H1226" s="1" t="n">
        <f aca="false">IF(COUNTIFS($B$2:$B$1489,B1226,$C$2:$C$1489,C1226,$D$2:$D$1489,D1226)&gt;6,1,0)</f>
        <v>0</v>
      </c>
      <c r="I1226" s="1" t="n">
        <f aca="false">IF(AND(F1226="Wire",E1226&gt;=1000,MOD(E1226,1000)=0),1,0)</f>
        <v>0</v>
      </c>
      <c r="J1226" s="1" t="n">
        <f aca="false">IF(AND(F1226="ATM",E1226&gt;2000,D1226&lt;=4),1,0)</f>
        <v>0</v>
      </c>
      <c r="K1226" s="1" t="n">
        <f aca="false">IF(COUNTIF('SQL Findings'!$A$4:$A$18,B1226)&gt;0,1,0)</f>
        <v>1</v>
      </c>
      <c r="L1226" s="1" t="n">
        <f aca="false">SUM(H1226:K1226)</f>
        <v>1</v>
      </c>
      <c r="M1226" s="1" t="str">
        <f aca="false">IF(L1226&gt;=2,"High",IF(L1226=1,"Medium","Low"))</f>
        <v>Medium</v>
      </c>
    </row>
    <row r="1227" customFormat="false" ht="15" hidden="false" customHeight="true" outlineLevel="0" collapsed="false">
      <c r="A1227" s="1" t="str">
        <f aca="false">Transactions!A1227</f>
        <v>TXN500407</v>
      </c>
      <c r="B1227" s="1" t="str">
        <f aca="false">Transactions!B1227</f>
        <v>ACC1017</v>
      </c>
      <c r="C1227" s="1" t="str">
        <f aca="false">Transactions!I1227</f>
        <v>2026-03-15</v>
      </c>
      <c r="D1227" s="1" t="n">
        <f aca="false">Transactions!J1227</f>
        <v>15</v>
      </c>
      <c r="E1227" s="1" t="n">
        <f aca="false">Transactions!D1227</f>
        <v>25.51</v>
      </c>
      <c r="F1227" s="1" t="str">
        <f aca="false">Transactions!H1227</f>
        <v>Online</v>
      </c>
      <c r="G1227" s="1" t="str">
        <f aca="false">Transactions!G1227</f>
        <v>Travel</v>
      </c>
      <c r="H1227" s="1" t="n">
        <f aca="false">IF(COUNTIFS($B$2:$B$1489,B1227,$C$2:$C$1489,C1227,$D$2:$D$1489,D1227)&gt;6,1,0)</f>
        <v>0</v>
      </c>
      <c r="I1227" s="1" t="n">
        <f aca="false">IF(AND(F1227="Wire",E1227&gt;=1000,MOD(E1227,1000)=0),1,0)</f>
        <v>0</v>
      </c>
      <c r="J1227" s="1" t="n">
        <f aca="false">IF(AND(F1227="ATM",E1227&gt;2000,D1227&lt;=4),1,0)</f>
        <v>0</v>
      </c>
      <c r="K1227" s="1" t="n">
        <f aca="false">IF(COUNTIF('SQL Findings'!$A$4:$A$18,B1227)&gt;0,1,0)</f>
        <v>0</v>
      </c>
      <c r="L1227" s="1" t="n">
        <f aca="false">SUM(H1227:K1227)</f>
        <v>0</v>
      </c>
      <c r="M1227" s="1" t="str">
        <f aca="false">IF(L1227&gt;=2,"High",IF(L1227=1,"Medium","Low"))</f>
        <v>Low</v>
      </c>
    </row>
    <row r="1228" customFormat="false" ht="15" hidden="false" customHeight="true" outlineLevel="0" collapsed="false">
      <c r="A1228" s="1" t="str">
        <f aca="false">Transactions!A1228</f>
        <v>TXN501171</v>
      </c>
      <c r="B1228" s="1" t="str">
        <f aca="false">Transactions!B1228</f>
        <v>ACC1051</v>
      </c>
      <c r="C1228" s="1" t="str">
        <f aca="false">Transactions!I1228</f>
        <v>2026-03-15</v>
      </c>
      <c r="D1228" s="1" t="n">
        <f aca="false">Transactions!J1228</f>
        <v>15</v>
      </c>
      <c r="E1228" s="1" t="n">
        <f aca="false">Transactions!D1228</f>
        <v>132.03</v>
      </c>
      <c r="F1228" s="1" t="str">
        <f aca="false">Transactions!H1228</f>
        <v>Online</v>
      </c>
      <c r="G1228" s="1" t="str">
        <f aca="false">Transactions!G1228</f>
        <v>Wire Transfer</v>
      </c>
      <c r="H1228" s="1" t="n">
        <f aca="false">IF(COUNTIFS($B$2:$B$1489,B1228,$C$2:$C$1489,C1228,$D$2:$D$1489,D1228)&gt;6,1,0)</f>
        <v>0</v>
      </c>
      <c r="I1228" s="1" t="n">
        <f aca="false">IF(AND(F1228="Wire",E1228&gt;=1000,MOD(E1228,1000)=0),1,0)</f>
        <v>0</v>
      </c>
      <c r="J1228" s="1" t="n">
        <f aca="false">IF(AND(F1228="ATM",E1228&gt;2000,D1228&lt;=4),1,0)</f>
        <v>0</v>
      </c>
      <c r="K1228" s="1" t="n">
        <f aca="false">IF(COUNTIF('SQL Findings'!$A$4:$A$18,B1228)&gt;0,1,0)</f>
        <v>0</v>
      </c>
      <c r="L1228" s="1" t="n">
        <f aca="false">SUM(H1228:K1228)</f>
        <v>0</v>
      </c>
      <c r="M1228" s="1" t="str">
        <f aca="false">IF(L1228&gt;=2,"High",IF(L1228=1,"Medium","Low"))</f>
        <v>Low</v>
      </c>
    </row>
    <row r="1229" customFormat="false" ht="15" hidden="false" customHeight="true" outlineLevel="0" collapsed="false">
      <c r="A1229" s="1" t="str">
        <f aca="false">Transactions!A1229</f>
        <v>TXN500827</v>
      </c>
      <c r="B1229" s="1" t="str">
        <f aca="false">Transactions!B1229</f>
        <v>ACC1035</v>
      </c>
      <c r="C1229" s="1" t="str">
        <f aca="false">Transactions!I1229</f>
        <v>2026-03-15</v>
      </c>
      <c r="D1229" s="1" t="n">
        <f aca="false">Transactions!J1229</f>
        <v>16</v>
      </c>
      <c r="E1229" s="1" t="n">
        <f aca="false">Transactions!D1229</f>
        <v>276.34</v>
      </c>
      <c r="F1229" s="1" t="str">
        <f aca="false">Transactions!H1229</f>
        <v>POS</v>
      </c>
      <c r="G1229" s="1" t="str">
        <f aca="false">Transactions!G1229</f>
        <v>Electronics</v>
      </c>
      <c r="H1229" s="1" t="n">
        <f aca="false">IF(COUNTIFS($B$2:$B$1489,B1229,$C$2:$C$1489,C1229,$D$2:$D$1489,D1229)&gt;6,1,0)</f>
        <v>0</v>
      </c>
      <c r="I1229" s="1" t="n">
        <f aca="false">IF(AND(F1229="Wire",E1229&gt;=1000,MOD(E1229,1000)=0),1,0)</f>
        <v>0</v>
      </c>
      <c r="J1229" s="1" t="n">
        <f aca="false">IF(AND(F1229="ATM",E1229&gt;2000,D1229&lt;=4),1,0)</f>
        <v>0</v>
      </c>
      <c r="K1229" s="1" t="n">
        <f aca="false">IF(COUNTIF('SQL Findings'!$A$4:$A$18,B1229)&gt;0,1,0)</f>
        <v>0</v>
      </c>
      <c r="L1229" s="1" t="n">
        <f aca="false">SUM(H1229:K1229)</f>
        <v>0</v>
      </c>
      <c r="M1229" s="1" t="str">
        <f aca="false">IF(L1229&gt;=2,"High",IF(L1229=1,"Medium","Low"))</f>
        <v>Low</v>
      </c>
    </row>
    <row r="1230" customFormat="false" ht="15" hidden="false" customHeight="true" outlineLevel="0" collapsed="false">
      <c r="A1230" s="1" t="str">
        <f aca="false">Transactions!A1230</f>
        <v>TXN501281</v>
      </c>
      <c r="B1230" s="1" t="str">
        <f aca="false">Transactions!B1230</f>
        <v>ACC1056</v>
      </c>
      <c r="C1230" s="1" t="str">
        <f aca="false">Transactions!I1230</f>
        <v>2026-03-15</v>
      </c>
      <c r="D1230" s="1" t="n">
        <f aca="false">Transactions!J1230</f>
        <v>16</v>
      </c>
      <c r="E1230" s="1" t="n">
        <f aca="false">Transactions!D1230</f>
        <v>75.2</v>
      </c>
      <c r="F1230" s="1" t="str">
        <f aca="false">Transactions!H1230</f>
        <v>Online</v>
      </c>
      <c r="G1230" s="1" t="str">
        <f aca="false">Transactions!G1230</f>
        <v>Dining</v>
      </c>
      <c r="H1230" s="1" t="n">
        <f aca="false">IF(COUNTIFS($B$2:$B$1489,B1230,$C$2:$C$1489,C1230,$D$2:$D$1489,D1230)&gt;6,1,0)</f>
        <v>0</v>
      </c>
      <c r="I1230" s="1" t="n">
        <f aca="false">IF(AND(F1230="Wire",E1230&gt;=1000,MOD(E1230,1000)=0),1,0)</f>
        <v>0</v>
      </c>
      <c r="J1230" s="1" t="n">
        <f aca="false">IF(AND(F1230="ATM",E1230&gt;2000,D1230&lt;=4),1,0)</f>
        <v>0</v>
      </c>
      <c r="K1230" s="1" t="n">
        <f aca="false">IF(COUNTIF('SQL Findings'!$A$4:$A$18,B1230)&gt;0,1,0)</f>
        <v>0</v>
      </c>
      <c r="L1230" s="1" t="n">
        <f aca="false">SUM(H1230:K1230)</f>
        <v>0</v>
      </c>
      <c r="M1230" s="1" t="str">
        <f aca="false">IF(L1230&gt;=2,"High",IF(L1230=1,"Medium","Low"))</f>
        <v>Low</v>
      </c>
    </row>
    <row r="1231" customFormat="false" ht="15" hidden="false" customHeight="true" outlineLevel="0" collapsed="false">
      <c r="A1231" s="1" t="str">
        <f aca="false">Transactions!A1231</f>
        <v>TXN500903</v>
      </c>
      <c r="B1231" s="1" t="str">
        <f aca="false">Transactions!B1231</f>
        <v>ACC1039</v>
      </c>
      <c r="C1231" s="1" t="str">
        <f aca="false">Transactions!I1231</f>
        <v>2026-03-15</v>
      </c>
      <c r="D1231" s="1" t="n">
        <f aca="false">Transactions!J1231</f>
        <v>21</v>
      </c>
      <c r="E1231" s="1" t="n">
        <f aca="false">Transactions!D1231</f>
        <v>68.43</v>
      </c>
      <c r="F1231" s="1" t="str">
        <f aca="false">Transactions!H1231</f>
        <v>ATM</v>
      </c>
      <c r="G1231" s="1" t="str">
        <f aca="false">Transactions!G1231</f>
        <v>Wire Transfer</v>
      </c>
      <c r="H1231" s="1" t="n">
        <f aca="false">IF(COUNTIFS($B$2:$B$1489,B1231,$C$2:$C$1489,C1231,$D$2:$D$1489,D1231)&gt;6,1,0)</f>
        <v>0</v>
      </c>
      <c r="I1231" s="1" t="n">
        <f aca="false">IF(AND(F1231="Wire",E1231&gt;=1000,MOD(E1231,1000)=0),1,0)</f>
        <v>0</v>
      </c>
      <c r="J1231" s="1" t="n">
        <f aca="false">IF(AND(F1231="ATM",E1231&gt;2000,D1231&lt;=4),1,0)</f>
        <v>0</v>
      </c>
      <c r="K1231" s="1" t="n">
        <f aca="false">IF(COUNTIF('SQL Findings'!$A$4:$A$18,B1231)&gt;0,1,0)</f>
        <v>0</v>
      </c>
      <c r="L1231" s="1" t="n">
        <f aca="false">SUM(H1231:K1231)</f>
        <v>0</v>
      </c>
      <c r="M1231" s="1" t="str">
        <f aca="false">IF(L1231&gt;=2,"High",IF(L1231=1,"Medium","Low"))</f>
        <v>Low</v>
      </c>
    </row>
    <row r="1232" customFormat="false" ht="15" hidden="false" customHeight="true" outlineLevel="0" collapsed="false">
      <c r="A1232" s="1" t="str">
        <f aca="false">Transactions!A1232</f>
        <v>TXN500959</v>
      </c>
      <c r="B1232" s="1" t="str">
        <f aca="false">Transactions!B1232</f>
        <v>ACC1042</v>
      </c>
      <c r="C1232" s="1" t="str">
        <f aca="false">Transactions!I1232</f>
        <v>2026-03-16</v>
      </c>
      <c r="D1232" s="1" t="n">
        <f aca="false">Transactions!J1232</f>
        <v>6</v>
      </c>
      <c r="E1232" s="1" t="n">
        <f aca="false">Transactions!D1232</f>
        <v>111.36</v>
      </c>
      <c r="F1232" s="1" t="str">
        <f aca="false">Transactions!H1232</f>
        <v>Online</v>
      </c>
      <c r="G1232" s="1" t="str">
        <f aca="false">Transactions!G1232</f>
        <v>Cash Withdrawal</v>
      </c>
      <c r="H1232" s="1" t="n">
        <f aca="false">IF(COUNTIFS($B$2:$B$1489,B1232,$C$2:$C$1489,C1232,$D$2:$D$1489,D1232)&gt;6,1,0)</f>
        <v>0</v>
      </c>
      <c r="I1232" s="1" t="n">
        <f aca="false">IF(AND(F1232="Wire",E1232&gt;=1000,MOD(E1232,1000)=0),1,0)</f>
        <v>0</v>
      </c>
      <c r="J1232" s="1" t="n">
        <f aca="false">IF(AND(F1232="ATM",E1232&gt;2000,D1232&lt;=4),1,0)</f>
        <v>0</v>
      </c>
      <c r="K1232" s="1" t="n">
        <f aca="false">IF(COUNTIF('SQL Findings'!$A$4:$A$18,B1232)&gt;0,1,0)</f>
        <v>1</v>
      </c>
      <c r="L1232" s="1" t="n">
        <f aca="false">SUM(H1232:K1232)</f>
        <v>1</v>
      </c>
      <c r="M1232" s="1" t="str">
        <f aca="false">IF(L1232&gt;=2,"High",IF(L1232=1,"Medium","Low"))</f>
        <v>Medium</v>
      </c>
    </row>
    <row r="1233" customFormat="false" ht="15" hidden="false" customHeight="true" outlineLevel="0" collapsed="false">
      <c r="A1233" s="1" t="str">
        <f aca="false">Transactions!A1233</f>
        <v>TXN500894</v>
      </c>
      <c r="B1233" s="1" t="str">
        <f aca="false">Transactions!B1233</f>
        <v>ACC1038</v>
      </c>
      <c r="C1233" s="1" t="str">
        <f aca="false">Transactions!I1233</f>
        <v>2026-03-16</v>
      </c>
      <c r="D1233" s="1" t="n">
        <f aca="false">Transactions!J1233</f>
        <v>6</v>
      </c>
      <c r="E1233" s="1" t="n">
        <f aca="false">Transactions!D1233</f>
        <v>191.02</v>
      </c>
      <c r="F1233" s="1" t="str">
        <f aca="false">Transactions!H1233</f>
        <v>POS</v>
      </c>
      <c r="G1233" s="1" t="str">
        <f aca="false">Transactions!G1233</f>
        <v>Travel</v>
      </c>
      <c r="H1233" s="1" t="n">
        <f aca="false">IF(COUNTIFS($B$2:$B$1489,B1233,$C$2:$C$1489,C1233,$D$2:$D$1489,D1233)&gt;6,1,0)</f>
        <v>0</v>
      </c>
      <c r="I1233" s="1" t="n">
        <f aca="false">IF(AND(F1233="Wire",E1233&gt;=1000,MOD(E1233,1000)=0),1,0)</f>
        <v>0</v>
      </c>
      <c r="J1233" s="1" t="n">
        <f aca="false">IF(AND(F1233="ATM",E1233&gt;2000,D1233&lt;=4),1,0)</f>
        <v>0</v>
      </c>
      <c r="K1233" s="1" t="n">
        <f aca="false">IF(COUNTIF('SQL Findings'!$A$4:$A$18,B1233)&gt;0,1,0)</f>
        <v>0</v>
      </c>
      <c r="L1233" s="1" t="n">
        <f aca="false">SUM(H1233:K1233)</f>
        <v>0</v>
      </c>
      <c r="M1233" s="1" t="str">
        <f aca="false">IF(L1233&gt;=2,"High",IF(L1233=1,"Medium","Low"))</f>
        <v>Low</v>
      </c>
    </row>
    <row r="1234" customFormat="false" ht="15" hidden="false" customHeight="true" outlineLevel="0" collapsed="false">
      <c r="A1234" s="1" t="str">
        <f aca="false">Transactions!A1234</f>
        <v>TXN500819</v>
      </c>
      <c r="B1234" s="1" t="str">
        <f aca="false">Transactions!B1234</f>
        <v>ACC1035</v>
      </c>
      <c r="C1234" s="1" t="str">
        <f aca="false">Transactions!I1234</f>
        <v>2026-03-16</v>
      </c>
      <c r="D1234" s="1" t="n">
        <f aca="false">Transactions!J1234</f>
        <v>8</v>
      </c>
      <c r="E1234" s="1" t="n">
        <f aca="false">Transactions!D1234</f>
        <v>71.81</v>
      </c>
      <c r="F1234" s="1" t="str">
        <f aca="false">Transactions!H1234</f>
        <v>Online</v>
      </c>
      <c r="G1234" s="1" t="str">
        <f aca="false">Transactions!G1234</f>
        <v>Electronics</v>
      </c>
      <c r="H1234" s="1" t="n">
        <f aca="false">IF(COUNTIFS($B$2:$B$1489,B1234,$C$2:$C$1489,C1234,$D$2:$D$1489,D1234)&gt;6,1,0)</f>
        <v>0</v>
      </c>
      <c r="I1234" s="1" t="n">
        <f aca="false">IF(AND(F1234="Wire",E1234&gt;=1000,MOD(E1234,1000)=0),1,0)</f>
        <v>0</v>
      </c>
      <c r="J1234" s="1" t="n">
        <f aca="false">IF(AND(F1234="ATM",E1234&gt;2000,D1234&lt;=4),1,0)</f>
        <v>0</v>
      </c>
      <c r="K1234" s="1" t="n">
        <f aca="false">IF(COUNTIF('SQL Findings'!$A$4:$A$18,B1234)&gt;0,1,0)</f>
        <v>0</v>
      </c>
      <c r="L1234" s="1" t="n">
        <f aca="false">SUM(H1234:K1234)</f>
        <v>0</v>
      </c>
      <c r="M1234" s="1" t="str">
        <f aca="false">IF(L1234&gt;=2,"High",IF(L1234=1,"Medium","Low"))</f>
        <v>Low</v>
      </c>
    </row>
    <row r="1235" customFormat="false" ht="15" hidden="false" customHeight="true" outlineLevel="0" collapsed="false">
      <c r="A1235" s="1" t="str">
        <f aca="false">Transactions!A1235</f>
        <v>TXN501246</v>
      </c>
      <c r="B1235" s="1" t="str">
        <f aca="false">Transactions!B1235</f>
        <v>ACC1054</v>
      </c>
      <c r="C1235" s="1" t="str">
        <f aca="false">Transactions!I1235</f>
        <v>2026-03-16</v>
      </c>
      <c r="D1235" s="1" t="n">
        <f aca="false">Transactions!J1235</f>
        <v>9</v>
      </c>
      <c r="E1235" s="1" t="n">
        <f aca="false">Transactions!D1235</f>
        <v>22.16</v>
      </c>
      <c r="F1235" s="1" t="str">
        <f aca="false">Transactions!H1235</f>
        <v>Online</v>
      </c>
      <c r="G1235" s="1" t="str">
        <f aca="false">Transactions!G1235</f>
        <v>Electronics</v>
      </c>
      <c r="H1235" s="1" t="n">
        <f aca="false">IF(COUNTIFS($B$2:$B$1489,B1235,$C$2:$C$1489,C1235,$D$2:$D$1489,D1235)&gt;6,1,0)</f>
        <v>0</v>
      </c>
      <c r="I1235" s="1" t="n">
        <f aca="false">IF(AND(F1235="Wire",E1235&gt;=1000,MOD(E1235,1000)=0),1,0)</f>
        <v>0</v>
      </c>
      <c r="J1235" s="1" t="n">
        <f aca="false">IF(AND(F1235="ATM",E1235&gt;2000,D1235&lt;=4),1,0)</f>
        <v>0</v>
      </c>
      <c r="K1235" s="1" t="n">
        <f aca="false">IF(COUNTIF('SQL Findings'!$A$4:$A$18,B1235)&gt;0,1,0)</f>
        <v>0</v>
      </c>
      <c r="L1235" s="1" t="n">
        <f aca="false">SUM(H1235:K1235)</f>
        <v>0</v>
      </c>
      <c r="M1235" s="1" t="str">
        <f aca="false">IF(L1235&gt;=2,"High",IF(L1235=1,"Medium","Low"))</f>
        <v>Low</v>
      </c>
    </row>
    <row r="1236" customFormat="false" ht="15" hidden="false" customHeight="true" outlineLevel="0" collapsed="false">
      <c r="A1236" s="1" t="str">
        <f aca="false">Transactions!A1236</f>
        <v>TXN500010</v>
      </c>
      <c r="B1236" s="1" t="str">
        <f aca="false">Transactions!B1236</f>
        <v>ACC1000</v>
      </c>
      <c r="C1236" s="1" t="str">
        <f aca="false">Transactions!I1236</f>
        <v>2026-03-16</v>
      </c>
      <c r="D1236" s="1" t="n">
        <f aca="false">Transactions!J1236</f>
        <v>10</v>
      </c>
      <c r="E1236" s="1" t="n">
        <f aca="false">Transactions!D1236</f>
        <v>108.67</v>
      </c>
      <c r="F1236" s="1" t="str">
        <f aca="false">Transactions!H1236</f>
        <v>Online</v>
      </c>
      <c r="G1236" s="1" t="str">
        <f aca="false">Transactions!G1236</f>
        <v>Wire Transfer</v>
      </c>
      <c r="H1236" s="1" t="n">
        <f aca="false">IF(COUNTIFS($B$2:$B$1489,B1236,$C$2:$C$1489,C1236,$D$2:$D$1489,D1236)&gt;6,1,0)</f>
        <v>0</v>
      </c>
      <c r="I1236" s="1" t="n">
        <f aca="false">IF(AND(F1236="Wire",E1236&gt;=1000,MOD(E1236,1000)=0),1,0)</f>
        <v>0</v>
      </c>
      <c r="J1236" s="1" t="n">
        <f aca="false">IF(AND(F1236="ATM",E1236&gt;2000,D1236&lt;=4),1,0)</f>
        <v>0</v>
      </c>
      <c r="K1236" s="1" t="n">
        <f aca="false">IF(COUNTIF('SQL Findings'!$A$4:$A$18,B1236)&gt;0,1,0)</f>
        <v>1</v>
      </c>
      <c r="L1236" s="1" t="n">
        <f aca="false">SUM(H1236:K1236)</f>
        <v>1</v>
      </c>
      <c r="M1236" s="1" t="str">
        <f aca="false">IF(L1236&gt;=2,"High",IF(L1236=1,"Medium","Low"))</f>
        <v>Medium</v>
      </c>
    </row>
    <row r="1237" customFormat="false" ht="15" hidden="false" customHeight="true" outlineLevel="0" collapsed="false">
      <c r="A1237" s="1" t="str">
        <f aca="false">Transactions!A1237</f>
        <v>TXN500173</v>
      </c>
      <c r="B1237" s="1" t="str">
        <f aca="false">Transactions!B1237</f>
        <v>ACC1007</v>
      </c>
      <c r="C1237" s="1" t="str">
        <f aca="false">Transactions!I1237</f>
        <v>2026-03-16</v>
      </c>
      <c r="D1237" s="1" t="n">
        <f aca="false">Transactions!J1237</f>
        <v>10</v>
      </c>
      <c r="E1237" s="1" t="n">
        <f aca="false">Transactions!D1237</f>
        <v>62.22</v>
      </c>
      <c r="F1237" s="1" t="str">
        <f aca="false">Transactions!H1237</f>
        <v>POS</v>
      </c>
      <c r="G1237" s="1" t="str">
        <f aca="false">Transactions!G1237</f>
        <v>Online Marketplace</v>
      </c>
      <c r="H1237" s="1" t="n">
        <f aca="false">IF(COUNTIFS($B$2:$B$1489,B1237,$C$2:$C$1489,C1237,$D$2:$D$1489,D1237)&gt;6,1,0)</f>
        <v>0</v>
      </c>
      <c r="I1237" s="1" t="n">
        <f aca="false">IF(AND(F1237="Wire",E1237&gt;=1000,MOD(E1237,1000)=0),1,0)</f>
        <v>0</v>
      </c>
      <c r="J1237" s="1" t="n">
        <f aca="false">IF(AND(F1237="ATM",E1237&gt;2000,D1237&lt;=4),1,0)</f>
        <v>0</v>
      </c>
      <c r="K1237" s="1" t="n">
        <f aca="false">IF(COUNTIF('SQL Findings'!$A$4:$A$18,B1237)&gt;0,1,0)</f>
        <v>0</v>
      </c>
      <c r="L1237" s="1" t="n">
        <f aca="false">SUM(H1237:K1237)</f>
        <v>0</v>
      </c>
      <c r="M1237" s="1" t="str">
        <f aca="false">IF(L1237&gt;=2,"High",IF(L1237=1,"Medium","Low"))</f>
        <v>Low</v>
      </c>
    </row>
    <row r="1238" customFormat="false" ht="15" hidden="false" customHeight="true" outlineLevel="0" collapsed="false">
      <c r="A1238" s="1" t="str">
        <f aca="false">Transactions!A1238</f>
        <v>TXN500427</v>
      </c>
      <c r="B1238" s="1" t="str">
        <f aca="false">Transactions!B1238</f>
        <v>ACC1019</v>
      </c>
      <c r="C1238" s="1" t="str">
        <f aca="false">Transactions!I1238</f>
        <v>2026-03-16</v>
      </c>
      <c r="D1238" s="1" t="n">
        <f aca="false">Transactions!J1238</f>
        <v>11</v>
      </c>
      <c r="E1238" s="1" t="n">
        <f aca="false">Transactions!D1238</f>
        <v>27.98</v>
      </c>
      <c r="F1238" s="1" t="str">
        <f aca="false">Transactions!H1238</f>
        <v>POS</v>
      </c>
      <c r="G1238" s="1" t="str">
        <f aca="false">Transactions!G1238</f>
        <v>Wire Transfer</v>
      </c>
      <c r="H1238" s="1" t="n">
        <f aca="false">IF(COUNTIFS($B$2:$B$1489,B1238,$C$2:$C$1489,C1238,$D$2:$D$1489,D1238)&gt;6,1,0)</f>
        <v>0</v>
      </c>
      <c r="I1238" s="1" t="n">
        <f aca="false">IF(AND(F1238="Wire",E1238&gt;=1000,MOD(E1238,1000)=0),1,0)</f>
        <v>0</v>
      </c>
      <c r="J1238" s="1" t="n">
        <f aca="false">IF(AND(F1238="ATM",E1238&gt;2000,D1238&lt;=4),1,0)</f>
        <v>0</v>
      </c>
      <c r="K1238" s="1" t="n">
        <f aca="false">IF(COUNTIF('SQL Findings'!$A$4:$A$18,B1238)&gt;0,1,0)</f>
        <v>0</v>
      </c>
      <c r="L1238" s="1" t="n">
        <f aca="false">SUM(H1238:K1238)</f>
        <v>0</v>
      </c>
      <c r="M1238" s="1" t="str">
        <f aca="false">IF(L1238&gt;=2,"High",IF(L1238=1,"Medium","Low"))</f>
        <v>Low</v>
      </c>
    </row>
    <row r="1239" customFormat="false" ht="15" hidden="false" customHeight="true" outlineLevel="0" collapsed="false">
      <c r="A1239" s="1" t="str">
        <f aca="false">Transactions!A1239</f>
        <v>TXN500306</v>
      </c>
      <c r="B1239" s="1" t="str">
        <f aca="false">Transactions!B1239</f>
        <v>ACC1013</v>
      </c>
      <c r="C1239" s="1" t="str">
        <f aca="false">Transactions!I1239</f>
        <v>2026-03-16</v>
      </c>
      <c r="D1239" s="1" t="n">
        <f aca="false">Transactions!J1239</f>
        <v>12</v>
      </c>
      <c r="E1239" s="1" t="n">
        <f aca="false">Transactions!D1239</f>
        <v>74.11</v>
      </c>
      <c r="F1239" s="1" t="str">
        <f aca="false">Transactions!H1239</f>
        <v>Online</v>
      </c>
      <c r="G1239" s="1" t="str">
        <f aca="false">Transactions!G1239</f>
        <v>Retail</v>
      </c>
      <c r="H1239" s="1" t="n">
        <f aca="false">IF(COUNTIFS($B$2:$B$1489,B1239,$C$2:$C$1489,C1239,$D$2:$D$1489,D1239)&gt;6,1,0)</f>
        <v>0</v>
      </c>
      <c r="I1239" s="1" t="n">
        <f aca="false">IF(AND(F1239="Wire",E1239&gt;=1000,MOD(E1239,1000)=0),1,0)</f>
        <v>0</v>
      </c>
      <c r="J1239" s="1" t="n">
        <f aca="false">IF(AND(F1239="ATM",E1239&gt;2000,D1239&lt;=4),1,0)</f>
        <v>0</v>
      </c>
      <c r="K1239" s="1" t="n">
        <f aca="false">IF(COUNTIF('SQL Findings'!$A$4:$A$18,B1239)&gt;0,1,0)</f>
        <v>0</v>
      </c>
      <c r="L1239" s="1" t="n">
        <f aca="false">SUM(H1239:K1239)</f>
        <v>0</v>
      </c>
      <c r="M1239" s="1" t="str">
        <f aca="false">IF(L1239&gt;=2,"High",IF(L1239=1,"Medium","Low"))</f>
        <v>Low</v>
      </c>
    </row>
    <row r="1240" customFormat="false" ht="15" hidden="false" customHeight="true" outlineLevel="0" collapsed="false">
      <c r="A1240" s="1" t="str">
        <f aca="false">Transactions!A1240</f>
        <v>TXN501203</v>
      </c>
      <c r="B1240" s="1" t="str">
        <f aca="false">Transactions!B1240</f>
        <v>ACC1053</v>
      </c>
      <c r="C1240" s="1" t="str">
        <f aca="false">Transactions!I1240</f>
        <v>2026-03-16</v>
      </c>
      <c r="D1240" s="1" t="n">
        <f aca="false">Transactions!J1240</f>
        <v>12</v>
      </c>
      <c r="E1240" s="1" t="n">
        <f aca="false">Transactions!D1240</f>
        <v>74.45</v>
      </c>
      <c r="F1240" s="1" t="str">
        <f aca="false">Transactions!H1240</f>
        <v>POS</v>
      </c>
      <c r="G1240" s="1" t="str">
        <f aca="false">Transactions!G1240</f>
        <v>Dining</v>
      </c>
      <c r="H1240" s="1" t="n">
        <f aca="false">IF(COUNTIFS($B$2:$B$1489,B1240,$C$2:$C$1489,C1240,$D$2:$D$1489,D1240)&gt;6,1,0)</f>
        <v>0</v>
      </c>
      <c r="I1240" s="1" t="n">
        <f aca="false">IF(AND(F1240="Wire",E1240&gt;=1000,MOD(E1240,1000)=0),1,0)</f>
        <v>0</v>
      </c>
      <c r="J1240" s="1" t="n">
        <f aca="false">IF(AND(F1240="ATM",E1240&gt;2000,D1240&lt;=4),1,0)</f>
        <v>0</v>
      </c>
      <c r="K1240" s="1" t="n">
        <f aca="false">IF(COUNTIF('SQL Findings'!$A$4:$A$18,B1240)&gt;0,1,0)</f>
        <v>0</v>
      </c>
      <c r="L1240" s="1" t="n">
        <f aca="false">SUM(H1240:K1240)</f>
        <v>0</v>
      </c>
      <c r="M1240" s="1" t="str">
        <f aca="false">IF(L1240&gt;=2,"High",IF(L1240=1,"Medium","Low"))</f>
        <v>Low</v>
      </c>
    </row>
    <row r="1241" customFormat="false" ht="15" hidden="false" customHeight="true" outlineLevel="0" collapsed="false">
      <c r="A1241" s="1" t="str">
        <f aca="false">Transactions!A1241</f>
        <v>TXN500050</v>
      </c>
      <c r="B1241" s="1" t="str">
        <f aca="false">Transactions!B1241</f>
        <v>ACC1001</v>
      </c>
      <c r="C1241" s="1" t="str">
        <f aca="false">Transactions!I1241</f>
        <v>2026-03-16</v>
      </c>
      <c r="D1241" s="1" t="n">
        <f aca="false">Transactions!J1241</f>
        <v>13</v>
      </c>
      <c r="E1241" s="1" t="n">
        <f aca="false">Transactions!D1241</f>
        <v>13.64</v>
      </c>
      <c r="F1241" s="1" t="str">
        <f aca="false">Transactions!H1241</f>
        <v>POS</v>
      </c>
      <c r="G1241" s="1" t="str">
        <f aca="false">Transactions!G1241</f>
        <v>Utilities</v>
      </c>
      <c r="H1241" s="1" t="n">
        <f aca="false">IF(COUNTIFS($B$2:$B$1489,B1241,$C$2:$C$1489,C1241,$D$2:$D$1489,D1241)&gt;6,1,0)</f>
        <v>0</v>
      </c>
      <c r="I1241" s="1" t="n">
        <f aca="false">IF(AND(F1241="Wire",E1241&gt;=1000,MOD(E1241,1000)=0),1,0)</f>
        <v>0</v>
      </c>
      <c r="J1241" s="1" t="n">
        <f aca="false">IF(AND(F1241="ATM",E1241&gt;2000,D1241&lt;=4),1,0)</f>
        <v>0</v>
      </c>
      <c r="K1241" s="1" t="n">
        <f aca="false">IF(COUNTIF('SQL Findings'!$A$4:$A$18,B1241)&gt;0,1,0)</f>
        <v>1</v>
      </c>
      <c r="L1241" s="1" t="n">
        <f aca="false">SUM(H1241:K1241)</f>
        <v>1</v>
      </c>
      <c r="M1241" s="1" t="str">
        <f aca="false">IF(L1241&gt;=2,"High",IF(L1241=1,"Medium","Low"))</f>
        <v>Medium</v>
      </c>
    </row>
    <row r="1242" customFormat="false" ht="15" hidden="false" customHeight="true" outlineLevel="0" collapsed="false">
      <c r="A1242" s="1" t="str">
        <f aca="false">Transactions!A1242</f>
        <v>TXN501474</v>
      </c>
      <c r="B1242" s="1" t="str">
        <f aca="false">Transactions!B1242</f>
        <v>ACC1024</v>
      </c>
      <c r="C1242" s="1" t="str">
        <f aca="false">Transactions!I1242</f>
        <v>2026-03-16</v>
      </c>
      <c r="D1242" s="1" t="n">
        <f aca="false">Transactions!J1242</f>
        <v>16</v>
      </c>
      <c r="E1242" s="1" t="n">
        <f aca="false">Transactions!D1242</f>
        <v>96.19</v>
      </c>
      <c r="F1242" s="1" t="str">
        <f aca="false">Transactions!H1242</f>
        <v>POS</v>
      </c>
      <c r="G1242" s="1" t="str">
        <f aca="false">Transactions!G1242</f>
        <v>Dining</v>
      </c>
      <c r="H1242" s="1" t="n">
        <f aca="false">IF(COUNTIFS($B$2:$B$1489,B1242,$C$2:$C$1489,C1242,$D$2:$D$1489,D1242)&gt;6,1,0)</f>
        <v>0</v>
      </c>
      <c r="I1242" s="1" t="n">
        <f aca="false">IF(AND(F1242="Wire",E1242&gt;=1000,MOD(E1242,1000)=0),1,0)</f>
        <v>0</v>
      </c>
      <c r="J1242" s="1" t="n">
        <f aca="false">IF(AND(F1242="ATM",E1242&gt;2000,D1242&lt;=4),1,0)</f>
        <v>0</v>
      </c>
      <c r="K1242" s="1" t="n">
        <f aca="false">IF(COUNTIF('SQL Findings'!$A$4:$A$18,B1242)&gt;0,1,0)</f>
        <v>1</v>
      </c>
      <c r="L1242" s="1" t="n">
        <f aca="false">SUM(H1242:K1242)</f>
        <v>1</v>
      </c>
      <c r="M1242" s="1" t="str">
        <f aca="false">IF(L1242&gt;=2,"High",IF(L1242=1,"Medium","Low"))</f>
        <v>Medium</v>
      </c>
    </row>
    <row r="1243" customFormat="false" ht="15" hidden="false" customHeight="true" outlineLevel="0" collapsed="false">
      <c r="A1243" s="1" t="str">
        <f aca="false">Transactions!A1243</f>
        <v>TXN501475</v>
      </c>
      <c r="B1243" s="1" t="str">
        <f aca="false">Transactions!B1243</f>
        <v>ACC1024</v>
      </c>
      <c r="C1243" s="1" t="str">
        <f aca="false">Transactions!I1243</f>
        <v>2026-03-16</v>
      </c>
      <c r="D1243" s="1" t="n">
        <f aca="false">Transactions!J1243</f>
        <v>16</v>
      </c>
      <c r="E1243" s="1" t="n">
        <f aca="false">Transactions!D1243</f>
        <v>96.19</v>
      </c>
      <c r="F1243" s="1" t="str">
        <f aca="false">Transactions!H1243</f>
        <v>POS</v>
      </c>
      <c r="G1243" s="1" t="str">
        <f aca="false">Transactions!G1243</f>
        <v>Dining</v>
      </c>
      <c r="H1243" s="1" t="n">
        <f aca="false">IF(COUNTIFS($B$2:$B$1489,B1243,$C$2:$C$1489,C1243,$D$2:$D$1489,D1243)&gt;6,1,0)</f>
        <v>0</v>
      </c>
      <c r="I1243" s="1" t="n">
        <f aca="false">IF(AND(F1243="Wire",E1243&gt;=1000,MOD(E1243,1000)=0),1,0)</f>
        <v>0</v>
      </c>
      <c r="J1243" s="1" t="n">
        <f aca="false">IF(AND(F1243="ATM",E1243&gt;2000,D1243&lt;=4),1,0)</f>
        <v>0</v>
      </c>
      <c r="K1243" s="1" t="n">
        <f aca="false">IF(COUNTIF('SQL Findings'!$A$4:$A$18,B1243)&gt;0,1,0)</f>
        <v>1</v>
      </c>
      <c r="L1243" s="1" t="n">
        <f aca="false">SUM(H1243:K1243)</f>
        <v>1</v>
      </c>
      <c r="M1243" s="1" t="str">
        <f aca="false">IF(L1243&gt;=2,"High",IF(L1243=1,"Medium","Low"))</f>
        <v>Medium</v>
      </c>
    </row>
    <row r="1244" customFormat="false" ht="15" hidden="false" customHeight="true" outlineLevel="0" collapsed="false">
      <c r="A1244" s="1" t="str">
        <f aca="false">Transactions!A1244</f>
        <v>TXN500919</v>
      </c>
      <c r="B1244" s="1" t="str">
        <f aca="false">Transactions!B1244</f>
        <v>ACC1039</v>
      </c>
      <c r="C1244" s="1" t="str">
        <f aca="false">Transactions!I1244</f>
        <v>2026-03-16</v>
      </c>
      <c r="D1244" s="1" t="n">
        <f aca="false">Transactions!J1244</f>
        <v>17</v>
      </c>
      <c r="E1244" s="1" t="n">
        <f aca="false">Transactions!D1244</f>
        <v>44.62</v>
      </c>
      <c r="F1244" s="1" t="str">
        <f aca="false">Transactions!H1244</f>
        <v>Online</v>
      </c>
      <c r="G1244" s="1" t="str">
        <f aca="false">Transactions!G1244</f>
        <v>Cash Withdrawal</v>
      </c>
      <c r="H1244" s="1" t="n">
        <f aca="false">IF(COUNTIFS($B$2:$B$1489,B1244,$C$2:$C$1489,C1244,$D$2:$D$1489,D1244)&gt;6,1,0)</f>
        <v>0</v>
      </c>
      <c r="I1244" s="1" t="n">
        <f aca="false">IF(AND(F1244="Wire",E1244&gt;=1000,MOD(E1244,1000)=0),1,0)</f>
        <v>0</v>
      </c>
      <c r="J1244" s="1" t="n">
        <f aca="false">IF(AND(F1244="ATM",E1244&gt;2000,D1244&lt;=4),1,0)</f>
        <v>0</v>
      </c>
      <c r="K1244" s="1" t="n">
        <f aca="false">IF(COUNTIF('SQL Findings'!$A$4:$A$18,B1244)&gt;0,1,0)</f>
        <v>0</v>
      </c>
      <c r="L1244" s="1" t="n">
        <f aca="false">SUM(H1244:K1244)</f>
        <v>0</v>
      </c>
      <c r="M1244" s="1" t="str">
        <f aca="false">IF(L1244&gt;=2,"High",IF(L1244=1,"Medium","Low"))</f>
        <v>Low</v>
      </c>
    </row>
    <row r="1245" customFormat="false" ht="15" hidden="false" customHeight="true" outlineLevel="0" collapsed="false">
      <c r="A1245" s="1" t="str">
        <f aca="false">Transactions!A1245</f>
        <v>TXN501186</v>
      </c>
      <c r="B1245" s="1" t="str">
        <f aca="false">Transactions!B1245</f>
        <v>ACC1052</v>
      </c>
      <c r="C1245" s="1" t="str">
        <f aca="false">Transactions!I1245</f>
        <v>2026-03-16</v>
      </c>
      <c r="D1245" s="1" t="n">
        <f aca="false">Transactions!J1245</f>
        <v>19</v>
      </c>
      <c r="E1245" s="1" t="n">
        <f aca="false">Transactions!D1245</f>
        <v>155.51</v>
      </c>
      <c r="F1245" s="1" t="str">
        <f aca="false">Transactions!H1245</f>
        <v>Online</v>
      </c>
      <c r="G1245" s="1" t="str">
        <f aca="false">Transactions!G1245</f>
        <v>Retail</v>
      </c>
      <c r="H1245" s="1" t="n">
        <f aca="false">IF(COUNTIFS($B$2:$B$1489,B1245,$C$2:$C$1489,C1245,$D$2:$D$1489,D1245)&gt;6,1,0)</f>
        <v>0</v>
      </c>
      <c r="I1245" s="1" t="n">
        <f aca="false">IF(AND(F1245="Wire",E1245&gt;=1000,MOD(E1245,1000)=0),1,0)</f>
        <v>0</v>
      </c>
      <c r="J1245" s="1" t="n">
        <f aca="false">IF(AND(F1245="ATM",E1245&gt;2000,D1245&lt;=4),1,0)</f>
        <v>0</v>
      </c>
      <c r="K1245" s="1" t="n">
        <f aca="false">IF(COUNTIF('SQL Findings'!$A$4:$A$18,B1245)&gt;0,1,0)</f>
        <v>0</v>
      </c>
      <c r="L1245" s="1" t="n">
        <f aca="false">SUM(H1245:K1245)</f>
        <v>0</v>
      </c>
      <c r="M1245" s="1" t="str">
        <f aca="false">IF(L1245&gt;=2,"High",IF(L1245=1,"Medium","Low"))</f>
        <v>Low</v>
      </c>
    </row>
    <row r="1246" customFormat="false" ht="15" hidden="false" customHeight="true" outlineLevel="0" collapsed="false">
      <c r="A1246" s="1" t="str">
        <f aca="false">Transactions!A1246</f>
        <v>TXN500989</v>
      </c>
      <c r="B1246" s="1" t="str">
        <f aca="false">Transactions!B1246</f>
        <v>ACC1043</v>
      </c>
      <c r="C1246" s="1" t="str">
        <f aca="false">Transactions!I1246</f>
        <v>2026-03-17</v>
      </c>
      <c r="D1246" s="1" t="n">
        <f aca="false">Transactions!J1246</f>
        <v>6</v>
      </c>
      <c r="E1246" s="1" t="n">
        <f aca="false">Transactions!D1246</f>
        <v>54.66</v>
      </c>
      <c r="F1246" s="1" t="str">
        <f aca="false">Transactions!H1246</f>
        <v>ATM</v>
      </c>
      <c r="G1246" s="1" t="str">
        <f aca="false">Transactions!G1246</f>
        <v>Retail</v>
      </c>
      <c r="H1246" s="1" t="n">
        <f aca="false">IF(COUNTIFS($B$2:$B$1489,B1246,$C$2:$C$1489,C1246,$D$2:$D$1489,D1246)&gt;6,1,0)</f>
        <v>0</v>
      </c>
      <c r="I1246" s="1" t="n">
        <f aca="false">IF(AND(F1246="Wire",E1246&gt;=1000,MOD(E1246,1000)=0),1,0)</f>
        <v>0</v>
      </c>
      <c r="J1246" s="1" t="n">
        <f aca="false">IF(AND(F1246="ATM",E1246&gt;2000,D1246&lt;=4),1,0)</f>
        <v>0</v>
      </c>
      <c r="K1246" s="1" t="n">
        <f aca="false">IF(COUNTIF('SQL Findings'!$A$4:$A$18,B1246)&gt;0,1,0)</f>
        <v>0</v>
      </c>
      <c r="L1246" s="1" t="n">
        <f aca="false">SUM(H1246:K1246)</f>
        <v>0</v>
      </c>
      <c r="M1246" s="1" t="str">
        <f aca="false">IF(L1246&gt;=2,"High",IF(L1246=1,"Medium","Low"))</f>
        <v>Low</v>
      </c>
    </row>
    <row r="1247" customFormat="false" ht="15" hidden="false" customHeight="true" outlineLevel="0" collapsed="false">
      <c r="A1247" s="1" t="str">
        <f aca="false">Transactions!A1247</f>
        <v>TXN500213</v>
      </c>
      <c r="B1247" s="1" t="str">
        <f aca="false">Transactions!B1247</f>
        <v>ACC1009</v>
      </c>
      <c r="C1247" s="1" t="str">
        <f aca="false">Transactions!I1247</f>
        <v>2026-03-17</v>
      </c>
      <c r="D1247" s="1" t="n">
        <f aca="false">Transactions!J1247</f>
        <v>8</v>
      </c>
      <c r="E1247" s="1" t="n">
        <f aca="false">Transactions!D1247</f>
        <v>157.37</v>
      </c>
      <c r="F1247" s="1" t="str">
        <f aca="false">Transactions!H1247</f>
        <v>Online</v>
      </c>
      <c r="G1247" s="1" t="str">
        <f aca="false">Transactions!G1247</f>
        <v>Utilities</v>
      </c>
      <c r="H1247" s="1" t="n">
        <f aca="false">IF(COUNTIFS($B$2:$B$1489,B1247,$C$2:$C$1489,C1247,$D$2:$D$1489,D1247)&gt;6,1,0)</f>
        <v>0</v>
      </c>
      <c r="I1247" s="1" t="n">
        <f aca="false">IF(AND(F1247="Wire",E1247&gt;=1000,MOD(E1247,1000)=0),1,0)</f>
        <v>0</v>
      </c>
      <c r="J1247" s="1" t="n">
        <f aca="false">IF(AND(F1247="ATM",E1247&gt;2000,D1247&lt;=4),1,0)</f>
        <v>0</v>
      </c>
      <c r="K1247" s="1" t="n">
        <f aca="false">IF(COUNTIF('SQL Findings'!$A$4:$A$18,B1247)&gt;0,1,0)</f>
        <v>1</v>
      </c>
      <c r="L1247" s="1" t="n">
        <f aca="false">SUM(H1247:K1247)</f>
        <v>1</v>
      </c>
      <c r="M1247" s="1" t="str">
        <f aca="false">IF(L1247&gt;=2,"High",IF(L1247=1,"Medium","Low"))</f>
        <v>Medium</v>
      </c>
    </row>
    <row r="1248" customFormat="false" ht="15" hidden="false" customHeight="true" outlineLevel="0" collapsed="false">
      <c r="A1248" s="1" t="str">
        <f aca="false">Transactions!A1248</f>
        <v>TXN500706</v>
      </c>
      <c r="B1248" s="1" t="str">
        <f aca="false">Transactions!B1248</f>
        <v>ACC1030</v>
      </c>
      <c r="C1248" s="1" t="str">
        <f aca="false">Transactions!I1248</f>
        <v>2026-03-17</v>
      </c>
      <c r="D1248" s="1" t="n">
        <f aca="false">Transactions!J1248</f>
        <v>8</v>
      </c>
      <c r="E1248" s="1" t="n">
        <f aca="false">Transactions!D1248</f>
        <v>115.05</v>
      </c>
      <c r="F1248" s="1" t="str">
        <f aca="false">Transactions!H1248</f>
        <v>POS</v>
      </c>
      <c r="G1248" s="1" t="str">
        <f aca="false">Transactions!G1248</f>
        <v>Electronics</v>
      </c>
      <c r="H1248" s="1" t="n">
        <f aca="false">IF(COUNTIFS($B$2:$B$1489,B1248,$C$2:$C$1489,C1248,$D$2:$D$1489,D1248)&gt;6,1,0)</f>
        <v>0</v>
      </c>
      <c r="I1248" s="1" t="n">
        <f aca="false">IF(AND(F1248="Wire",E1248&gt;=1000,MOD(E1248,1000)=0),1,0)</f>
        <v>0</v>
      </c>
      <c r="J1248" s="1" t="n">
        <f aca="false">IF(AND(F1248="ATM",E1248&gt;2000,D1248&lt;=4),1,0)</f>
        <v>0</v>
      </c>
      <c r="K1248" s="1" t="n">
        <f aca="false">IF(COUNTIF('SQL Findings'!$A$4:$A$18,B1248)&gt;0,1,0)</f>
        <v>1</v>
      </c>
      <c r="L1248" s="1" t="n">
        <f aca="false">SUM(H1248:K1248)</f>
        <v>1</v>
      </c>
      <c r="M1248" s="1" t="str">
        <f aca="false">IF(L1248&gt;=2,"High",IF(L1248=1,"Medium","Low"))</f>
        <v>Medium</v>
      </c>
    </row>
    <row r="1249" customFormat="false" ht="15" hidden="false" customHeight="true" outlineLevel="0" collapsed="false">
      <c r="A1249" s="1" t="str">
        <f aca="false">Transactions!A1249</f>
        <v>TXN500133</v>
      </c>
      <c r="B1249" s="1" t="str">
        <f aca="false">Transactions!B1249</f>
        <v>ACC1005</v>
      </c>
      <c r="C1249" s="1" t="str">
        <f aca="false">Transactions!I1249</f>
        <v>2026-03-17</v>
      </c>
      <c r="D1249" s="1" t="n">
        <f aca="false">Transactions!J1249</f>
        <v>8</v>
      </c>
      <c r="E1249" s="1" t="n">
        <f aca="false">Transactions!D1249</f>
        <v>25.63</v>
      </c>
      <c r="F1249" s="1" t="str">
        <f aca="false">Transactions!H1249</f>
        <v>POS</v>
      </c>
      <c r="G1249" s="1" t="str">
        <f aca="false">Transactions!G1249</f>
        <v>Dining</v>
      </c>
      <c r="H1249" s="1" t="n">
        <f aca="false">IF(COUNTIFS($B$2:$B$1489,B1249,$C$2:$C$1489,C1249,$D$2:$D$1489,D1249)&gt;6,1,0)</f>
        <v>0</v>
      </c>
      <c r="I1249" s="1" t="n">
        <f aca="false">IF(AND(F1249="Wire",E1249&gt;=1000,MOD(E1249,1000)=0),1,0)</f>
        <v>0</v>
      </c>
      <c r="J1249" s="1" t="n">
        <f aca="false">IF(AND(F1249="ATM",E1249&gt;2000,D1249&lt;=4),1,0)</f>
        <v>0</v>
      </c>
      <c r="K1249" s="1" t="n">
        <f aca="false">IF(COUNTIF('SQL Findings'!$A$4:$A$18,B1249)&gt;0,1,0)</f>
        <v>0</v>
      </c>
      <c r="L1249" s="1" t="n">
        <f aca="false">SUM(H1249:K1249)</f>
        <v>0</v>
      </c>
      <c r="M1249" s="1" t="str">
        <f aca="false">IF(L1249&gt;=2,"High",IF(L1249=1,"Medium","Low"))</f>
        <v>Low</v>
      </c>
    </row>
    <row r="1250" customFormat="false" ht="15" hidden="false" customHeight="true" outlineLevel="0" collapsed="false">
      <c r="A1250" s="1" t="str">
        <f aca="false">Transactions!A1250</f>
        <v>TXN500591</v>
      </c>
      <c r="B1250" s="1" t="str">
        <f aca="false">Transactions!B1250</f>
        <v>ACC1026</v>
      </c>
      <c r="C1250" s="1" t="str">
        <f aca="false">Transactions!I1250</f>
        <v>2026-03-17</v>
      </c>
      <c r="D1250" s="1" t="n">
        <f aca="false">Transactions!J1250</f>
        <v>10</v>
      </c>
      <c r="E1250" s="1" t="n">
        <f aca="false">Transactions!D1250</f>
        <v>71.12</v>
      </c>
      <c r="F1250" s="1" t="str">
        <f aca="false">Transactions!H1250</f>
        <v>POS</v>
      </c>
      <c r="G1250" s="1" t="str">
        <f aca="false">Transactions!G1250</f>
        <v>Dining</v>
      </c>
      <c r="H1250" s="1" t="n">
        <f aca="false">IF(COUNTIFS($B$2:$B$1489,B1250,$C$2:$C$1489,C1250,$D$2:$D$1489,D1250)&gt;6,1,0)</f>
        <v>0</v>
      </c>
      <c r="I1250" s="1" t="n">
        <f aca="false">IF(AND(F1250="Wire",E1250&gt;=1000,MOD(E1250,1000)=0),1,0)</f>
        <v>0</v>
      </c>
      <c r="J1250" s="1" t="n">
        <f aca="false">IF(AND(F1250="ATM",E1250&gt;2000,D1250&lt;=4),1,0)</f>
        <v>0</v>
      </c>
      <c r="K1250" s="1" t="n">
        <f aca="false">IF(COUNTIF('SQL Findings'!$A$4:$A$18,B1250)&gt;0,1,0)</f>
        <v>0</v>
      </c>
      <c r="L1250" s="1" t="n">
        <f aca="false">SUM(H1250:K1250)</f>
        <v>0</v>
      </c>
      <c r="M1250" s="1" t="str">
        <f aca="false">IF(L1250&gt;=2,"High",IF(L1250=1,"Medium","Low"))</f>
        <v>Low</v>
      </c>
    </row>
    <row r="1251" customFormat="false" ht="15" hidden="false" customHeight="true" outlineLevel="0" collapsed="false">
      <c r="A1251" s="1" t="str">
        <f aca="false">Transactions!A1251</f>
        <v>TXN501306</v>
      </c>
      <c r="B1251" s="1" t="str">
        <f aca="false">Transactions!B1251</f>
        <v>ACC1057</v>
      </c>
      <c r="C1251" s="1" t="str">
        <f aca="false">Transactions!I1251</f>
        <v>2026-03-17</v>
      </c>
      <c r="D1251" s="1" t="n">
        <f aca="false">Transactions!J1251</f>
        <v>13</v>
      </c>
      <c r="E1251" s="1" t="n">
        <f aca="false">Transactions!D1251</f>
        <v>29.71</v>
      </c>
      <c r="F1251" s="1" t="str">
        <f aca="false">Transactions!H1251</f>
        <v>Online</v>
      </c>
      <c r="G1251" s="1" t="str">
        <f aca="false">Transactions!G1251</f>
        <v>Electronics</v>
      </c>
      <c r="H1251" s="1" t="n">
        <f aca="false">IF(COUNTIFS($B$2:$B$1489,B1251,$C$2:$C$1489,C1251,$D$2:$D$1489,D1251)&gt;6,1,0)</f>
        <v>0</v>
      </c>
      <c r="I1251" s="1" t="n">
        <f aca="false">IF(AND(F1251="Wire",E1251&gt;=1000,MOD(E1251,1000)=0),1,0)</f>
        <v>0</v>
      </c>
      <c r="J1251" s="1" t="n">
        <f aca="false">IF(AND(F1251="ATM",E1251&gt;2000,D1251&lt;=4),1,0)</f>
        <v>0</v>
      </c>
      <c r="K1251" s="1" t="n">
        <f aca="false">IF(COUNTIF('SQL Findings'!$A$4:$A$18,B1251)&gt;0,1,0)</f>
        <v>1</v>
      </c>
      <c r="L1251" s="1" t="n">
        <f aca="false">SUM(H1251:K1251)</f>
        <v>1</v>
      </c>
      <c r="M1251" s="1" t="str">
        <f aca="false">IF(L1251&gt;=2,"High",IF(L1251=1,"Medium","Low"))</f>
        <v>Medium</v>
      </c>
    </row>
    <row r="1252" customFormat="false" ht="15" hidden="false" customHeight="true" outlineLevel="0" collapsed="false">
      <c r="A1252" s="1" t="str">
        <f aca="false">Transactions!A1252</f>
        <v>TXN500692</v>
      </c>
      <c r="B1252" s="1" t="str">
        <f aca="false">Transactions!B1252</f>
        <v>ACC1029</v>
      </c>
      <c r="C1252" s="1" t="str">
        <f aca="false">Transactions!I1252</f>
        <v>2026-03-17</v>
      </c>
      <c r="D1252" s="1" t="n">
        <f aca="false">Transactions!J1252</f>
        <v>13</v>
      </c>
      <c r="E1252" s="1" t="n">
        <f aca="false">Transactions!D1252</f>
        <v>189.31</v>
      </c>
      <c r="F1252" s="1" t="str">
        <f aca="false">Transactions!H1252</f>
        <v>POS</v>
      </c>
      <c r="G1252" s="1" t="str">
        <f aca="false">Transactions!G1252</f>
        <v>Travel</v>
      </c>
      <c r="H1252" s="1" t="n">
        <f aca="false">IF(COUNTIFS($B$2:$B$1489,B1252,$C$2:$C$1489,C1252,$D$2:$D$1489,D1252)&gt;6,1,0)</f>
        <v>0</v>
      </c>
      <c r="I1252" s="1" t="n">
        <f aca="false">IF(AND(F1252="Wire",E1252&gt;=1000,MOD(E1252,1000)=0),1,0)</f>
        <v>0</v>
      </c>
      <c r="J1252" s="1" t="n">
        <f aca="false">IF(AND(F1252="ATM",E1252&gt;2000,D1252&lt;=4),1,0)</f>
        <v>0</v>
      </c>
      <c r="K1252" s="1" t="n">
        <f aca="false">IF(COUNTIF('SQL Findings'!$A$4:$A$18,B1252)&gt;0,1,0)</f>
        <v>0</v>
      </c>
      <c r="L1252" s="1" t="n">
        <f aca="false">SUM(H1252:K1252)</f>
        <v>0</v>
      </c>
      <c r="M1252" s="1" t="str">
        <f aca="false">IF(L1252&gt;=2,"High",IF(L1252=1,"Medium","Low"))</f>
        <v>Low</v>
      </c>
    </row>
    <row r="1253" customFormat="false" ht="15" hidden="false" customHeight="true" outlineLevel="0" collapsed="false">
      <c r="A1253" s="1" t="str">
        <f aca="false">Transactions!A1253</f>
        <v>TXN500615</v>
      </c>
      <c r="B1253" s="1" t="str">
        <f aca="false">Transactions!B1253</f>
        <v>ACC1027</v>
      </c>
      <c r="C1253" s="1" t="str">
        <f aca="false">Transactions!I1253</f>
        <v>2026-03-17</v>
      </c>
      <c r="D1253" s="1" t="n">
        <f aca="false">Transactions!J1253</f>
        <v>15</v>
      </c>
      <c r="E1253" s="1" t="n">
        <f aca="false">Transactions!D1253</f>
        <v>602.55</v>
      </c>
      <c r="F1253" s="1" t="str">
        <f aca="false">Transactions!H1253</f>
        <v>POS</v>
      </c>
      <c r="G1253" s="1" t="str">
        <f aca="false">Transactions!G1253</f>
        <v>Wire Transfer</v>
      </c>
      <c r="H1253" s="1" t="n">
        <f aca="false">IF(COUNTIFS($B$2:$B$1489,B1253,$C$2:$C$1489,C1253,$D$2:$D$1489,D1253)&gt;6,1,0)</f>
        <v>0</v>
      </c>
      <c r="I1253" s="1" t="n">
        <f aca="false">IF(AND(F1253="Wire",E1253&gt;=1000,MOD(E1253,1000)=0),1,0)</f>
        <v>0</v>
      </c>
      <c r="J1253" s="1" t="n">
        <f aca="false">IF(AND(F1253="ATM",E1253&gt;2000,D1253&lt;=4),1,0)</f>
        <v>0</v>
      </c>
      <c r="K1253" s="1" t="n">
        <f aca="false">IF(COUNTIF('SQL Findings'!$A$4:$A$18,B1253)&gt;0,1,0)</f>
        <v>0</v>
      </c>
      <c r="L1253" s="1" t="n">
        <f aca="false">SUM(H1253:K1253)</f>
        <v>0</v>
      </c>
      <c r="M1253" s="1" t="str">
        <f aca="false">IF(L1253&gt;=2,"High",IF(L1253=1,"Medium","Low"))</f>
        <v>Low</v>
      </c>
    </row>
    <row r="1254" customFormat="false" ht="15" hidden="false" customHeight="true" outlineLevel="0" collapsed="false">
      <c r="A1254" s="1" t="str">
        <f aca="false">Transactions!A1254</f>
        <v>TXN501004</v>
      </c>
      <c r="B1254" s="1" t="str">
        <f aca="false">Transactions!B1254</f>
        <v>ACC1044</v>
      </c>
      <c r="C1254" s="1" t="str">
        <f aca="false">Transactions!I1254</f>
        <v>2026-03-17</v>
      </c>
      <c r="D1254" s="1" t="n">
        <f aca="false">Transactions!J1254</f>
        <v>16</v>
      </c>
      <c r="E1254" s="1" t="n">
        <f aca="false">Transactions!D1254</f>
        <v>37.25</v>
      </c>
      <c r="F1254" s="1" t="str">
        <f aca="false">Transactions!H1254</f>
        <v>Online</v>
      </c>
      <c r="G1254" s="1" t="str">
        <f aca="false">Transactions!G1254</f>
        <v>Electronics</v>
      </c>
      <c r="H1254" s="1" t="n">
        <f aca="false">IF(COUNTIFS($B$2:$B$1489,B1254,$C$2:$C$1489,C1254,$D$2:$D$1489,D1254)&gt;6,1,0)</f>
        <v>0</v>
      </c>
      <c r="I1254" s="1" t="n">
        <f aca="false">IF(AND(F1254="Wire",E1254&gt;=1000,MOD(E1254,1000)=0),1,0)</f>
        <v>0</v>
      </c>
      <c r="J1254" s="1" t="n">
        <f aca="false">IF(AND(F1254="ATM",E1254&gt;2000,D1254&lt;=4),1,0)</f>
        <v>0</v>
      </c>
      <c r="K1254" s="1" t="n">
        <f aca="false">IF(COUNTIF('SQL Findings'!$A$4:$A$18,B1254)&gt;0,1,0)</f>
        <v>0</v>
      </c>
      <c r="L1254" s="1" t="n">
        <f aca="false">SUM(H1254:K1254)</f>
        <v>0</v>
      </c>
      <c r="M1254" s="1" t="str">
        <f aca="false">IF(L1254&gt;=2,"High",IF(L1254=1,"Medium","Low"))</f>
        <v>Low</v>
      </c>
    </row>
    <row r="1255" customFormat="false" ht="15" hidden="false" customHeight="true" outlineLevel="0" collapsed="false">
      <c r="A1255" s="1" t="str">
        <f aca="false">Transactions!A1255</f>
        <v>TXN501228</v>
      </c>
      <c r="B1255" s="1" t="str">
        <f aca="false">Transactions!B1255</f>
        <v>ACC1054</v>
      </c>
      <c r="C1255" s="1" t="str">
        <f aca="false">Transactions!I1255</f>
        <v>2026-03-17</v>
      </c>
      <c r="D1255" s="1" t="n">
        <f aca="false">Transactions!J1255</f>
        <v>19</v>
      </c>
      <c r="E1255" s="1" t="n">
        <f aca="false">Transactions!D1255</f>
        <v>58.42</v>
      </c>
      <c r="F1255" s="1" t="str">
        <f aca="false">Transactions!H1255</f>
        <v>Online</v>
      </c>
      <c r="G1255" s="1" t="str">
        <f aca="false">Transactions!G1255</f>
        <v>Dining</v>
      </c>
      <c r="H1255" s="1" t="n">
        <f aca="false">IF(COUNTIFS($B$2:$B$1489,B1255,$C$2:$C$1489,C1255,$D$2:$D$1489,D1255)&gt;6,1,0)</f>
        <v>0</v>
      </c>
      <c r="I1255" s="1" t="n">
        <f aca="false">IF(AND(F1255="Wire",E1255&gt;=1000,MOD(E1255,1000)=0),1,0)</f>
        <v>0</v>
      </c>
      <c r="J1255" s="1" t="n">
        <f aca="false">IF(AND(F1255="ATM",E1255&gt;2000,D1255&lt;=4),1,0)</f>
        <v>0</v>
      </c>
      <c r="K1255" s="1" t="n">
        <f aca="false">IF(COUNTIF('SQL Findings'!$A$4:$A$18,B1255)&gt;0,1,0)</f>
        <v>0</v>
      </c>
      <c r="L1255" s="1" t="n">
        <f aca="false">SUM(H1255:K1255)</f>
        <v>0</v>
      </c>
      <c r="M1255" s="1" t="str">
        <f aca="false">IF(L1255&gt;=2,"High",IF(L1255=1,"Medium","Low"))</f>
        <v>Low</v>
      </c>
    </row>
    <row r="1256" customFormat="false" ht="15" hidden="false" customHeight="true" outlineLevel="0" collapsed="false">
      <c r="A1256" s="1" t="str">
        <f aca="false">Transactions!A1256</f>
        <v>TXN500049</v>
      </c>
      <c r="B1256" s="1" t="str">
        <f aca="false">Transactions!B1256</f>
        <v>ACC1001</v>
      </c>
      <c r="C1256" s="1" t="str">
        <f aca="false">Transactions!I1256</f>
        <v>2026-03-18</v>
      </c>
      <c r="D1256" s="1" t="n">
        <f aca="false">Transactions!J1256</f>
        <v>1</v>
      </c>
      <c r="E1256" s="1" t="n">
        <f aca="false">Transactions!D1256</f>
        <v>90.85</v>
      </c>
      <c r="F1256" s="1" t="str">
        <f aca="false">Transactions!H1256</f>
        <v>ATM</v>
      </c>
      <c r="G1256" s="1" t="str">
        <f aca="false">Transactions!G1256</f>
        <v>Wire Transfer</v>
      </c>
      <c r="H1256" s="1" t="n">
        <f aca="false">IF(COUNTIFS($B$2:$B$1489,B1256,$C$2:$C$1489,C1256,$D$2:$D$1489,D1256)&gt;6,1,0)</f>
        <v>0</v>
      </c>
      <c r="I1256" s="1" t="n">
        <f aca="false">IF(AND(F1256="Wire",E1256&gt;=1000,MOD(E1256,1000)=0),1,0)</f>
        <v>0</v>
      </c>
      <c r="J1256" s="1" t="n">
        <f aca="false">IF(AND(F1256="ATM",E1256&gt;2000,D1256&lt;=4),1,0)</f>
        <v>0</v>
      </c>
      <c r="K1256" s="1" t="n">
        <f aca="false">IF(COUNTIF('SQL Findings'!$A$4:$A$18,B1256)&gt;0,1,0)</f>
        <v>1</v>
      </c>
      <c r="L1256" s="1" t="n">
        <f aca="false">SUM(H1256:K1256)</f>
        <v>1</v>
      </c>
      <c r="M1256" s="1" t="str">
        <f aca="false">IF(L1256&gt;=2,"High",IF(L1256=1,"Medium","Low"))</f>
        <v>Medium</v>
      </c>
    </row>
    <row r="1257" customFormat="false" ht="15" hidden="false" customHeight="true" outlineLevel="0" collapsed="false">
      <c r="A1257" s="1" t="str">
        <f aca="false">Transactions!A1257</f>
        <v>TXN501023</v>
      </c>
      <c r="B1257" s="1" t="str">
        <f aca="false">Transactions!B1257</f>
        <v>ACC1044</v>
      </c>
      <c r="C1257" s="1" t="str">
        <f aca="false">Transactions!I1257</f>
        <v>2026-03-18</v>
      </c>
      <c r="D1257" s="1" t="n">
        <f aca="false">Transactions!J1257</f>
        <v>2</v>
      </c>
      <c r="E1257" s="1" t="n">
        <f aca="false">Transactions!D1257</f>
        <v>65.24</v>
      </c>
      <c r="F1257" s="1" t="str">
        <f aca="false">Transactions!H1257</f>
        <v>ATM</v>
      </c>
      <c r="G1257" s="1" t="str">
        <f aca="false">Transactions!G1257</f>
        <v>Travel</v>
      </c>
      <c r="H1257" s="1" t="n">
        <f aca="false">IF(COUNTIFS($B$2:$B$1489,B1257,$C$2:$C$1489,C1257,$D$2:$D$1489,D1257)&gt;6,1,0)</f>
        <v>0</v>
      </c>
      <c r="I1257" s="1" t="n">
        <f aca="false">IF(AND(F1257="Wire",E1257&gt;=1000,MOD(E1257,1000)=0),1,0)</f>
        <v>0</v>
      </c>
      <c r="J1257" s="1" t="n">
        <f aca="false">IF(AND(F1257="ATM",E1257&gt;2000,D1257&lt;=4),1,0)</f>
        <v>0</v>
      </c>
      <c r="K1257" s="1" t="n">
        <f aca="false">IF(COUNTIF('SQL Findings'!$A$4:$A$18,B1257)&gt;0,1,0)</f>
        <v>0</v>
      </c>
      <c r="L1257" s="1" t="n">
        <f aca="false">SUM(H1257:K1257)</f>
        <v>0</v>
      </c>
      <c r="M1257" s="1" t="str">
        <f aca="false">IF(L1257&gt;=2,"High",IF(L1257=1,"Medium","Low"))</f>
        <v>Low</v>
      </c>
    </row>
    <row r="1258" customFormat="false" ht="15" hidden="false" customHeight="true" outlineLevel="0" collapsed="false">
      <c r="A1258" s="1" t="str">
        <f aca="false">Transactions!A1258</f>
        <v>TXN500278</v>
      </c>
      <c r="B1258" s="1" t="str">
        <f aca="false">Transactions!B1258</f>
        <v>ACC1012</v>
      </c>
      <c r="C1258" s="1" t="str">
        <f aca="false">Transactions!I1258</f>
        <v>2026-03-18</v>
      </c>
      <c r="D1258" s="1" t="n">
        <f aca="false">Transactions!J1258</f>
        <v>4</v>
      </c>
      <c r="E1258" s="1" t="n">
        <f aca="false">Transactions!D1258</f>
        <v>38.85</v>
      </c>
      <c r="F1258" s="1" t="str">
        <f aca="false">Transactions!H1258</f>
        <v>POS</v>
      </c>
      <c r="G1258" s="1" t="str">
        <f aca="false">Transactions!G1258</f>
        <v>Travel</v>
      </c>
      <c r="H1258" s="1" t="n">
        <f aca="false">IF(COUNTIFS($B$2:$B$1489,B1258,$C$2:$C$1489,C1258,$D$2:$D$1489,D1258)&gt;6,1,0)</f>
        <v>0</v>
      </c>
      <c r="I1258" s="1" t="n">
        <f aca="false">IF(AND(F1258="Wire",E1258&gt;=1000,MOD(E1258,1000)=0),1,0)</f>
        <v>0</v>
      </c>
      <c r="J1258" s="1" t="n">
        <f aca="false">IF(AND(F1258="ATM",E1258&gt;2000,D1258&lt;=4),1,0)</f>
        <v>0</v>
      </c>
      <c r="K1258" s="1" t="n">
        <f aca="false">IF(COUNTIF('SQL Findings'!$A$4:$A$18,B1258)&gt;0,1,0)</f>
        <v>0</v>
      </c>
      <c r="L1258" s="1" t="n">
        <f aca="false">SUM(H1258:K1258)</f>
        <v>0</v>
      </c>
      <c r="M1258" s="1" t="str">
        <f aca="false">IF(L1258&gt;=2,"High",IF(L1258=1,"Medium","Low"))</f>
        <v>Low</v>
      </c>
    </row>
    <row r="1259" customFormat="false" ht="15" hidden="false" customHeight="true" outlineLevel="0" collapsed="false">
      <c r="A1259" s="1" t="str">
        <f aca="false">Transactions!A1259</f>
        <v>TXN501270</v>
      </c>
      <c r="B1259" s="1" t="str">
        <f aca="false">Transactions!B1259</f>
        <v>ACC1055</v>
      </c>
      <c r="C1259" s="1" t="str">
        <f aca="false">Transactions!I1259</f>
        <v>2026-03-18</v>
      </c>
      <c r="D1259" s="1" t="n">
        <f aca="false">Transactions!J1259</f>
        <v>5</v>
      </c>
      <c r="E1259" s="1" t="n">
        <f aca="false">Transactions!D1259</f>
        <v>202.85</v>
      </c>
      <c r="F1259" s="1" t="str">
        <f aca="false">Transactions!H1259</f>
        <v>ATM</v>
      </c>
      <c r="G1259" s="1" t="str">
        <f aca="false">Transactions!G1259</f>
        <v>Utilities</v>
      </c>
      <c r="H1259" s="1" t="n">
        <f aca="false">IF(COUNTIFS($B$2:$B$1489,B1259,$C$2:$C$1489,C1259,$D$2:$D$1489,D1259)&gt;6,1,0)</f>
        <v>0</v>
      </c>
      <c r="I1259" s="1" t="n">
        <f aca="false">IF(AND(F1259="Wire",E1259&gt;=1000,MOD(E1259,1000)=0),1,0)</f>
        <v>0</v>
      </c>
      <c r="J1259" s="1" t="n">
        <f aca="false">IF(AND(F1259="ATM",E1259&gt;2000,D1259&lt;=4),1,0)</f>
        <v>0</v>
      </c>
      <c r="K1259" s="1" t="n">
        <f aca="false">IF(COUNTIF('SQL Findings'!$A$4:$A$18,B1259)&gt;0,1,0)</f>
        <v>1</v>
      </c>
      <c r="L1259" s="1" t="n">
        <f aca="false">SUM(H1259:K1259)</f>
        <v>1</v>
      </c>
      <c r="M1259" s="1" t="str">
        <f aca="false">IF(L1259&gt;=2,"High",IF(L1259=1,"Medium","Low"))</f>
        <v>Medium</v>
      </c>
    </row>
    <row r="1260" customFormat="false" ht="15" hidden="false" customHeight="true" outlineLevel="0" collapsed="false">
      <c r="A1260" s="1" t="str">
        <f aca="false">Transactions!A1260</f>
        <v>TXN500601</v>
      </c>
      <c r="B1260" s="1" t="str">
        <f aca="false">Transactions!B1260</f>
        <v>ACC1026</v>
      </c>
      <c r="C1260" s="1" t="str">
        <f aca="false">Transactions!I1260</f>
        <v>2026-03-18</v>
      </c>
      <c r="D1260" s="1" t="n">
        <f aca="false">Transactions!J1260</f>
        <v>6</v>
      </c>
      <c r="E1260" s="1" t="n">
        <f aca="false">Transactions!D1260</f>
        <v>131.8</v>
      </c>
      <c r="F1260" s="1" t="str">
        <f aca="false">Transactions!H1260</f>
        <v>POS</v>
      </c>
      <c r="G1260" s="1" t="str">
        <f aca="false">Transactions!G1260</f>
        <v>Wire Transfer</v>
      </c>
      <c r="H1260" s="1" t="n">
        <f aca="false">IF(COUNTIFS($B$2:$B$1489,B1260,$C$2:$C$1489,C1260,$D$2:$D$1489,D1260)&gt;6,1,0)</f>
        <v>0</v>
      </c>
      <c r="I1260" s="1" t="n">
        <f aca="false">IF(AND(F1260="Wire",E1260&gt;=1000,MOD(E1260,1000)=0),1,0)</f>
        <v>0</v>
      </c>
      <c r="J1260" s="1" t="n">
        <f aca="false">IF(AND(F1260="ATM",E1260&gt;2000,D1260&lt;=4),1,0)</f>
        <v>0</v>
      </c>
      <c r="K1260" s="1" t="n">
        <f aca="false">IF(COUNTIF('SQL Findings'!$A$4:$A$18,B1260)&gt;0,1,0)</f>
        <v>0</v>
      </c>
      <c r="L1260" s="1" t="n">
        <f aca="false">SUM(H1260:K1260)</f>
        <v>0</v>
      </c>
      <c r="M1260" s="1" t="str">
        <f aca="false">IF(L1260&gt;=2,"High",IF(L1260=1,"Medium","Low"))</f>
        <v>Low</v>
      </c>
    </row>
    <row r="1261" customFormat="false" ht="15" hidden="false" customHeight="true" outlineLevel="0" collapsed="false">
      <c r="A1261" s="1" t="str">
        <f aca="false">Transactions!A1261</f>
        <v>TXN501118</v>
      </c>
      <c r="B1261" s="1" t="str">
        <f aca="false">Transactions!B1261</f>
        <v>ACC1049</v>
      </c>
      <c r="C1261" s="1" t="str">
        <f aca="false">Transactions!I1261</f>
        <v>2026-03-18</v>
      </c>
      <c r="D1261" s="1" t="n">
        <f aca="false">Transactions!J1261</f>
        <v>6</v>
      </c>
      <c r="E1261" s="1" t="n">
        <f aca="false">Transactions!D1261</f>
        <v>63.32</v>
      </c>
      <c r="F1261" s="1" t="str">
        <f aca="false">Transactions!H1261</f>
        <v>POS</v>
      </c>
      <c r="G1261" s="1" t="str">
        <f aca="false">Transactions!G1261</f>
        <v>Electronics</v>
      </c>
      <c r="H1261" s="1" t="n">
        <f aca="false">IF(COUNTIFS($B$2:$B$1489,B1261,$C$2:$C$1489,C1261,$D$2:$D$1489,D1261)&gt;6,1,0)</f>
        <v>0</v>
      </c>
      <c r="I1261" s="1" t="n">
        <f aca="false">IF(AND(F1261="Wire",E1261&gt;=1000,MOD(E1261,1000)=0),1,0)</f>
        <v>0</v>
      </c>
      <c r="J1261" s="1" t="n">
        <f aca="false">IF(AND(F1261="ATM",E1261&gt;2000,D1261&lt;=4),1,0)</f>
        <v>0</v>
      </c>
      <c r="K1261" s="1" t="n">
        <f aca="false">IF(COUNTIF('SQL Findings'!$A$4:$A$18,B1261)&gt;0,1,0)</f>
        <v>0</v>
      </c>
      <c r="L1261" s="1" t="n">
        <f aca="false">SUM(H1261:K1261)</f>
        <v>0</v>
      </c>
      <c r="M1261" s="1" t="str">
        <f aca="false">IF(L1261&gt;=2,"High",IF(L1261=1,"Medium","Low"))</f>
        <v>Low</v>
      </c>
    </row>
    <row r="1262" customFormat="false" ht="15" hidden="false" customHeight="true" outlineLevel="0" collapsed="false">
      <c r="A1262" s="1" t="str">
        <f aca="false">Transactions!A1262</f>
        <v>TXN500161</v>
      </c>
      <c r="B1262" s="1" t="str">
        <f aca="false">Transactions!B1262</f>
        <v>ACC1006</v>
      </c>
      <c r="C1262" s="1" t="str">
        <f aca="false">Transactions!I1262</f>
        <v>2026-03-18</v>
      </c>
      <c r="D1262" s="1" t="n">
        <f aca="false">Transactions!J1262</f>
        <v>11</v>
      </c>
      <c r="E1262" s="1" t="n">
        <f aca="false">Transactions!D1262</f>
        <v>27.74</v>
      </c>
      <c r="F1262" s="1" t="str">
        <f aca="false">Transactions!H1262</f>
        <v>Online</v>
      </c>
      <c r="G1262" s="1" t="str">
        <f aca="false">Transactions!G1262</f>
        <v>Dining</v>
      </c>
      <c r="H1262" s="1" t="n">
        <f aca="false">IF(COUNTIFS($B$2:$B$1489,B1262,$C$2:$C$1489,C1262,$D$2:$D$1489,D1262)&gt;6,1,0)</f>
        <v>0</v>
      </c>
      <c r="I1262" s="1" t="n">
        <f aca="false">IF(AND(F1262="Wire",E1262&gt;=1000,MOD(E1262,1000)=0),1,0)</f>
        <v>0</v>
      </c>
      <c r="J1262" s="1" t="n">
        <f aca="false">IF(AND(F1262="ATM",E1262&gt;2000,D1262&lt;=4),1,0)</f>
        <v>0</v>
      </c>
      <c r="K1262" s="1" t="n">
        <f aca="false">IF(COUNTIF('SQL Findings'!$A$4:$A$18,B1262)&gt;0,1,0)</f>
        <v>0</v>
      </c>
      <c r="L1262" s="1" t="n">
        <f aca="false">SUM(H1262:K1262)</f>
        <v>0</v>
      </c>
      <c r="M1262" s="1" t="str">
        <f aca="false">IF(L1262&gt;=2,"High",IF(L1262=1,"Medium","Low"))</f>
        <v>Low</v>
      </c>
    </row>
    <row r="1263" customFormat="false" ht="15" hidden="false" customHeight="true" outlineLevel="0" collapsed="false">
      <c r="A1263" s="1" t="str">
        <f aca="false">Transactions!A1263</f>
        <v>TXN500795</v>
      </c>
      <c r="B1263" s="1" t="str">
        <f aca="false">Transactions!B1263</f>
        <v>ACC1034</v>
      </c>
      <c r="C1263" s="1" t="str">
        <f aca="false">Transactions!I1263</f>
        <v>2026-03-18</v>
      </c>
      <c r="D1263" s="1" t="n">
        <f aca="false">Transactions!J1263</f>
        <v>11</v>
      </c>
      <c r="E1263" s="1" t="n">
        <f aca="false">Transactions!D1263</f>
        <v>25.21</v>
      </c>
      <c r="F1263" s="1" t="str">
        <f aca="false">Transactions!H1263</f>
        <v>ATM</v>
      </c>
      <c r="G1263" s="1" t="str">
        <f aca="false">Transactions!G1263</f>
        <v>Online Marketplace</v>
      </c>
      <c r="H1263" s="1" t="n">
        <f aca="false">IF(COUNTIFS($B$2:$B$1489,B1263,$C$2:$C$1489,C1263,$D$2:$D$1489,D1263)&gt;6,1,0)</f>
        <v>0</v>
      </c>
      <c r="I1263" s="1" t="n">
        <f aca="false">IF(AND(F1263="Wire",E1263&gt;=1000,MOD(E1263,1000)=0),1,0)</f>
        <v>0</v>
      </c>
      <c r="J1263" s="1" t="n">
        <f aca="false">IF(AND(F1263="ATM",E1263&gt;2000,D1263&lt;=4),1,0)</f>
        <v>0</v>
      </c>
      <c r="K1263" s="1" t="n">
        <f aca="false">IF(COUNTIF('SQL Findings'!$A$4:$A$18,B1263)&gt;0,1,0)</f>
        <v>0</v>
      </c>
      <c r="L1263" s="1" t="n">
        <f aca="false">SUM(H1263:K1263)</f>
        <v>0</v>
      </c>
      <c r="M1263" s="1" t="str">
        <f aca="false">IF(L1263&gt;=2,"High",IF(L1263=1,"Medium","Low"))</f>
        <v>Low</v>
      </c>
    </row>
    <row r="1264" customFormat="false" ht="15" hidden="false" customHeight="true" outlineLevel="0" collapsed="false">
      <c r="A1264" s="1" t="str">
        <f aca="false">Transactions!A1264</f>
        <v>TXN500258</v>
      </c>
      <c r="B1264" s="1" t="str">
        <f aca="false">Transactions!B1264</f>
        <v>ACC1011</v>
      </c>
      <c r="C1264" s="1" t="str">
        <f aca="false">Transactions!I1264</f>
        <v>2026-03-18</v>
      </c>
      <c r="D1264" s="1" t="n">
        <f aca="false">Transactions!J1264</f>
        <v>12</v>
      </c>
      <c r="E1264" s="1" t="n">
        <f aca="false">Transactions!D1264</f>
        <v>35.27</v>
      </c>
      <c r="F1264" s="1" t="str">
        <f aca="false">Transactions!H1264</f>
        <v>POS</v>
      </c>
      <c r="G1264" s="1" t="str">
        <f aca="false">Transactions!G1264</f>
        <v>Wire Transfer</v>
      </c>
      <c r="H1264" s="1" t="n">
        <f aca="false">IF(COUNTIFS($B$2:$B$1489,B1264,$C$2:$C$1489,C1264,$D$2:$D$1489,D1264)&gt;6,1,0)</f>
        <v>0</v>
      </c>
      <c r="I1264" s="1" t="n">
        <f aca="false">IF(AND(F1264="Wire",E1264&gt;=1000,MOD(E1264,1000)=0),1,0)</f>
        <v>0</v>
      </c>
      <c r="J1264" s="1" t="n">
        <f aca="false">IF(AND(F1264="ATM",E1264&gt;2000,D1264&lt;=4),1,0)</f>
        <v>0</v>
      </c>
      <c r="K1264" s="1" t="n">
        <f aca="false">IF(COUNTIF('SQL Findings'!$A$4:$A$18,B1264)&gt;0,1,0)</f>
        <v>0</v>
      </c>
      <c r="L1264" s="1" t="n">
        <f aca="false">SUM(H1264:K1264)</f>
        <v>0</v>
      </c>
      <c r="M1264" s="1" t="str">
        <f aca="false">IF(L1264&gt;=2,"High",IF(L1264=1,"Medium","Low"))</f>
        <v>Low</v>
      </c>
    </row>
    <row r="1265" customFormat="false" ht="15" hidden="false" customHeight="true" outlineLevel="0" collapsed="false">
      <c r="A1265" s="1" t="str">
        <f aca="false">Transactions!A1265</f>
        <v>TXN500188</v>
      </c>
      <c r="B1265" s="1" t="str">
        <f aca="false">Transactions!B1265</f>
        <v>ACC1008</v>
      </c>
      <c r="C1265" s="1" t="str">
        <f aca="false">Transactions!I1265</f>
        <v>2026-03-18</v>
      </c>
      <c r="D1265" s="1" t="n">
        <f aca="false">Transactions!J1265</f>
        <v>12</v>
      </c>
      <c r="E1265" s="1" t="n">
        <f aca="false">Transactions!D1265</f>
        <v>62.46</v>
      </c>
      <c r="F1265" s="1" t="str">
        <f aca="false">Transactions!H1265</f>
        <v>POS</v>
      </c>
      <c r="G1265" s="1" t="str">
        <f aca="false">Transactions!G1265</f>
        <v>Travel</v>
      </c>
      <c r="H1265" s="1" t="n">
        <f aca="false">IF(COUNTIFS($B$2:$B$1489,B1265,$C$2:$C$1489,C1265,$D$2:$D$1489,D1265)&gt;6,1,0)</f>
        <v>0</v>
      </c>
      <c r="I1265" s="1" t="n">
        <f aca="false">IF(AND(F1265="Wire",E1265&gt;=1000,MOD(E1265,1000)=0),1,0)</f>
        <v>0</v>
      </c>
      <c r="J1265" s="1" t="n">
        <f aca="false">IF(AND(F1265="ATM",E1265&gt;2000,D1265&lt;=4),1,0)</f>
        <v>0</v>
      </c>
      <c r="K1265" s="1" t="n">
        <f aca="false">IF(COUNTIF('SQL Findings'!$A$4:$A$18,B1265)&gt;0,1,0)</f>
        <v>0</v>
      </c>
      <c r="L1265" s="1" t="n">
        <f aca="false">SUM(H1265:K1265)</f>
        <v>0</v>
      </c>
      <c r="M1265" s="1" t="str">
        <f aca="false">IF(L1265&gt;=2,"High",IF(L1265=1,"Medium","Low"))</f>
        <v>Low</v>
      </c>
    </row>
    <row r="1266" customFormat="false" ht="15" hidden="false" customHeight="true" outlineLevel="0" collapsed="false">
      <c r="A1266" s="1" t="str">
        <f aca="false">Transactions!A1266</f>
        <v>TXN501290</v>
      </c>
      <c r="B1266" s="1" t="str">
        <f aca="false">Transactions!B1266</f>
        <v>ACC1056</v>
      </c>
      <c r="C1266" s="1" t="str">
        <f aca="false">Transactions!I1266</f>
        <v>2026-03-18</v>
      </c>
      <c r="D1266" s="1" t="n">
        <f aca="false">Transactions!J1266</f>
        <v>18</v>
      </c>
      <c r="E1266" s="1" t="n">
        <f aca="false">Transactions!D1266</f>
        <v>9.61</v>
      </c>
      <c r="F1266" s="1" t="str">
        <f aca="false">Transactions!H1266</f>
        <v>ATM</v>
      </c>
      <c r="G1266" s="1" t="str">
        <f aca="false">Transactions!G1266</f>
        <v>Online Marketplace</v>
      </c>
      <c r="H1266" s="1" t="n">
        <f aca="false">IF(COUNTIFS($B$2:$B$1489,B1266,$C$2:$C$1489,C1266,$D$2:$D$1489,D1266)&gt;6,1,0)</f>
        <v>0</v>
      </c>
      <c r="I1266" s="1" t="n">
        <f aca="false">IF(AND(F1266="Wire",E1266&gt;=1000,MOD(E1266,1000)=0),1,0)</f>
        <v>0</v>
      </c>
      <c r="J1266" s="1" t="n">
        <f aca="false">IF(AND(F1266="ATM",E1266&gt;2000,D1266&lt;=4),1,0)</f>
        <v>0</v>
      </c>
      <c r="K1266" s="1" t="n">
        <f aca="false">IF(COUNTIF('SQL Findings'!$A$4:$A$18,B1266)&gt;0,1,0)</f>
        <v>0</v>
      </c>
      <c r="L1266" s="1" t="n">
        <f aca="false">SUM(H1266:K1266)</f>
        <v>0</v>
      </c>
      <c r="M1266" s="1" t="str">
        <f aca="false">IF(L1266&gt;=2,"High",IF(L1266=1,"Medium","Low"))</f>
        <v>Low</v>
      </c>
    </row>
    <row r="1267" customFormat="false" ht="15" hidden="false" customHeight="true" outlineLevel="0" collapsed="false">
      <c r="A1267" s="1" t="str">
        <f aca="false">Transactions!A1267</f>
        <v>TXN500999</v>
      </c>
      <c r="B1267" s="1" t="str">
        <f aca="false">Transactions!B1267</f>
        <v>ACC1043</v>
      </c>
      <c r="C1267" s="1" t="str">
        <f aca="false">Transactions!I1267</f>
        <v>2026-03-19</v>
      </c>
      <c r="D1267" s="1" t="n">
        <f aca="false">Transactions!J1267</f>
        <v>4</v>
      </c>
      <c r="E1267" s="1" t="n">
        <f aca="false">Transactions!D1267</f>
        <v>39.88</v>
      </c>
      <c r="F1267" s="1" t="str">
        <f aca="false">Transactions!H1267</f>
        <v>ATM</v>
      </c>
      <c r="G1267" s="1" t="str">
        <f aca="false">Transactions!G1267</f>
        <v>Retail</v>
      </c>
      <c r="H1267" s="1" t="n">
        <f aca="false">IF(COUNTIFS($B$2:$B$1489,B1267,$C$2:$C$1489,C1267,$D$2:$D$1489,D1267)&gt;6,1,0)</f>
        <v>0</v>
      </c>
      <c r="I1267" s="1" t="n">
        <f aca="false">IF(AND(F1267="Wire",E1267&gt;=1000,MOD(E1267,1000)=0),1,0)</f>
        <v>0</v>
      </c>
      <c r="J1267" s="1" t="n">
        <f aca="false">IF(AND(F1267="ATM",E1267&gt;2000,D1267&lt;=4),1,0)</f>
        <v>0</v>
      </c>
      <c r="K1267" s="1" t="n">
        <f aca="false">IF(COUNTIF('SQL Findings'!$A$4:$A$18,B1267)&gt;0,1,0)</f>
        <v>0</v>
      </c>
      <c r="L1267" s="1" t="n">
        <f aca="false">SUM(H1267:K1267)</f>
        <v>0</v>
      </c>
      <c r="M1267" s="1" t="str">
        <f aca="false">IF(L1267&gt;=2,"High",IF(L1267=1,"Medium","Low"))</f>
        <v>Low</v>
      </c>
    </row>
    <row r="1268" customFormat="false" ht="15" hidden="false" customHeight="true" outlineLevel="0" collapsed="false">
      <c r="A1268" s="1" t="str">
        <f aca="false">Transactions!A1268</f>
        <v>TXN500060</v>
      </c>
      <c r="B1268" s="1" t="str">
        <f aca="false">Transactions!B1268</f>
        <v>ACC1002</v>
      </c>
      <c r="C1268" s="1" t="str">
        <f aca="false">Transactions!I1268</f>
        <v>2026-03-19</v>
      </c>
      <c r="D1268" s="1" t="n">
        <f aca="false">Transactions!J1268</f>
        <v>7</v>
      </c>
      <c r="E1268" s="1" t="n">
        <f aca="false">Transactions!D1268</f>
        <v>160.45</v>
      </c>
      <c r="F1268" s="1" t="str">
        <f aca="false">Transactions!H1268</f>
        <v>ATM</v>
      </c>
      <c r="G1268" s="1" t="str">
        <f aca="false">Transactions!G1268</f>
        <v>Dining</v>
      </c>
      <c r="H1268" s="1" t="n">
        <f aca="false">IF(COUNTIFS($B$2:$B$1489,B1268,$C$2:$C$1489,C1268,$D$2:$D$1489,D1268)&gt;6,1,0)</f>
        <v>0</v>
      </c>
      <c r="I1268" s="1" t="n">
        <f aca="false">IF(AND(F1268="Wire",E1268&gt;=1000,MOD(E1268,1000)=0),1,0)</f>
        <v>0</v>
      </c>
      <c r="J1268" s="1" t="n">
        <f aca="false">IF(AND(F1268="ATM",E1268&gt;2000,D1268&lt;=4),1,0)</f>
        <v>0</v>
      </c>
      <c r="K1268" s="1" t="n">
        <f aca="false">IF(COUNTIF('SQL Findings'!$A$4:$A$18,B1268)&gt;0,1,0)</f>
        <v>1</v>
      </c>
      <c r="L1268" s="1" t="n">
        <f aca="false">SUM(H1268:K1268)</f>
        <v>1</v>
      </c>
      <c r="M1268" s="1" t="str">
        <f aca="false">IF(L1268&gt;=2,"High",IF(L1268=1,"Medium","Low"))</f>
        <v>Medium</v>
      </c>
    </row>
    <row r="1269" customFormat="false" ht="15" hidden="false" customHeight="true" outlineLevel="0" collapsed="false">
      <c r="A1269" s="1" t="str">
        <f aca="false">Transactions!A1269</f>
        <v>TXN500739</v>
      </c>
      <c r="B1269" s="1" t="str">
        <f aca="false">Transactions!B1269</f>
        <v>ACC1031</v>
      </c>
      <c r="C1269" s="1" t="str">
        <f aca="false">Transactions!I1269</f>
        <v>2026-03-19</v>
      </c>
      <c r="D1269" s="1" t="n">
        <f aca="false">Transactions!J1269</f>
        <v>9</v>
      </c>
      <c r="E1269" s="1" t="n">
        <f aca="false">Transactions!D1269</f>
        <v>298.55</v>
      </c>
      <c r="F1269" s="1" t="str">
        <f aca="false">Transactions!H1269</f>
        <v>ATM</v>
      </c>
      <c r="G1269" s="1" t="str">
        <f aca="false">Transactions!G1269</f>
        <v>Dining</v>
      </c>
      <c r="H1269" s="1" t="n">
        <f aca="false">IF(COUNTIFS($B$2:$B$1489,B1269,$C$2:$C$1489,C1269,$D$2:$D$1489,D1269)&gt;6,1,0)</f>
        <v>0</v>
      </c>
      <c r="I1269" s="1" t="n">
        <f aca="false">IF(AND(F1269="Wire",E1269&gt;=1000,MOD(E1269,1000)=0),1,0)</f>
        <v>0</v>
      </c>
      <c r="J1269" s="1" t="n">
        <f aca="false">IF(AND(F1269="ATM",E1269&gt;2000,D1269&lt;=4),1,0)</f>
        <v>0</v>
      </c>
      <c r="K1269" s="1" t="n">
        <f aca="false">IF(COUNTIF('SQL Findings'!$A$4:$A$18,B1269)&gt;0,1,0)</f>
        <v>0</v>
      </c>
      <c r="L1269" s="1" t="n">
        <f aca="false">SUM(H1269:K1269)</f>
        <v>0</v>
      </c>
      <c r="M1269" s="1" t="str">
        <f aca="false">IF(L1269&gt;=2,"High",IF(L1269=1,"Medium","Low"))</f>
        <v>Low</v>
      </c>
    </row>
    <row r="1270" customFormat="false" ht="15" hidden="false" customHeight="true" outlineLevel="0" collapsed="false">
      <c r="A1270" s="1" t="str">
        <f aca="false">Transactions!A1270</f>
        <v>TXN500846</v>
      </c>
      <c r="B1270" s="1" t="str">
        <f aca="false">Transactions!B1270</f>
        <v>ACC1036</v>
      </c>
      <c r="C1270" s="1" t="str">
        <f aca="false">Transactions!I1270</f>
        <v>2026-03-19</v>
      </c>
      <c r="D1270" s="1" t="n">
        <f aca="false">Transactions!J1270</f>
        <v>15</v>
      </c>
      <c r="E1270" s="1" t="n">
        <f aca="false">Transactions!D1270</f>
        <v>103.88</v>
      </c>
      <c r="F1270" s="1" t="str">
        <f aca="false">Transactions!H1270</f>
        <v>ATM</v>
      </c>
      <c r="G1270" s="1" t="str">
        <f aca="false">Transactions!G1270</f>
        <v>Electronics</v>
      </c>
      <c r="H1270" s="1" t="n">
        <f aca="false">IF(COUNTIFS($B$2:$B$1489,B1270,$C$2:$C$1489,C1270,$D$2:$D$1489,D1270)&gt;6,1,0)</f>
        <v>0</v>
      </c>
      <c r="I1270" s="1" t="n">
        <f aca="false">IF(AND(F1270="Wire",E1270&gt;=1000,MOD(E1270,1000)=0),1,0)</f>
        <v>0</v>
      </c>
      <c r="J1270" s="1" t="n">
        <f aca="false">IF(AND(F1270="ATM",E1270&gt;2000,D1270&lt;=4),1,0)</f>
        <v>0</v>
      </c>
      <c r="K1270" s="1" t="n">
        <f aca="false">IF(COUNTIF('SQL Findings'!$A$4:$A$18,B1270)&gt;0,1,0)</f>
        <v>0</v>
      </c>
      <c r="L1270" s="1" t="n">
        <f aca="false">SUM(H1270:K1270)</f>
        <v>0</v>
      </c>
      <c r="M1270" s="1" t="str">
        <f aca="false">IF(L1270&gt;=2,"High",IF(L1270=1,"Medium","Low"))</f>
        <v>Low</v>
      </c>
    </row>
    <row r="1271" customFormat="false" ht="15" hidden="false" customHeight="true" outlineLevel="0" collapsed="false">
      <c r="A1271" s="1" t="str">
        <f aca="false">Transactions!A1271</f>
        <v>TXN500219</v>
      </c>
      <c r="B1271" s="1" t="str">
        <f aca="false">Transactions!B1271</f>
        <v>ACC1009</v>
      </c>
      <c r="C1271" s="1" t="str">
        <f aca="false">Transactions!I1271</f>
        <v>2026-03-19</v>
      </c>
      <c r="D1271" s="1" t="n">
        <f aca="false">Transactions!J1271</f>
        <v>16</v>
      </c>
      <c r="E1271" s="1" t="n">
        <f aca="false">Transactions!D1271</f>
        <v>43.08</v>
      </c>
      <c r="F1271" s="1" t="str">
        <f aca="false">Transactions!H1271</f>
        <v>ATM</v>
      </c>
      <c r="G1271" s="1" t="str">
        <f aca="false">Transactions!G1271</f>
        <v>Dining</v>
      </c>
      <c r="H1271" s="1" t="n">
        <f aca="false">IF(COUNTIFS($B$2:$B$1489,B1271,$C$2:$C$1489,C1271,$D$2:$D$1489,D1271)&gt;6,1,0)</f>
        <v>0</v>
      </c>
      <c r="I1271" s="1" t="n">
        <f aca="false">IF(AND(F1271="Wire",E1271&gt;=1000,MOD(E1271,1000)=0),1,0)</f>
        <v>0</v>
      </c>
      <c r="J1271" s="1" t="n">
        <f aca="false">IF(AND(F1271="ATM",E1271&gt;2000,D1271&lt;=4),1,0)</f>
        <v>0</v>
      </c>
      <c r="K1271" s="1" t="n">
        <f aca="false">IF(COUNTIF('SQL Findings'!$A$4:$A$18,B1271)&gt;0,1,0)</f>
        <v>1</v>
      </c>
      <c r="L1271" s="1" t="n">
        <f aca="false">SUM(H1271:K1271)</f>
        <v>1</v>
      </c>
      <c r="M1271" s="1" t="str">
        <f aca="false">IF(L1271&gt;=2,"High",IF(L1271=1,"Medium","Low"))</f>
        <v>Medium</v>
      </c>
    </row>
    <row r="1272" customFormat="false" ht="15" hidden="false" customHeight="true" outlineLevel="0" collapsed="false">
      <c r="A1272" s="1" t="str">
        <f aca="false">Transactions!A1272</f>
        <v>TXN501252</v>
      </c>
      <c r="B1272" s="1" t="str">
        <f aca="false">Transactions!B1272</f>
        <v>ACC1055</v>
      </c>
      <c r="C1272" s="1" t="str">
        <f aca="false">Transactions!I1272</f>
        <v>2026-03-19</v>
      </c>
      <c r="D1272" s="1" t="n">
        <f aca="false">Transactions!J1272</f>
        <v>17</v>
      </c>
      <c r="E1272" s="1" t="n">
        <f aca="false">Transactions!D1272</f>
        <v>141.2</v>
      </c>
      <c r="F1272" s="1" t="str">
        <f aca="false">Transactions!H1272</f>
        <v>POS</v>
      </c>
      <c r="G1272" s="1" t="str">
        <f aca="false">Transactions!G1272</f>
        <v>Cash Withdrawal</v>
      </c>
      <c r="H1272" s="1" t="n">
        <f aca="false">IF(COUNTIFS($B$2:$B$1489,B1272,$C$2:$C$1489,C1272,$D$2:$D$1489,D1272)&gt;6,1,0)</f>
        <v>0</v>
      </c>
      <c r="I1272" s="1" t="n">
        <f aca="false">IF(AND(F1272="Wire",E1272&gt;=1000,MOD(E1272,1000)=0),1,0)</f>
        <v>0</v>
      </c>
      <c r="J1272" s="1" t="n">
        <f aca="false">IF(AND(F1272="ATM",E1272&gt;2000,D1272&lt;=4),1,0)</f>
        <v>0</v>
      </c>
      <c r="K1272" s="1" t="n">
        <f aca="false">IF(COUNTIF('SQL Findings'!$A$4:$A$18,B1272)&gt;0,1,0)</f>
        <v>1</v>
      </c>
      <c r="L1272" s="1" t="n">
        <f aca="false">SUM(H1272:K1272)</f>
        <v>1</v>
      </c>
      <c r="M1272" s="1" t="str">
        <f aca="false">IF(L1272&gt;=2,"High",IF(L1272=1,"Medium","Low"))</f>
        <v>Medium</v>
      </c>
    </row>
    <row r="1273" customFormat="false" ht="15" hidden="false" customHeight="true" outlineLevel="0" collapsed="false">
      <c r="A1273" s="1" t="str">
        <f aca="false">Transactions!A1273</f>
        <v>TXN501326</v>
      </c>
      <c r="B1273" s="1" t="str">
        <f aca="false">Transactions!B1273</f>
        <v>ACC1058</v>
      </c>
      <c r="C1273" s="1" t="str">
        <f aca="false">Transactions!I1273</f>
        <v>2026-03-19</v>
      </c>
      <c r="D1273" s="1" t="n">
        <f aca="false">Transactions!J1273</f>
        <v>20</v>
      </c>
      <c r="E1273" s="1" t="n">
        <f aca="false">Transactions!D1273</f>
        <v>11.27</v>
      </c>
      <c r="F1273" s="1" t="str">
        <f aca="false">Transactions!H1273</f>
        <v>Online</v>
      </c>
      <c r="G1273" s="1" t="str">
        <f aca="false">Transactions!G1273</f>
        <v>Travel</v>
      </c>
      <c r="H1273" s="1" t="n">
        <f aca="false">IF(COUNTIFS($B$2:$B$1489,B1273,$C$2:$C$1489,C1273,$D$2:$D$1489,D1273)&gt;6,1,0)</f>
        <v>0</v>
      </c>
      <c r="I1273" s="1" t="n">
        <f aca="false">IF(AND(F1273="Wire",E1273&gt;=1000,MOD(E1273,1000)=0),1,0)</f>
        <v>0</v>
      </c>
      <c r="J1273" s="1" t="n">
        <f aca="false">IF(AND(F1273="ATM",E1273&gt;2000,D1273&lt;=4),1,0)</f>
        <v>0</v>
      </c>
      <c r="K1273" s="1" t="n">
        <f aca="false">IF(COUNTIF('SQL Findings'!$A$4:$A$18,B1273)&gt;0,1,0)</f>
        <v>0</v>
      </c>
      <c r="L1273" s="1" t="n">
        <f aca="false">SUM(H1273:K1273)</f>
        <v>0</v>
      </c>
      <c r="M1273" s="1" t="str">
        <f aca="false">IF(L1273&gt;=2,"High",IF(L1273=1,"Medium","Low"))</f>
        <v>Low</v>
      </c>
    </row>
    <row r="1274" customFormat="false" ht="15" hidden="false" customHeight="true" outlineLevel="0" collapsed="false">
      <c r="A1274" s="1" t="str">
        <f aca="false">Transactions!A1274</f>
        <v>TXN500564</v>
      </c>
      <c r="B1274" s="1" t="str">
        <f aca="false">Transactions!B1274</f>
        <v>ACC1025</v>
      </c>
      <c r="C1274" s="1" t="str">
        <f aca="false">Transactions!I1274</f>
        <v>2026-03-19</v>
      </c>
      <c r="D1274" s="1" t="n">
        <f aca="false">Transactions!J1274</f>
        <v>21</v>
      </c>
      <c r="E1274" s="1" t="n">
        <f aca="false">Transactions!D1274</f>
        <v>49.73</v>
      </c>
      <c r="F1274" s="1" t="str">
        <f aca="false">Transactions!H1274</f>
        <v>Online</v>
      </c>
      <c r="G1274" s="1" t="str">
        <f aca="false">Transactions!G1274</f>
        <v>Online Marketplace</v>
      </c>
      <c r="H1274" s="1" t="n">
        <f aca="false">IF(COUNTIFS($B$2:$B$1489,B1274,$C$2:$C$1489,C1274,$D$2:$D$1489,D1274)&gt;6,1,0)</f>
        <v>0</v>
      </c>
      <c r="I1274" s="1" t="n">
        <f aca="false">IF(AND(F1274="Wire",E1274&gt;=1000,MOD(E1274,1000)=0),1,0)</f>
        <v>0</v>
      </c>
      <c r="J1274" s="1" t="n">
        <f aca="false">IF(AND(F1274="ATM",E1274&gt;2000,D1274&lt;=4),1,0)</f>
        <v>0</v>
      </c>
      <c r="K1274" s="1" t="n">
        <f aca="false">IF(COUNTIF('SQL Findings'!$A$4:$A$18,B1274)&gt;0,1,0)</f>
        <v>0</v>
      </c>
      <c r="L1274" s="1" t="n">
        <f aca="false">SUM(H1274:K1274)</f>
        <v>0</v>
      </c>
      <c r="M1274" s="1" t="str">
        <f aca="false">IF(L1274&gt;=2,"High",IF(L1274=1,"Medium","Low"))</f>
        <v>Low</v>
      </c>
    </row>
    <row r="1275" customFormat="false" ht="15" hidden="false" customHeight="true" outlineLevel="0" collapsed="false">
      <c r="A1275" s="1" t="str">
        <f aca="false">Transactions!A1275</f>
        <v>TXN500879</v>
      </c>
      <c r="B1275" s="1" t="str">
        <f aca="false">Transactions!B1275</f>
        <v>ACC1038</v>
      </c>
      <c r="C1275" s="1" t="str">
        <f aca="false">Transactions!I1275</f>
        <v>2026-03-19</v>
      </c>
      <c r="D1275" s="1" t="n">
        <f aca="false">Transactions!J1275</f>
        <v>22</v>
      </c>
      <c r="E1275" s="1" t="n">
        <f aca="false">Transactions!D1275</f>
        <v>65.71</v>
      </c>
      <c r="F1275" s="1" t="str">
        <f aca="false">Transactions!H1275</f>
        <v>ATM</v>
      </c>
      <c r="G1275" s="1" t="str">
        <f aca="false">Transactions!G1275</f>
        <v>Utilities</v>
      </c>
      <c r="H1275" s="1" t="n">
        <f aca="false">IF(COUNTIFS($B$2:$B$1489,B1275,$C$2:$C$1489,C1275,$D$2:$D$1489,D1275)&gt;6,1,0)</f>
        <v>0</v>
      </c>
      <c r="I1275" s="1" t="n">
        <f aca="false">IF(AND(F1275="Wire",E1275&gt;=1000,MOD(E1275,1000)=0),1,0)</f>
        <v>0</v>
      </c>
      <c r="J1275" s="1" t="n">
        <f aca="false">IF(AND(F1275="ATM",E1275&gt;2000,D1275&lt;=4),1,0)</f>
        <v>0</v>
      </c>
      <c r="K1275" s="1" t="n">
        <f aca="false">IF(COUNTIF('SQL Findings'!$A$4:$A$18,B1275)&gt;0,1,0)</f>
        <v>0</v>
      </c>
      <c r="L1275" s="1" t="n">
        <f aca="false">SUM(H1275:K1275)</f>
        <v>0</v>
      </c>
      <c r="M1275" s="1" t="str">
        <f aca="false">IF(L1275&gt;=2,"High",IF(L1275=1,"Medium","Low"))</f>
        <v>Low</v>
      </c>
    </row>
    <row r="1276" customFormat="false" ht="15" hidden="false" customHeight="true" outlineLevel="0" collapsed="false">
      <c r="A1276" s="1" t="str">
        <f aca="false">Transactions!A1276</f>
        <v>TXN500123</v>
      </c>
      <c r="B1276" s="1" t="str">
        <f aca="false">Transactions!B1276</f>
        <v>ACC1005</v>
      </c>
      <c r="C1276" s="1" t="str">
        <f aca="false">Transactions!I1276</f>
        <v>2026-03-19</v>
      </c>
      <c r="D1276" s="1" t="n">
        <f aca="false">Transactions!J1276</f>
        <v>22</v>
      </c>
      <c r="E1276" s="1" t="n">
        <f aca="false">Transactions!D1276</f>
        <v>235.69</v>
      </c>
      <c r="F1276" s="1" t="str">
        <f aca="false">Transactions!H1276</f>
        <v>POS</v>
      </c>
      <c r="G1276" s="1" t="str">
        <f aca="false">Transactions!G1276</f>
        <v>Electronics</v>
      </c>
      <c r="H1276" s="1" t="n">
        <f aca="false">IF(COUNTIFS($B$2:$B$1489,B1276,$C$2:$C$1489,C1276,$D$2:$D$1489,D1276)&gt;6,1,0)</f>
        <v>0</v>
      </c>
      <c r="I1276" s="1" t="n">
        <f aca="false">IF(AND(F1276="Wire",E1276&gt;=1000,MOD(E1276,1000)=0),1,0)</f>
        <v>0</v>
      </c>
      <c r="J1276" s="1" t="n">
        <f aca="false">IF(AND(F1276="ATM",E1276&gt;2000,D1276&lt;=4),1,0)</f>
        <v>0</v>
      </c>
      <c r="K1276" s="1" t="n">
        <f aca="false">IF(COUNTIF('SQL Findings'!$A$4:$A$18,B1276)&gt;0,1,0)</f>
        <v>0</v>
      </c>
      <c r="L1276" s="1" t="n">
        <f aca="false">SUM(H1276:K1276)</f>
        <v>0</v>
      </c>
      <c r="M1276" s="1" t="str">
        <f aca="false">IF(L1276&gt;=2,"High",IF(L1276=1,"Medium","Low"))</f>
        <v>Low</v>
      </c>
    </row>
    <row r="1277" customFormat="false" ht="15" hidden="false" customHeight="true" outlineLevel="0" collapsed="false">
      <c r="A1277" s="1" t="str">
        <f aca="false">Transactions!A1277</f>
        <v>TXN500362</v>
      </c>
      <c r="B1277" s="1" t="str">
        <f aca="false">Transactions!B1277</f>
        <v>ACC1016</v>
      </c>
      <c r="C1277" s="1" t="str">
        <f aca="false">Transactions!I1277</f>
        <v>2026-03-19</v>
      </c>
      <c r="D1277" s="1" t="n">
        <f aca="false">Transactions!J1277</f>
        <v>23</v>
      </c>
      <c r="E1277" s="1" t="n">
        <f aca="false">Transactions!D1277</f>
        <v>264.93</v>
      </c>
      <c r="F1277" s="1" t="str">
        <f aca="false">Transactions!H1277</f>
        <v>Online</v>
      </c>
      <c r="G1277" s="1" t="str">
        <f aca="false">Transactions!G1277</f>
        <v>Utilities</v>
      </c>
      <c r="H1277" s="1" t="n">
        <f aca="false">IF(COUNTIFS($B$2:$B$1489,B1277,$C$2:$C$1489,C1277,$D$2:$D$1489,D1277)&gt;6,1,0)</f>
        <v>0</v>
      </c>
      <c r="I1277" s="1" t="n">
        <f aca="false">IF(AND(F1277="Wire",E1277&gt;=1000,MOD(E1277,1000)=0),1,0)</f>
        <v>0</v>
      </c>
      <c r="J1277" s="1" t="n">
        <f aca="false">IF(AND(F1277="ATM",E1277&gt;2000,D1277&lt;=4),1,0)</f>
        <v>0</v>
      </c>
      <c r="K1277" s="1" t="n">
        <f aca="false">IF(COUNTIF('SQL Findings'!$A$4:$A$18,B1277)&gt;0,1,0)</f>
        <v>0</v>
      </c>
      <c r="L1277" s="1" t="n">
        <f aca="false">SUM(H1277:K1277)</f>
        <v>0</v>
      </c>
      <c r="M1277" s="1" t="str">
        <f aca="false">IF(L1277&gt;=2,"High",IF(L1277=1,"Medium","Low"))</f>
        <v>Low</v>
      </c>
    </row>
    <row r="1278" customFormat="false" ht="15" hidden="false" customHeight="true" outlineLevel="0" collapsed="false">
      <c r="A1278" s="1" t="str">
        <f aca="false">Transactions!A1278</f>
        <v>TXN500993</v>
      </c>
      <c r="B1278" s="1" t="str">
        <f aca="false">Transactions!B1278</f>
        <v>ACC1043</v>
      </c>
      <c r="C1278" s="1" t="str">
        <f aca="false">Transactions!I1278</f>
        <v>2026-03-19</v>
      </c>
      <c r="D1278" s="1" t="n">
        <f aca="false">Transactions!J1278</f>
        <v>23</v>
      </c>
      <c r="E1278" s="1" t="n">
        <f aca="false">Transactions!D1278</f>
        <v>53.39</v>
      </c>
      <c r="F1278" s="1" t="str">
        <f aca="false">Transactions!H1278</f>
        <v>POS</v>
      </c>
      <c r="G1278" s="1" t="str">
        <f aca="false">Transactions!G1278</f>
        <v>Online Marketplace</v>
      </c>
      <c r="H1278" s="1" t="n">
        <f aca="false">IF(COUNTIFS($B$2:$B$1489,B1278,$C$2:$C$1489,C1278,$D$2:$D$1489,D1278)&gt;6,1,0)</f>
        <v>0</v>
      </c>
      <c r="I1278" s="1" t="n">
        <f aca="false">IF(AND(F1278="Wire",E1278&gt;=1000,MOD(E1278,1000)=0),1,0)</f>
        <v>0</v>
      </c>
      <c r="J1278" s="1" t="n">
        <f aca="false">IF(AND(F1278="ATM",E1278&gt;2000,D1278&lt;=4),1,0)</f>
        <v>0</v>
      </c>
      <c r="K1278" s="1" t="n">
        <f aca="false">IF(COUNTIF('SQL Findings'!$A$4:$A$18,B1278)&gt;0,1,0)</f>
        <v>0</v>
      </c>
      <c r="L1278" s="1" t="n">
        <f aca="false">SUM(H1278:K1278)</f>
        <v>0</v>
      </c>
      <c r="M1278" s="1" t="str">
        <f aca="false">IF(L1278&gt;=2,"High",IF(L1278=1,"Medium","Low"))</f>
        <v>Low</v>
      </c>
    </row>
    <row r="1279" customFormat="false" ht="15" hidden="false" customHeight="true" outlineLevel="0" collapsed="false">
      <c r="A1279" s="1" t="str">
        <f aca="false">Transactions!A1279</f>
        <v>TXN500577</v>
      </c>
      <c r="B1279" s="1" t="str">
        <f aca="false">Transactions!B1279</f>
        <v>ACC1025</v>
      </c>
      <c r="C1279" s="1" t="str">
        <f aca="false">Transactions!I1279</f>
        <v>2026-03-20</v>
      </c>
      <c r="D1279" s="1" t="n">
        <f aca="false">Transactions!J1279</f>
        <v>2</v>
      </c>
      <c r="E1279" s="1" t="n">
        <f aca="false">Transactions!D1279</f>
        <v>82.44</v>
      </c>
      <c r="F1279" s="1" t="str">
        <f aca="false">Transactions!H1279</f>
        <v>Online</v>
      </c>
      <c r="G1279" s="1" t="str">
        <f aca="false">Transactions!G1279</f>
        <v>Wire Transfer</v>
      </c>
      <c r="H1279" s="1" t="n">
        <f aca="false">IF(COUNTIFS($B$2:$B$1489,B1279,$C$2:$C$1489,C1279,$D$2:$D$1489,D1279)&gt;6,1,0)</f>
        <v>0</v>
      </c>
      <c r="I1279" s="1" t="n">
        <f aca="false">IF(AND(F1279="Wire",E1279&gt;=1000,MOD(E1279,1000)=0),1,0)</f>
        <v>0</v>
      </c>
      <c r="J1279" s="1" t="n">
        <f aca="false">IF(AND(F1279="ATM",E1279&gt;2000,D1279&lt;=4),1,0)</f>
        <v>0</v>
      </c>
      <c r="K1279" s="1" t="n">
        <f aca="false">IF(COUNTIF('SQL Findings'!$A$4:$A$18,B1279)&gt;0,1,0)</f>
        <v>0</v>
      </c>
      <c r="L1279" s="1" t="n">
        <f aca="false">SUM(H1279:K1279)</f>
        <v>0</v>
      </c>
      <c r="M1279" s="1" t="str">
        <f aca="false">IF(L1279&gt;=2,"High",IF(L1279=1,"Medium","Low"))</f>
        <v>Low</v>
      </c>
    </row>
    <row r="1280" customFormat="false" ht="15" hidden="false" customHeight="true" outlineLevel="0" collapsed="false">
      <c r="A1280" s="1" t="str">
        <f aca="false">Transactions!A1280</f>
        <v>TXN500616</v>
      </c>
      <c r="B1280" s="1" t="str">
        <f aca="false">Transactions!B1280</f>
        <v>ACC1027</v>
      </c>
      <c r="C1280" s="1" t="str">
        <f aca="false">Transactions!I1280</f>
        <v>2026-03-20</v>
      </c>
      <c r="D1280" s="1" t="n">
        <f aca="false">Transactions!J1280</f>
        <v>6</v>
      </c>
      <c r="E1280" s="1" t="n">
        <f aca="false">Transactions!D1280</f>
        <v>74.91</v>
      </c>
      <c r="F1280" s="1" t="str">
        <f aca="false">Transactions!H1280</f>
        <v>POS</v>
      </c>
      <c r="G1280" s="1" t="str">
        <f aca="false">Transactions!G1280</f>
        <v>Dining</v>
      </c>
      <c r="H1280" s="1" t="n">
        <f aca="false">IF(COUNTIFS($B$2:$B$1489,B1280,$C$2:$C$1489,C1280,$D$2:$D$1489,D1280)&gt;6,1,0)</f>
        <v>0</v>
      </c>
      <c r="I1280" s="1" t="n">
        <f aca="false">IF(AND(F1280="Wire",E1280&gt;=1000,MOD(E1280,1000)=0),1,0)</f>
        <v>0</v>
      </c>
      <c r="J1280" s="1" t="n">
        <f aca="false">IF(AND(F1280="ATM",E1280&gt;2000,D1280&lt;=4),1,0)</f>
        <v>0</v>
      </c>
      <c r="K1280" s="1" t="n">
        <f aca="false">IF(COUNTIF('SQL Findings'!$A$4:$A$18,B1280)&gt;0,1,0)</f>
        <v>0</v>
      </c>
      <c r="L1280" s="1" t="n">
        <f aca="false">SUM(H1280:K1280)</f>
        <v>0</v>
      </c>
      <c r="M1280" s="1" t="str">
        <f aca="false">IF(L1280&gt;=2,"High",IF(L1280=1,"Medium","Low"))</f>
        <v>Low</v>
      </c>
    </row>
    <row r="1281" customFormat="false" ht="15" hidden="false" customHeight="true" outlineLevel="0" collapsed="false">
      <c r="A1281" s="1" t="str">
        <f aca="false">Transactions!A1281</f>
        <v>TXN500561</v>
      </c>
      <c r="B1281" s="1" t="str">
        <f aca="false">Transactions!B1281</f>
        <v>ACC1024</v>
      </c>
      <c r="C1281" s="1" t="str">
        <f aca="false">Transactions!I1281</f>
        <v>2026-03-20</v>
      </c>
      <c r="D1281" s="1" t="n">
        <f aca="false">Transactions!J1281</f>
        <v>7</v>
      </c>
      <c r="E1281" s="1" t="n">
        <f aca="false">Transactions!D1281</f>
        <v>86.56</v>
      </c>
      <c r="F1281" s="1" t="str">
        <f aca="false">Transactions!H1281</f>
        <v>Online</v>
      </c>
      <c r="G1281" s="1" t="str">
        <f aca="false">Transactions!G1281</f>
        <v>Travel</v>
      </c>
      <c r="H1281" s="1" t="n">
        <f aca="false">IF(COUNTIFS($B$2:$B$1489,B1281,$C$2:$C$1489,C1281,$D$2:$D$1489,D1281)&gt;6,1,0)</f>
        <v>0</v>
      </c>
      <c r="I1281" s="1" t="n">
        <f aca="false">IF(AND(F1281="Wire",E1281&gt;=1000,MOD(E1281,1000)=0),1,0)</f>
        <v>0</v>
      </c>
      <c r="J1281" s="1" t="n">
        <f aca="false">IF(AND(F1281="ATM",E1281&gt;2000,D1281&lt;=4),1,0)</f>
        <v>0</v>
      </c>
      <c r="K1281" s="1" t="n">
        <f aca="false">IF(COUNTIF('SQL Findings'!$A$4:$A$18,B1281)&gt;0,1,0)</f>
        <v>1</v>
      </c>
      <c r="L1281" s="1" t="n">
        <f aca="false">SUM(H1281:K1281)</f>
        <v>1</v>
      </c>
      <c r="M1281" s="1" t="str">
        <f aca="false">IF(L1281&gt;=2,"High",IF(L1281=1,"Medium","Low"))</f>
        <v>Medium</v>
      </c>
    </row>
    <row r="1282" customFormat="false" ht="15" hidden="false" customHeight="true" outlineLevel="0" collapsed="false">
      <c r="A1282" s="1" t="str">
        <f aca="false">Transactions!A1282</f>
        <v>TXN500326</v>
      </c>
      <c r="B1282" s="1" t="str">
        <f aca="false">Transactions!B1282</f>
        <v>ACC1014</v>
      </c>
      <c r="C1282" s="1" t="str">
        <f aca="false">Transactions!I1282</f>
        <v>2026-03-20</v>
      </c>
      <c r="D1282" s="1" t="n">
        <f aca="false">Transactions!J1282</f>
        <v>8</v>
      </c>
      <c r="E1282" s="1" t="n">
        <f aca="false">Transactions!D1282</f>
        <v>22.36</v>
      </c>
      <c r="F1282" s="1" t="str">
        <f aca="false">Transactions!H1282</f>
        <v>POS</v>
      </c>
      <c r="G1282" s="1" t="str">
        <f aca="false">Transactions!G1282</f>
        <v>Online Marketplace</v>
      </c>
      <c r="H1282" s="1" t="n">
        <f aca="false">IF(COUNTIFS($B$2:$B$1489,B1282,$C$2:$C$1489,C1282,$D$2:$D$1489,D1282)&gt;6,1,0)</f>
        <v>0</v>
      </c>
      <c r="I1282" s="1" t="n">
        <f aca="false">IF(AND(F1282="Wire",E1282&gt;=1000,MOD(E1282,1000)=0),1,0)</f>
        <v>0</v>
      </c>
      <c r="J1282" s="1" t="n">
        <f aca="false">IF(AND(F1282="ATM",E1282&gt;2000,D1282&lt;=4),1,0)</f>
        <v>0</v>
      </c>
      <c r="K1282" s="1" t="n">
        <f aca="false">IF(COUNTIF('SQL Findings'!$A$4:$A$18,B1282)&gt;0,1,0)</f>
        <v>1</v>
      </c>
      <c r="L1282" s="1" t="n">
        <f aca="false">SUM(H1282:K1282)</f>
        <v>1</v>
      </c>
      <c r="M1282" s="1" t="str">
        <f aca="false">IF(L1282&gt;=2,"High",IF(L1282=1,"Medium","Low"))</f>
        <v>Medium</v>
      </c>
    </row>
    <row r="1283" customFormat="false" ht="15" hidden="false" customHeight="true" outlineLevel="0" collapsed="false">
      <c r="A1283" s="1" t="str">
        <f aca="false">Transactions!A1283</f>
        <v>TXN500421</v>
      </c>
      <c r="B1283" s="1" t="str">
        <f aca="false">Transactions!B1283</f>
        <v>ACC1018</v>
      </c>
      <c r="C1283" s="1" t="str">
        <f aca="false">Transactions!I1283</f>
        <v>2026-03-20</v>
      </c>
      <c r="D1283" s="1" t="n">
        <f aca="false">Transactions!J1283</f>
        <v>9</v>
      </c>
      <c r="E1283" s="1" t="n">
        <f aca="false">Transactions!D1283</f>
        <v>426.1</v>
      </c>
      <c r="F1283" s="1" t="str">
        <f aca="false">Transactions!H1283</f>
        <v>ATM</v>
      </c>
      <c r="G1283" s="1" t="str">
        <f aca="false">Transactions!G1283</f>
        <v>Utilities</v>
      </c>
      <c r="H1283" s="1" t="n">
        <f aca="false">IF(COUNTIFS($B$2:$B$1489,B1283,$C$2:$C$1489,C1283,$D$2:$D$1489,D1283)&gt;6,1,0)</f>
        <v>0</v>
      </c>
      <c r="I1283" s="1" t="n">
        <f aca="false">IF(AND(F1283="Wire",E1283&gt;=1000,MOD(E1283,1000)=0),1,0)</f>
        <v>0</v>
      </c>
      <c r="J1283" s="1" t="n">
        <f aca="false">IF(AND(F1283="ATM",E1283&gt;2000,D1283&lt;=4),1,0)</f>
        <v>0</v>
      </c>
      <c r="K1283" s="1" t="n">
        <f aca="false">IF(COUNTIF('SQL Findings'!$A$4:$A$18,B1283)&gt;0,1,0)</f>
        <v>0</v>
      </c>
      <c r="L1283" s="1" t="n">
        <f aca="false">SUM(H1283:K1283)</f>
        <v>0</v>
      </c>
      <c r="M1283" s="1" t="str">
        <f aca="false">IF(L1283&gt;=2,"High",IF(L1283=1,"Medium","Low"))</f>
        <v>Low</v>
      </c>
    </row>
    <row r="1284" customFormat="false" ht="15" hidden="false" customHeight="true" outlineLevel="0" collapsed="false">
      <c r="A1284" s="1" t="str">
        <f aca="false">Transactions!A1284</f>
        <v>TXN500239</v>
      </c>
      <c r="B1284" s="1" t="str">
        <f aca="false">Transactions!B1284</f>
        <v>ACC1010</v>
      </c>
      <c r="C1284" s="1" t="str">
        <f aca="false">Transactions!I1284</f>
        <v>2026-03-20</v>
      </c>
      <c r="D1284" s="1" t="n">
        <f aca="false">Transactions!J1284</f>
        <v>10</v>
      </c>
      <c r="E1284" s="1" t="n">
        <f aca="false">Transactions!D1284</f>
        <v>36.76</v>
      </c>
      <c r="F1284" s="1" t="str">
        <f aca="false">Transactions!H1284</f>
        <v>ATM</v>
      </c>
      <c r="G1284" s="1" t="str">
        <f aca="false">Transactions!G1284</f>
        <v>Retail</v>
      </c>
      <c r="H1284" s="1" t="n">
        <f aca="false">IF(COUNTIFS($B$2:$B$1489,B1284,$C$2:$C$1489,C1284,$D$2:$D$1489,D1284)&gt;6,1,0)</f>
        <v>0</v>
      </c>
      <c r="I1284" s="1" t="n">
        <f aca="false">IF(AND(F1284="Wire",E1284&gt;=1000,MOD(E1284,1000)=0),1,0)</f>
        <v>0</v>
      </c>
      <c r="J1284" s="1" t="n">
        <f aca="false">IF(AND(F1284="ATM",E1284&gt;2000,D1284&lt;=4),1,0)</f>
        <v>0</v>
      </c>
      <c r="K1284" s="1" t="n">
        <f aca="false">IF(COUNTIF('SQL Findings'!$A$4:$A$18,B1284)&gt;0,1,0)</f>
        <v>0</v>
      </c>
      <c r="L1284" s="1" t="n">
        <f aca="false">SUM(H1284:K1284)</f>
        <v>0</v>
      </c>
      <c r="M1284" s="1" t="str">
        <f aca="false">IF(L1284&gt;=2,"High",IF(L1284=1,"Medium","Low"))</f>
        <v>Low</v>
      </c>
    </row>
    <row r="1285" customFormat="false" ht="15" hidden="false" customHeight="true" outlineLevel="0" collapsed="false">
      <c r="A1285" s="1" t="str">
        <f aca="false">Transactions!A1285</f>
        <v>TXN500865</v>
      </c>
      <c r="B1285" s="1" t="str">
        <f aca="false">Transactions!B1285</f>
        <v>ACC1037</v>
      </c>
      <c r="C1285" s="1" t="str">
        <f aca="false">Transactions!I1285</f>
        <v>2026-03-20</v>
      </c>
      <c r="D1285" s="1" t="n">
        <f aca="false">Transactions!J1285</f>
        <v>10</v>
      </c>
      <c r="E1285" s="1" t="n">
        <f aca="false">Transactions!D1285</f>
        <v>38.42</v>
      </c>
      <c r="F1285" s="1" t="str">
        <f aca="false">Transactions!H1285</f>
        <v>ATM</v>
      </c>
      <c r="G1285" s="1" t="str">
        <f aca="false">Transactions!G1285</f>
        <v>Retail</v>
      </c>
      <c r="H1285" s="1" t="n">
        <f aca="false">IF(COUNTIFS($B$2:$B$1489,B1285,$C$2:$C$1489,C1285,$D$2:$D$1489,D1285)&gt;6,1,0)</f>
        <v>0</v>
      </c>
      <c r="I1285" s="1" t="n">
        <f aca="false">IF(AND(F1285="Wire",E1285&gt;=1000,MOD(E1285,1000)=0),1,0)</f>
        <v>0</v>
      </c>
      <c r="J1285" s="1" t="n">
        <f aca="false">IF(AND(F1285="ATM",E1285&gt;2000,D1285&lt;=4),1,0)</f>
        <v>0</v>
      </c>
      <c r="K1285" s="1" t="n">
        <f aca="false">IF(COUNTIF('SQL Findings'!$A$4:$A$18,B1285)&gt;0,1,0)</f>
        <v>1</v>
      </c>
      <c r="L1285" s="1" t="n">
        <f aca="false">SUM(H1285:K1285)</f>
        <v>1</v>
      </c>
      <c r="M1285" s="1" t="str">
        <f aca="false">IF(L1285&gt;=2,"High",IF(L1285=1,"Medium","Low"))</f>
        <v>Medium</v>
      </c>
    </row>
    <row r="1286" customFormat="false" ht="15" hidden="false" customHeight="true" outlineLevel="0" collapsed="false">
      <c r="A1286" s="1" t="str">
        <f aca="false">Transactions!A1286</f>
        <v>TXN500828</v>
      </c>
      <c r="B1286" s="1" t="str">
        <f aca="false">Transactions!B1286</f>
        <v>ACC1035</v>
      </c>
      <c r="C1286" s="1" t="str">
        <f aca="false">Transactions!I1286</f>
        <v>2026-03-20</v>
      </c>
      <c r="D1286" s="1" t="n">
        <f aca="false">Transactions!J1286</f>
        <v>10</v>
      </c>
      <c r="E1286" s="1" t="n">
        <f aca="false">Transactions!D1286</f>
        <v>41.66</v>
      </c>
      <c r="F1286" s="1" t="str">
        <f aca="false">Transactions!H1286</f>
        <v>Online</v>
      </c>
      <c r="G1286" s="1" t="str">
        <f aca="false">Transactions!G1286</f>
        <v>Wire Transfer</v>
      </c>
      <c r="H1286" s="1" t="n">
        <f aca="false">IF(COUNTIFS($B$2:$B$1489,B1286,$C$2:$C$1489,C1286,$D$2:$D$1489,D1286)&gt;6,1,0)</f>
        <v>0</v>
      </c>
      <c r="I1286" s="1" t="n">
        <f aca="false">IF(AND(F1286="Wire",E1286&gt;=1000,MOD(E1286,1000)=0),1,0)</f>
        <v>0</v>
      </c>
      <c r="J1286" s="1" t="n">
        <f aca="false">IF(AND(F1286="ATM",E1286&gt;2000,D1286&lt;=4),1,0)</f>
        <v>0</v>
      </c>
      <c r="K1286" s="1" t="n">
        <f aca="false">IF(COUNTIF('SQL Findings'!$A$4:$A$18,B1286)&gt;0,1,0)</f>
        <v>0</v>
      </c>
      <c r="L1286" s="1" t="n">
        <f aca="false">SUM(H1286:K1286)</f>
        <v>0</v>
      </c>
      <c r="M1286" s="1" t="str">
        <f aca="false">IF(L1286&gt;=2,"High",IF(L1286=1,"Medium","Low"))</f>
        <v>Low</v>
      </c>
    </row>
    <row r="1287" customFormat="false" ht="15" hidden="false" customHeight="true" outlineLevel="0" collapsed="false">
      <c r="A1287" s="1" t="str">
        <f aca="false">Transactions!A1287</f>
        <v>TXN501312</v>
      </c>
      <c r="B1287" s="1" t="str">
        <f aca="false">Transactions!B1287</f>
        <v>ACC1057</v>
      </c>
      <c r="C1287" s="1" t="str">
        <f aca="false">Transactions!I1287</f>
        <v>2026-03-20</v>
      </c>
      <c r="D1287" s="1" t="n">
        <f aca="false">Transactions!J1287</f>
        <v>13</v>
      </c>
      <c r="E1287" s="1" t="n">
        <f aca="false">Transactions!D1287</f>
        <v>139.21</v>
      </c>
      <c r="F1287" s="1" t="str">
        <f aca="false">Transactions!H1287</f>
        <v>ATM</v>
      </c>
      <c r="G1287" s="1" t="str">
        <f aca="false">Transactions!G1287</f>
        <v>Dining</v>
      </c>
      <c r="H1287" s="1" t="n">
        <f aca="false">IF(COUNTIFS($B$2:$B$1489,B1287,$C$2:$C$1489,C1287,$D$2:$D$1489,D1287)&gt;6,1,0)</f>
        <v>0</v>
      </c>
      <c r="I1287" s="1" t="n">
        <f aca="false">IF(AND(F1287="Wire",E1287&gt;=1000,MOD(E1287,1000)=0),1,0)</f>
        <v>0</v>
      </c>
      <c r="J1287" s="1" t="n">
        <f aca="false">IF(AND(F1287="ATM",E1287&gt;2000,D1287&lt;=4),1,0)</f>
        <v>0</v>
      </c>
      <c r="K1287" s="1" t="n">
        <f aca="false">IF(COUNTIF('SQL Findings'!$A$4:$A$18,B1287)&gt;0,1,0)</f>
        <v>1</v>
      </c>
      <c r="L1287" s="1" t="n">
        <f aca="false">SUM(H1287:K1287)</f>
        <v>1</v>
      </c>
      <c r="M1287" s="1" t="str">
        <f aca="false">IF(L1287&gt;=2,"High",IF(L1287=1,"Medium","Low"))</f>
        <v>Medium</v>
      </c>
    </row>
    <row r="1288" customFormat="false" ht="15" hidden="false" customHeight="true" outlineLevel="0" collapsed="false">
      <c r="A1288" s="1" t="str">
        <f aca="false">Transactions!A1288</f>
        <v>TXN500713</v>
      </c>
      <c r="B1288" s="1" t="str">
        <f aca="false">Transactions!B1288</f>
        <v>ACC1030</v>
      </c>
      <c r="C1288" s="1" t="str">
        <f aca="false">Transactions!I1288</f>
        <v>2026-03-20</v>
      </c>
      <c r="D1288" s="1" t="n">
        <f aca="false">Transactions!J1288</f>
        <v>13</v>
      </c>
      <c r="E1288" s="1" t="n">
        <f aca="false">Transactions!D1288</f>
        <v>40.84</v>
      </c>
      <c r="F1288" s="1" t="str">
        <f aca="false">Transactions!H1288</f>
        <v>Online</v>
      </c>
      <c r="G1288" s="1" t="str">
        <f aca="false">Transactions!G1288</f>
        <v>Utilities</v>
      </c>
      <c r="H1288" s="1" t="n">
        <f aca="false">IF(COUNTIFS($B$2:$B$1489,B1288,$C$2:$C$1489,C1288,$D$2:$D$1489,D1288)&gt;6,1,0)</f>
        <v>0</v>
      </c>
      <c r="I1288" s="1" t="n">
        <f aca="false">IF(AND(F1288="Wire",E1288&gt;=1000,MOD(E1288,1000)=0),1,0)</f>
        <v>0</v>
      </c>
      <c r="J1288" s="1" t="n">
        <f aca="false">IF(AND(F1288="ATM",E1288&gt;2000,D1288&lt;=4),1,0)</f>
        <v>0</v>
      </c>
      <c r="K1288" s="1" t="n">
        <f aca="false">IF(COUNTIF('SQL Findings'!$A$4:$A$18,B1288)&gt;0,1,0)</f>
        <v>1</v>
      </c>
      <c r="L1288" s="1" t="n">
        <f aca="false">SUM(H1288:K1288)</f>
        <v>1</v>
      </c>
      <c r="M1288" s="1" t="str">
        <f aca="false">IF(L1288&gt;=2,"High",IF(L1288=1,"Medium","Low"))</f>
        <v>Medium</v>
      </c>
    </row>
    <row r="1289" customFormat="false" ht="15" hidden="false" customHeight="true" outlineLevel="0" collapsed="false">
      <c r="A1289" s="1" t="str">
        <f aca="false">Transactions!A1289</f>
        <v>TXN500664</v>
      </c>
      <c r="B1289" s="1" t="str">
        <f aca="false">Transactions!B1289</f>
        <v>ACC1028</v>
      </c>
      <c r="C1289" s="1" t="str">
        <f aca="false">Transactions!I1289</f>
        <v>2026-03-20</v>
      </c>
      <c r="D1289" s="1" t="n">
        <f aca="false">Transactions!J1289</f>
        <v>13</v>
      </c>
      <c r="E1289" s="1" t="n">
        <f aca="false">Transactions!D1289</f>
        <v>40.89</v>
      </c>
      <c r="F1289" s="1" t="str">
        <f aca="false">Transactions!H1289</f>
        <v>POS</v>
      </c>
      <c r="G1289" s="1" t="str">
        <f aca="false">Transactions!G1289</f>
        <v>Travel</v>
      </c>
      <c r="H1289" s="1" t="n">
        <f aca="false">IF(COUNTIFS($B$2:$B$1489,B1289,$C$2:$C$1489,C1289,$D$2:$D$1489,D1289)&gt;6,1,0)</f>
        <v>0</v>
      </c>
      <c r="I1289" s="1" t="n">
        <f aca="false">IF(AND(F1289="Wire",E1289&gt;=1000,MOD(E1289,1000)=0),1,0)</f>
        <v>0</v>
      </c>
      <c r="J1289" s="1" t="n">
        <f aca="false">IF(AND(F1289="ATM",E1289&gt;2000,D1289&lt;=4),1,0)</f>
        <v>0</v>
      </c>
      <c r="K1289" s="1" t="n">
        <f aca="false">IF(COUNTIF('SQL Findings'!$A$4:$A$18,B1289)&gt;0,1,0)</f>
        <v>0</v>
      </c>
      <c r="L1289" s="1" t="n">
        <f aca="false">SUM(H1289:K1289)</f>
        <v>0</v>
      </c>
      <c r="M1289" s="1" t="str">
        <f aca="false">IF(L1289&gt;=2,"High",IF(L1289=1,"Medium","Low"))</f>
        <v>Low</v>
      </c>
    </row>
    <row r="1290" customFormat="false" ht="15" hidden="false" customHeight="true" outlineLevel="0" collapsed="false">
      <c r="A1290" s="1" t="str">
        <f aca="false">Transactions!A1290</f>
        <v>TXN501253</v>
      </c>
      <c r="B1290" s="1" t="str">
        <f aca="false">Transactions!B1290</f>
        <v>ACC1055</v>
      </c>
      <c r="C1290" s="1" t="str">
        <f aca="false">Transactions!I1290</f>
        <v>2026-03-20</v>
      </c>
      <c r="D1290" s="1" t="n">
        <f aca="false">Transactions!J1290</f>
        <v>13</v>
      </c>
      <c r="E1290" s="1" t="n">
        <f aca="false">Transactions!D1290</f>
        <v>11.09</v>
      </c>
      <c r="F1290" s="1" t="str">
        <f aca="false">Transactions!H1290</f>
        <v>Online</v>
      </c>
      <c r="G1290" s="1" t="str">
        <f aca="false">Transactions!G1290</f>
        <v>Online Marketplace</v>
      </c>
      <c r="H1290" s="1" t="n">
        <f aca="false">IF(COUNTIFS($B$2:$B$1489,B1290,$C$2:$C$1489,C1290,$D$2:$D$1489,D1290)&gt;6,1,0)</f>
        <v>0</v>
      </c>
      <c r="I1290" s="1" t="n">
        <f aca="false">IF(AND(F1290="Wire",E1290&gt;=1000,MOD(E1290,1000)=0),1,0)</f>
        <v>0</v>
      </c>
      <c r="J1290" s="1" t="n">
        <f aca="false">IF(AND(F1290="ATM",E1290&gt;2000,D1290&lt;=4),1,0)</f>
        <v>0</v>
      </c>
      <c r="K1290" s="1" t="n">
        <f aca="false">IF(COUNTIF('SQL Findings'!$A$4:$A$18,B1290)&gt;0,1,0)</f>
        <v>1</v>
      </c>
      <c r="L1290" s="1" t="n">
        <f aca="false">SUM(H1290:K1290)</f>
        <v>1</v>
      </c>
      <c r="M1290" s="1" t="str">
        <f aca="false">IF(L1290&gt;=2,"High",IF(L1290=1,"Medium","Low"))</f>
        <v>Medium</v>
      </c>
    </row>
    <row r="1291" customFormat="false" ht="15" hidden="false" customHeight="true" outlineLevel="0" collapsed="false">
      <c r="A1291" s="1" t="str">
        <f aca="false">Transactions!A1291</f>
        <v>TXN500645</v>
      </c>
      <c r="B1291" s="1" t="str">
        <f aca="false">Transactions!B1291</f>
        <v>ACC1028</v>
      </c>
      <c r="C1291" s="1" t="str">
        <f aca="false">Transactions!I1291</f>
        <v>2026-03-20</v>
      </c>
      <c r="D1291" s="1" t="n">
        <f aca="false">Transactions!J1291</f>
        <v>14</v>
      </c>
      <c r="E1291" s="1" t="n">
        <f aca="false">Transactions!D1291</f>
        <v>53.45</v>
      </c>
      <c r="F1291" s="1" t="str">
        <f aca="false">Transactions!H1291</f>
        <v>POS</v>
      </c>
      <c r="G1291" s="1" t="str">
        <f aca="false">Transactions!G1291</f>
        <v>Dining</v>
      </c>
      <c r="H1291" s="1" t="n">
        <f aca="false">IF(COUNTIFS($B$2:$B$1489,B1291,$C$2:$C$1489,C1291,$D$2:$D$1489,D1291)&gt;6,1,0)</f>
        <v>0</v>
      </c>
      <c r="I1291" s="1" t="n">
        <f aca="false">IF(AND(F1291="Wire",E1291&gt;=1000,MOD(E1291,1000)=0),1,0)</f>
        <v>0</v>
      </c>
      <c r="J1291" s="1" t="n">
        <f aca="false">IF(AND(F1291="ATM",E1291&gt;2000,D1291&lt;=4),1,0)</f>
        <v>0</v>
      </c>
      <c r="K1291" s="1" t="n">
        <f aca="false">IF(COUNTIF('SQL Findings'!$A$4:$A$18,B1291)&gt;0,1,0)</f>
        <v>0</v>
      </c>
      <c r="L1291" s="1" t="n">
        <f aca="false">SUM(H1291:K1291)</f>
        <v>0</v>
      </c>
      <c r="M1291" s="1" t="str">
        <f aca="false">IF(L1291&gt;=2,"High",IF(L1291=1,"Medium","Low"))</f>
        <v>Low</v>
      </c>
    </row>
    <row r="1292" customFormat="false" ht="15" hidden="false" customHeight="true" outlineLevel="0" collapsed="false">
      <c r="A1292" s="1" t="str">
        <f aca="false">Transactions!A1292</f>
        <v>TXN501018</v>
      </c>
      <c r="B1292" s="1" t="str">
        <f aca="false">Transactions!B1292</f>
        <v>ACC1044</v>
      </c>
      <c r="C1292" s="1" t="str">
        <f aca="false">Transactions!I1292</f>
        <v>2026-03-20</v>
      </c>
      <c r="D1292" s="1" t="n">
        <f aca="false">Transactions!J1292</f>
        <v>15</v>
      </c>
      <c r="E1292" s="1" t="n">
        <f aca="false">Transactions!D1292</f>
        <v>43.14</v>
      </c>
      <c r="F1292" s="1" t="str">
        <f aca="false">Transactions!H1292</f>
        <v>POS</v>
      </c>
      <c r="G1292" s="1" t="str">
        <f aca="false">Transactions!G1292</f>
        <v>Retail</v>
      </c>
      <c r="H1292" s="1" t="n">
        <f aca="false">IF(COUNTIFS($B$2:$B$1489,B1292,$C$2:$C$1489,C1292,$D$2:$D$1489,D1292)&gt;6,1,0)</f>
        <v>0</v>
      </c>
      <c r="I1292" s="1" t="n">
        <f aca="false">IF(AND(F1292="Wire",E1292&gt;=1000,MOD(E1292,1000)=0),1,0)</f>
        <v>0</v>
      </c>
      <c r="J1292" s="1" t="n">
        <f aca="false">IF(AND(F1292="ATM",E1292&gt;2000,D1292&lt;=4),1,0)</f>
        <v>0</v>
      </c>
      <c r="K1292" s="1" t="n">
        <f aca="false">IF(COUNTIF('SQL Findings'!$A$4:$A$18,B1292)&gt;0,1,0)</f>
        <v>0</v>
      </c>
      <c r="L1292" s="1" t="n">
        <f aca="false">SUM(H1292:K1292)</f>
        <v>0</v>
      </c>
      <c r="M1292" s="1" t="str">
        <f aca="false">IF(L1292&gt;=2,"High",IF(L1292=1,"Medium","Low"))</f>
        <v>Low</v>
      </c>
    </row>
    <row r="1293" customFormat="false" ht="15" hidden="false" customHeight="true" outlineLevel="0" collapsed="false">
      <c r="A1293" s="1" t="str">
        <f aca="false">Transactions!A1293</f>
        <v>TXN501465</v>
      </c>
      <c r="B1293" s="1" t="str">
        <f aca="false">Transactions!B1293</f>
        <v>ACC1023</v>
      </c>
      <c r="C1293" s="1" t="str">
        <f aca="false">Transactions!I1293</f>
        <v>2026-03-20</v>
      </c>
      <c r="D1293" s="1" t="n">
        <f aca="false">Transactions!J1293</f>
        <v>16</v>
      </c>
      <c r="E1293" s="1" t="n">
        <f aca="false">Transactions!D1293</f>
        <v>1000</v>
      </c>
      <c r="F1293" s="1" t="str">
        <f aca="false">Transactions!H1293</f>
        <v>Wire</v>
      </c>
      <c r="G1293" s="1" t="str">
        <f aca="false">Transactions!G1293</f>
        <v>Wire Transfer</v>
      </c>
      <c r="H1293" s="1" t="n">
        <f aca="false">IF(COUNTIFS($B$2:$B$1489,B1293,$C$2:$C$1489,C1293,$D$2:$D$1489,D1293)&gt;6,1,0)</f>
        <v>0</v>
      </c>
      <c r="I1293" s="1" t="n">
        <f aca="false">IF(AND(F1293="Wire",E1293&gt;=1000,MOD(E1293,1000)=0),1,0)</f>
        <v>1</v>
      </c>
      <c r="J1293" s="1" t="n">
        <f aca="false">IF(AND(F1293="ATM",E1293&gt;2000,D1293&lt;=4),1,0)</f>
        <v>0</v>
      </c>
      <c r="K1293" s="1" t="n">
        <f aca="false">IF(COUNTIF('SQL Findings'!$A$4:$A$18,B1293)&gt;0,1,0)</f>
        <v>0</v>
      </c>
      <c r="L1293" s="1" t="n">
        <f aca="false">SUM(H1293:K1293)</f>
        <v>1</v>
      </c>
      <c r="M1293" s="1" t="str">
        <f aca="false">IF(L1293&gt;=2,"High",IF(L1293=1,"Medium","Low"))</f>
        <v>Medium</v>
      </c>
    </row>
    <row r="1294" customFormat="false" ht="15" hidden="false" customHeight="true" outlineLevel="0" collapsed="false">
      <c r="A1294" s="1" t="str">
        <f aca="false">Transactions!A1294</f>
        <v>TXN501097</v>
      </c>
      <c r="B1294" s="1" t="str">
        <f aca="false">Transactions!B1294</f>
        <v>ACC1048</v>
      </c>
      <c r="C1294" s="1" t="str">
        <f aca="false">Transactions!I1294</f>
        <v>2026-03-20</v>
      </c>
      <c r="D1294" s="1" t="n">
        <f aca="false">Transactions!J1294</f>
        <v>16</v>
      </c>
      <c r="E1294" s="1" t="n">
        <f aca="false">Transactions!D1294</f>
        <v>71.58</v>
      </c>
      <c r="F1294" s="1" t="str">
        <f aca="false">Transactions!H1294</f>
        <v>Online</v>
      </c>
      <c r="G1294" s="1" t="str">
        <f aca="false">Transactions!G1294</f>
        <v>Utilities</v>
      </c>
      <c r="H1294" s="1" t="n">
        <f aca="false">IF(COUNTIFS($B$2:$B$1489,B1294,$C$2:$C$1489,C1294,$D$2:$D$1489,D1294)&gt;6,1,0)</f>
        <v>0</v>
      </c>
      <c r="I1294" s="1" t="n">
        <f aca="false">IF(AND(F1294="Wire",E1294&gt;=1000,MOD(E1294,1000)=0),1,0)</f>
        <v>0</v>
      </c>
      <c r="J1294" s="1" t="n">
        <f aca="false">IF(AND(F1294="ATM",E1294&gt;2000,D1294&lt;=4),1,0)</f>
        <v>0</v>
      </c>
      <c r="K1294" s="1" t="n">
        <f aca="false">IF(COUNTIF('SQL Findings'!$A$4:$A$18,B1294)&gt;0,1,0)</f>
        <v>0</v>
      </c>
      <c r="L1294" s="1" t="n">
        <f aca="false">SUM(H1294:K1294)</f>
        <v>0</v>
      </c>
      <c r="M1294" s="1" t="str">
        <f aca="false">IF(L1294&gt;=2,"High",IF(L1294=1,"Medium","Low"))</f>
        <v>Low</v>
      </c>
    </row>
    <row r="1295" customFormat="false" ht="15" hidden="false" customHeight="true" outlineLevel="0" collapsed="false">
      <c r="A1295" s="1" t="str">
        <f aca="false">Transactions!A1295</f>
        <v>TXN500209</v>
      </c>
      <c r="B1295" s="1" t="str">
        <f aca="false">Transactions!B1295</f>
        <v>ACC1008</v>
      </c>
      <c r="C1295" s="1" t="str">
        <f aca="false">Transactions!I1295</f>
        <v>2026-03-20</v>
      </c>
      <c r="D1295" s="1" t="n">
        <f aca="false">Transactions!J1295</f>
        <v>17</v>
      </c>
      <c r="E1295" s="1" t="n">
        <f aca="false">Transactions!D1295</f>
        <v>106.01</v>
      </c>
      <c r="F1295" s="1" t="str">
        <f aca="false">Transactions!H1295</f>
        <v>Online</v>
      </c>
      <c r="G1295" s="1" t="str">
        <f aca="false">Transactions!G1295</f>
        <v>Dining</v>
      </c>
      <c r="H1295" s="1" t="n">
        <f aca="false">IF(COUNTIFS($B$2:$B$1489,B1295,$C$2:$C$1489,C1295,$D$2:$D$1489,D1295)&gt;6,1,0)</f>
        <v>0</v>
      </c>
      <c r="I1295" s="1" t="n">
        <f aca="false">IF(AND(F1295="Wire",E1295&gt;=1000,MOD(E1295,1000)=0),1,0)</f>
        <v>0</v>
      </c>
      <c r="J1295" s="1" t="n">
        <f aca="false">IF(AND(F1295="ATM",E1295&gt;2000,D1295&lt;=4),1,0)</f>
        <v>0</v>
      </c>
      <c r="K1295" s="1" t="n">
        <f aca="false">IF(COUNTIF('SQL Findings'!$A$4:$A$18,B1295)&gt;0,1,0)</f>
        <v>0</v>
      </c>
      <c r="L1295" s="1" t="n">
        <f aca="false">SUM(H1295:K1295)</f>
        <v>0</v>
      </c>
      <c r="M1295" s="1" t="str">
        <f aca="false">IF(L1295&gt;=2,"High",IF(L1295=1,"Medium","Low"))</f>
        <v>Low</v>
      </c>
    </row>
    <row r="1296" customFormat="false" ht="15" hidden="false" customHeight="true" outlineLevel="0" collapsed="false">
      <c r="A1296" s="1" t="str">
        <f aca="false">Transactions!A1296</f>
        <v>TXN500100</v>
      </c>
      <c r="B1296" s="1" t="str">
        <f aca="false">Transactions!B1296</f>
        <v>ACC1004</v>
      </c>
      <c r="C1296" s="1" t="str">
        <f aca="false">Transactions!I1296</f>
        <v>2026-03-20</v>
      </c>
      <c r="D1296" s="1" t="n">
        <f aca="false">Transactions!J1296</f>
        <v>17</v>
      </c>
      <c r="E1296" s="1" t="n">
        <f aca="false">Transactions!D1296</f>
        <v>53.99</v>
      </c>
      <c r="F1296" s="1" t="str">
        <f aca="false">Transactions!H1296</f>
        <v>ATM</v>
      </c>
      <c r="G1296" s="1" t="str">
        <f aca="false">Transactions!G1296</f>
        <v>Wire Transfer</v>
      </c>
      <c r="H1296" s="1" t="n">
        <f aca="false">IF(COUNTIFS($B$2:$B$1489,B1296,$C$2:$C$1489,C1296,$D$2:$D$1489,D1296)&gt;6,1,0)</f>
        <v>0</v>
      </c>
      <c r="I1296" s="1" t="n">
        <f aca="false">IF(AND(F1296="Wire",E1296&gt;=1000,MOD(E1296,1000)=0),1,0)</f>
        <v>0</v>
      </c>
      <c r="J1296" s="1" t="n">
        <f aca="false">IF(AND(F1296="ATM",E1296&gt;2000,D1296&lt;=4),1,0)</f>
        <v>0</v>
      </c>
      <c r="K1296" s="1" t="n">
        <f aca="false">IF(COUNTIF('SQL Findings'!$A$4:$A$18,B1296)&gt;0,1,0)</f>
        <v>1</v>
      </c>
      <c r="L1296" s="1" t="n">
        <f aca="false">SUM(H1296:K1296)</f>
        <v>1</v>
      </c>
      <c r="M1296" s="1" t="str">
        <f aca="false">IF(L1296&gt;=2,"High",IF(L1296=1,"Medium","Low"))</f>
        <v>Medium</v>
      </c>
    </row>
    <row r="1297" customFormat="false" ht="15" hidden="false" customHeight="true" outlineLevel="0" collapsed="false">
      <c r="A1297" s="1" t="str">
        <f aca="false">Transactions!A1297</f>
        <v>TXN501287</v>
      </c>
      <c r="B1297" s="1" t="str">
        <f aca="false">Transactions!B1297</f>
        <v>ACC1056</v>
      </c>
      <c r="C1297" s="1" t="str">
        <f aca="false">Transactions!I1297</f>
        <v>2026-03-20</v>
      </c>
      <c r="D1297" s="1" t="n">
        <f aca="false">Transactions!J1297</f>
        <v>18</v>
      </c>
      <c r="E1297" s="1" t="n">
        <f aca="false">Transactions!D1297</f>
        <v>12.77</v>
      </c>
      <c r="F1297" s="1" t="str">
        <f aca="false">Transactions!H1297</f>
        <v>POS</v>
      </c>
      <c r="G1297" s="1" t="str">
        <f aca="false">Transactions!G1297</f>
        <v>Online Marketplace</v>
      </c>
      <c r="H1297" s="1" t="n">
        <f aca="false">IF(COUNTIFS($B$2:$B$1489,B1297,$C$2:$C$1489,C1297,$D$2:$D$1489,D1297)&gt;6,1,0)</f>
        <v>0</v>
      </c>
      <c r="I1297" s="1" t="n">
        <f aca="false">IF(AND(F1297="Wire",E1297&gt;=1000,MOD(E1297,1000)=0),1,0)</f>
        <v>0</v>
      </c>
      <c r="J1297" s="1" t="n">
        <f aca="false">IF(AND(F1297="ATM",E1297&gt;2000,D1297&lt;=4),1,0)</f>
        <v>0</v>
      </c>
      <c r="K1297" s="1" t="n">
        <f aca="false">IF(COUNTIF('SQL Findings'!$A$4:$A$18,B1297)&gt;0,1,0)</f>
        <v>0</v>
      </c>
      <c r="L1297" s="1" t="n">
        <f aca="false">SUM(H1297:K1297)</f>
        <v>0</v>
      </c>
      <c r="M1297" s="1" t="str">
        <f aca="false">IF(L1297&gt;=2,"High",IF(L1297=1,"Medium","Low"))</f>
        <v>Low</v>
      </c>
    </row>
    <row r="1298" customFormat="false" ht="15" hidden="false" customHeight="true" outlineLevel="0" collapsed="false">
      <c r="A1298" s="1" t="str">
        <f aca="false">Transactions!A1298</f>
        <v>TXN500928</v>
      </c>
      <c r="B1298" s="1" t="str">
        <f aca="false">Transactions!B1298</f>
        <v>ACC1040</v>
      </c>
      <c r="C1298" s="1" t="str">
        <f aca="false">Transactions!I1298</f>
        <v>2026-03-20</v>
      </c>
      <c r="D1298" s="1" t="n">
        <f aca="false">Transactions!J1298</f>
        <v>20</v>
      </c>
      <c r="E1298" s="1" t="n">
        <f aca="false">Transactions!D1298</f>
        <v>93.64</v>
      </c>
      <c r="F1298" s="1" t="str">
        <f aca="false">Transactions!H1298</f>
        <v>ATM</v>
      </c>
      <c r="G1298" s="1" t="str">
        <f aca="false">Transactions!G1298</f>
        <v>Retail</v>
      </c>
      <c r="H1298" s="1" t="n">
        <f aca="false">IF(COUNTIFS($B$2:$B$1489,B1298,$C$2:$C$1489,C1298,$D$2:$D$1489,D1298)&gt;6,1,0)</f>
        <v>0</v>
      </c>
      <c r="I1298" s="1" t="n">
        <f aca="false">IF(AND(F1298="Wire",E1298&gt;=1000,MOD(E1298,1000)=0),1,0)</f>
        <v>0</v>
      </c>
      <c r="J1298" s="1" t="n">
        <f aca="false">IF(AND(F1298="ATM",E1298&gt;2000,D1298&lt;=4),1,0)</f>
        <v>0</v>
      </c>
      <c r="K1298" s="1" t="n">
        <f aca="false">IF(COUNTIF('SQL Findings'!$A$4:$A$18,B1298)&gt;0,1,0)</f>
        <v>1</v>
      </c>
      <c r="L1298" s="1" t="n">
        <f aca="false">SUM(H1298:K1298)</f>
        <v>1</v>
      </c>
      <c r="M1298" s="1" t="str">
        <f aca="false">IF(L1298&gt;=2,"High",IF(L1298=1,"Medium","Low"))</f>
        <v>Medium</v>
      </c>
    </row>
    <row r="1299" customFormat="false" ht="15" hidden="false" customHeight="true" outlineLevel="0" collapsed="false">
      <c r="A1299" s="1" t="str">
        <f aca="false">Transactions!A1299</f>
        <v>TXN500544</v>
      </c>
      <c r="B1299" s="1" t="str">
        <f aca="false">Transactions!B1299</f>
        <v>ACC1024</v>
      </c>
      <c r="C1299" s="1" t="str">
        <f aca="false">Transactions!I1299</f>
        <v>2026-03-20</v>
      </c>
      <c r="D1299" s="1" t="n">
        <f aca="false">Transactions!J1299</f>
        <v>21</v>
      </c>
      <c r="E1299" s="1" t="n">
        <f aca="false">Transactions!D1299</f>
        <v>244.06</v>
      </c>
      <c r="F1299" s="1" t="str">
        <f aca="false">Transactions!H1299</f>
        <v>POS</v>
      </c>
      <c r="G1299" s="1" t="str">
        <f aca="false">Transactions!G1299</f>
        <v>Cash Withdrawal</v>
      </c>
      <c r="H1299" s="1" t="n">
        <f aca="false">IF(COUNTIFS($B$2:$B$1489,B1299,$C$2:$C$1489,C1299,$D$2:$D$1489,D1299)&gt;6,1,0)</f>
        <v>0</v>
      </c>
      <c r="I1299" s="1" t="n">
        <f aca="false">IF(AND(F1299="Wire",E1299&gt;=1000,MOD(E1299,1000)=0),1,0)</f>
        <v>0</v>
      </c>
      <c r="J1299" s="1" t="n">
        <f aca="false">IF(AND(F1299="ATM",E1299&gt;2000,D1299&lt;=4),1,0)</f>
        <v>0</v>
      </c>
      <c r="K1299" s="1" t="n">
        <f aca="false">IF(COUNTIF('SQL Findings'!$A$4:$A$18,B1299)&gt;0,1,0)</f>
        <v>1</v>
      </c>
      <c r="L1299" s="1" t="n">
        <f aca="false">SUM(H1299:K1299)</f>
        <v>1</v>
      </c>
      <c r="M1299" s="1" t="str">
        <f aca="false">IF(L1299&gt;=2,"High",IF(L1299=1,"Medium","Low"))</f>
        <v>Medium</v>
      </c>
    </row>
    <row r="1300" customFormat="false" ht="15" hidden="false" customHeight="true" outlineLevel="0" collapsed="false">
      <c r="A1300" s="1" t="str">
        <f aca="false">Transactions!A1300</f>
        <v>TXN501342</v>
      </c>
      <c r="B1300" s="1" t="str">
        <f aca="false">Transactions!B1300</f>
        <v>ACC1058</v>
      </c>
      <c r="C1300" s="1" t="str">
        <f aca="false">Transactions!I1300</f>
        <v>2026-03-21</v>
      </c>
      <c r="D1300" s="1" t="n">
        <f aca="false">Transactions!J1300</f>
        <v>1</v>
      </c>
      <c r="E1300" s="1" t="n">
        <f aca="false">Transactions!D1300</f>
        <v>66.87</v>
      </c>
      <c r="F1300" s="1" t="str">
        <f aca="false">Transactions!H1300</f>
        <v>POS</v>
      </c>
      <c r="G1300" s="1" t="str">
        <f aca="false">Transactions!G1300</f>
        <v>Electronics</v>
      </c>
      <c r="H1300" s="1" t="n">
        <f aca="false">IF(COUNTIFS($B$2:$B$1489,B1300,$C$2:$C$1489,C1300,$D$2:$D$1489,D1300)&gt;6,1,0)</f>
        <v>0</v>
      </c>
      <c r="I1300" s="1" t="n">
        <f aca="false">IF(AND(F1300="Wire",E1300&gt;=1000,MOD(E1300,1000)=0),1,0)</f>
        <v>0</v>
      </c>
      <c r="J1300" s="1" t="n">
        <f aca="false">IF(AND(F1300="ATM",E1300&gt;2000,D1300&lt;=4),1,0)</f>
        <v>0</v>
      </c>
      <c r="K1300" s="1" t="n">
        <f aca="false">IF(COUNTIF('SQL Findings'!$A$4:$A$18,B1300)&gt;0,1,0)</f>
        <v>0</v>
      </c>
      <c r="L1300" s="1" t="n">
        <f aca="false">SUM(H1300:K1300)</f>
        <v>0</v>
      </c>
      <c r="M1300" s="1" t="str">
        <f aca="false">IF(L1300&gt;=2,"High",IF(L1300=1,"Medium","Low"))</f>
        <v>Low</v>
      </c>
    </row>
    <row r="1301" customFormat="false" ht="15" hidden="false" customHeight="true" outlineLevel="0" collapsed="false">
      <c r="A1301" s="1" t="str">
        <f aca="false">Transactions!A1301</f>
        <v>TXN500841</v>
      </c>
      <c r="B1301" s="1" t="str">
        <f aca="false">Transactions!B1301</f>
        <v>ACC1035</v>
      </c>
      <c r="C1301" s="1" t="str">
        <f aca="false">Transactions!I1301</f>
        <v>2026-03-21</v>
      </c>
      <c r="D1301" s="1" t="n">
        <f aca="false">Transactions!J1301</f>
        <v>2</v>
      </c>
      <c r="E1301" s="1" t="n">
        <f aca="false">Transactions!D1301</f>
        <v>63.78</v>
      </c>
      <c r="F1301" s="1" t="str">
        <f aca="false">Transactions!H1301</f>
        <v>ATM</v>
      </c>
      <c r="G1301" s="1" t="str">
        <f aca="false">Transactions!G1301</f>
        <v>Electronics</v>
      </c>
      <c r="H1301" s="1" t="n">
        <f aca="false">IF(COUNTIFS($B$2:$B$1489,B1301,$C$2:$C$1489,C1301,$D$2:$D$1489,D1301)&gt;6,1,0)</f>
        <v>0</v>
      </c>
      <c r="I1301" s="1" t="n">
        <f aca="false">IF(AND(F1301="Wire",E1301&gt;=1000,MOD(E1301,1000)=0),1,0)</f>
        <v>0</v>
      </c>
      <c r="J1301" s="1" t="n">
        <f aca="false">IF(AND(F1301="ATM",E1301&gt;2000,D1301&lt;=4),1,0)</f>
        <v>0</v>
      </c>
      <c r="K1301" s="1" t="n">
        <f aca="false">IF(COUNTIF('SQL Findings'!$A$4:$A$18,B1301)&gt;0,1,0)</f>
        <v>0</v>
      </c>
      <c r="L1301" s="1" t="n">
        <f aca="false">SUM(H1301:K1301)</f>
        <v>0</v>
      </c>
      <c r="M1301" s="1" t="str">
        <f aca="false">IF(L1301&gt;=2,"High",IF(L1301=1,"Medium","Low"))</f>
        <v>Low</v>
      </c>
    </row>
    <row r="1302" customFormat="false" ht="15" hidden="false" customHeight="true" outlineLevel="0" collapsed="false">
      <c r="A1302" s="1" t="str">
        <f aca="false">Transactions!A1302</f>
        <v>TXN500279</v>
      </c>
      <c r="B1302" s="1" t="str">
        <f aca="false">Transactions!B1302</f>
        <v>ACC1012</v>
      </c>
      <c r="C1302" s="1" t="str">
        <f aca="false">Transactions!I1302</f>
        <v>2026-03-21</v>
      </c>
      <c r="D1302" s="1" t="n">
        <f aca="false">Transactions!J1302</f>
        <v>2</v>
      </c>
      <c r="E1302" s="1" t="n">
        <f aca="false">Transactions!D1302</f>
        <v>71.01</v>
      </c>
      <c r="F1302" s="1" t="str">
        <f aca="false">Transactions!H1302</f>
        <v>Online</v>
      </c>
      <c r="G1302" s="1" t="str">
        <f aca="false">Transactions!G1302</f>
        <v>Utilities</v>
      </c>
      <c r="H1302" s="1" t="n">
        <f aca="false">IF(COUNTIFS($B$2:$B$1489,B1302,$C$2:$C$1489,C1302,$D$2:$D$1489,D1302)&gt;6,1,0)</f>
        <v>0</v>
      </c>
      <c r="I1302" s="1" t="n">
        <f aca="false">IF(AND(F1302="Wire",E1302&gt;=1000,MOD(E1302,1000)=0),1,0)</f>
        <v>0</v>
      </c>
      <c r="J1302" s="1" t="n">
        <f aca="false">IF(AND(F1302="ATM",E1302&gt;2000,D1302&lt;=4),1,0)</f>
        <v>0</v>
      </c>
      <c r="K1302" s="1" t="n">
        <f aca="false">IF(COUNTIF('SQL Findings'!$A$4:$A$18,B1302)&gt;0,1,0)</f>
        <v>0</v>
      </c>
      <c r="L1302" s="1" t="n">
        <f aca="false">SUM(H1302:K1302)</f>
        <v>0</v>
      </c>
      <c r="M1302" s="1" t="str">
        <f aca="false">IF(L1302&gt;=2,"High",IF(L1302=1,"Medium","Low"))</f>
        <v>Low</v>
      </c>
    </row>
    <row r="1303" customFormat="false" ht="15" hidden="false" customHeight="true" outlineLevel="0" collapsed="false">
      <c r="A1303" s="1" t="str">
        <f aca="false">Transactions!A1303</f>
        <v>TXN500957</v>
      </c>
      <c r="B1303" s="1" t="str">
        <f aca="false">Transactions!B1303</f>
        <v>ACC1042</v>
      </c>
      <c r="C1303" s="1" t="str">
        <f aca="false">Transactions!I1303</f>
        <v>2026-03-21</v>
      </c>
      <c r="D1303" s="1" t="n">
        <f aca="false">Transactions!J1303</f>
        <v>3</v>
      </c>
      <c r="E1303" s="1" t="n">
        <f aca="false">Transactions!D1303</f>
        <v>90.78</v>
      </c>
      <c r="F1303" s="1" t="str">
        <f aca="false">Transactions!H1303</f>
        <v>Online</v>
      </c>
      <c r="G1303" s="1" t="str">
        <f aca="false">Transactions!G1303</f>
        <v>Cash Withdrawal</v>
      </c>
      <c r="H1303" s="1" t="n">
        <f aca="false">IF(COUNTIFS($B$2:$B$1489,B1303,$C$2:$C$1489,C1303,$D$2:$D$1489,D1303)&gt;6,1,0)</f>
        <v>0</v>
      </c>
      <c r="I1303" s="1" t="n">
        <f aca="false">IF(AND(F1303="Wire",E1303&gt;=1000,MOD(E1303,1000)=0),1,0)</f>
        <v>0</v>
      </c>
      <c r="J1303" s="1" t="n">
        <f aca="false">IF(AND(F1303="ATM",E1303&gt;2000,D1303&lt;=4),1,0)</f>
        <v>0</v>
      </c>
      <c r="K1303" s="1" t="n">
        <f aca="false">IF(COUNTIF('SQL Findings'!$A$4:$A$18,B1303)&gt;0,1,0)</f>
        <v>1</v>
      </c>
      <c r="L1303" s="1" t="n">
        <f aca="false">SUM(H1303:K1303)</f>
        <v>1</v>
      </c>
      <c r="M1303" s="1" t="str">
        <f aca="false">IF(L1303&gt;=2,"High",IF(L1303=1,"Medium","Low"))</f>
        <v>Medium</v>
      </c>
    </row>
    <row r="1304" customFormat="false" ht="15" hidden="false" customHeight="true" outlineLevel="0" collapsed="false">
      <c r="A1304" s="1" t="str">
        <f aca="false">Transactions!A1304</f>
        <v>TXN500847</v>
      </c>
      <c r="B1304" s="1" t="str">
        <f aca="false">Transactions!B1304</f>
        <v>ACC1036</v>
      </c>
      <c r="C1304" s="1" t="str">
        <f aca="false">Transactions!I1304</f>
        <v>2026-03-21</v>
      </c>
      <c r="D1304" s="1" t="n">
        <f aca="false">Transactions!J1304</f>
        <v>5</v>
      </c>
      <c r="E1304" s="1" t="n">
        <f aca="false">Transactions!D1304</f>
        <v>86.51</v>
      </c>
      <c r="F1304" s="1" t="str">
        <f aca="false">Transactions!H1304</f>
        <v>Online</v>
      </c>
      <c r="G1304" s="1" t="str">
        <f aca="false">Transactions!G1304</f>
        <v>Electronics</v>
      </c>
      <c r="H1304" s="1" t="n">
        <f aca="false">IF(COUNTIFS($B$2:$B$1489,B1304,$C$2:$C$1489,C1304,$D$2:$D$1489,D1304)&gt;6,1,0)</f>
        <v>0</v>
      </c>
      <c r="I1304" s="1" t="n">
        <f aca="false">IF(AND(F1304="Wire",E1304&gt;=1000,MOD(E1304,1000)=0),1,0)</f>
        <v>0</v>
      </c>
      <c r="J1304" s="1" t="n">
        <f aca="false">IF(AND(F1304="ATM",E1304&gt;2000,D1304&lt;=4),1,0)</f>
        <v>0</v>
      </c>
      <c r="K1304" s="1" t="n">
        <f aca="false">IF(COUNTIF('SQL Findings'!$A$4:$A$18,B1304)&gt;0,1,0)</f>
        <v>0</v>
      </c>
      <c r="L1304" s="1" t="n">
        <f aca="false">SUM(H1304:K1304)</f>
        <v>0</v>
      </c>
      <c r="M1304" s="1" t="str">
        <f aca="false">IF(L1304&gt;=2,"High",IF(L1304=1,"Medium","Low"))</f>
        <v>Low</v>
      </c>
    </row>
    <row r="1305" customFormat="false" ht="15" hidden="false" customHeight="true" outlineLevel="0" collapsed="false">
      <c r="A1305" s="1" t="str">
        <f aca="false">Transactions!A1305</f>
        <v>TXN500257</v>
      </c>
      <c r="B1305" s="1" t="str">
        <f aca="false">Transactions!B1305</f>
        <v>ACC1011</v>
      </c>
      <c r="C1305" s="1" t="str">
        <f aca="false">Transactions!I1305</f>
        <v>2026-03-21</v>
      </c>
      <c r="D1305" s="1" t="n">
        <f aca="false">Transactions!J1305</f>
        <v>14</v>
      </c>
      <c r="E1305" s="1" t="n">
        <f aca="false">Transactions!D1305</f>
        <v>208.56</v>
      </c>
      <c r="F1305" s="1" t="str">
        <f aca="false">Transactions!H1305</f>
        <v>Online</v>
      </c>
      <c r="G1305" s="1" t="str">
        <f aca="false">Transactions!G1305</f>
        <v>Cash Withdrawal</v>
      </c>
      <c r="H1305" s="1" t="n">
        <f aca="false">IF(COUNTIFS($B$2:$B$1489,B1305,$C$2:$C$1489,C1305,$D$2:$D$1489,D1305)&gt;6,1,0)</f>
        <v>0</v>
      </c>
      <c r="I1305" s="1" t="n">
        <f aca="false">IF(AND(F1305="Wire",E1305&gt;=1000,MOD(E1305,1000)=0),1,0)</f>
        <v>0</v>
      </c>
      <c r="J1305" s="1" t="n">
        <f aca="false">IF(AND(F1305="ATM",E1305&gt;2000,D1305&lt;=4),1,0)</f>
        <v>0</v>
      </c>
      <c r="K1305" s="1" t="n">
        <f aca="false">IF(COUNTIF('SQL Findings'!$A$4:$A$18,B1305)&gt;0,1,0)</f>
        <v>0</v>
      </c>
      <c r="L1305" s="1" t="n">
        <f aca="false">SUM(H1305:K1305)</f>
        <v>0</v>
      </c>
      <c r="M1305" s="1" t="str">
        <f aca="false">IF(L1305&gt;=2,"High",IF(L1305=1,"Medium","Low"))</f>
        <v>Low</v>
      </c>
    </row>
    <row r="1306" customFormat="false" ht="15" hidden="false" customHeight="true" outlineLevel="0" collapsed="false">
      <c r="A1306" s="1" t="str">
        <f aca="false">Transactions!A1306</f>
        <v>TXN500232</v>
      </c>
      <c r="B1306" s="1" t="str">
        <f aca="false">Transactions!B1306</f>
        <v>ACC1010</v>
      </c>
      <c r="C1306" s="1" t="str">
        <f aca="false">Transactions!I1306</f>
        <v>2026-03-21</v>
      </c>
      <c r="D1306" s="1" t="n">
        <f aca="false">Transactions!J1306</f>
        <v>18</v>
      </c>
      <c r="E1306" s="1" t="n">
        <f aca="false">Transactions!D1306</f>
        <v>81.03</v>
      </c>
      <c r="F1306" s="1" t="str">
        <f aca="false">Transactions!H1306</f>
        <v>ATM</v>
      </c>
      <c r="G1306" s="1" t="str">
        <f aca="false">Transactions!G1306</f>
        <v>Cash Withdrawal</v>
      </c>
      <c r="H1306" s="1" t="n">
        <f aca="false">IF(COUNTIFS($B$2:$B$1489,B1306,$C$2:$C$1489,C1306,$D$2:$D$1489,D1306)&gt;6,1,0)</f>
        <v>0</v>
      </c>
      <c r="I1306" s="1" t="n">
        <f aca="false">IF(AND(F1306="Wire",E1306&gt;=1000,MOD(E1306,1000)=0),1,0)</f>
        <v>0</v>
      </c>
      <c r="J1306" s="1" t="n">
        <f aca="false">IF(AND(F1306="ATM",E1306&gt;2000,D1306&lt;=4),1,0)</f>
        <v>0</v>
      </c>
      <c r="K1306" s="1" t="n">
        <f aca="false">IF(COUNTIF('SQL Findings'!$A$4:$A$18,B1306)&gt;0,1,0)</f>
        <v>0</v>
      </c>
      <c r="L1306" s="1" t="n">
        <f aca="false">SUM(H1306:K1306)</f>
        <v>0</v>
      </c>
      <c r="M1306" s="1" t="str">
        <f aca="false">IF(L1306&gt;=2,"High",IF(L1306=1,"Medium","Low"))</f>
        <v>Low</v>
      </c>
    </row>
    <row r="1307" customFormat="false" ht="15" hidden="false" customHeight="true" outlineLevel="0" collapsed="false">
      <c r="A1307" s="1" t="str">
        <f aca="false">Transactions!A1307</f>
        <v>TXN500967</v>
      </c>
      <c r="B1307" s="1" t="str">
        <f aca="false">Transactions!B1307</f>
        <v>ACC1042</v>
      </c>
      <c r="C1307" s="1" t="str">
        <f aca="false">Transactions!I1307</f>
        <v>2026-03-22</v>
      </c>
      <c r="D1307" s="1" t="n">
        <f aca="false">Transactions!J1307</f>
        <v>1</v>
      </c>
      <c r="E1307" s="1" t="n">
        <f aca="false">Transactions!D1307</f>
        <v>36.28</v>
      </c>
      <c r="F1307" s="1" t="str">
        <f aca="false">Transactions!H1307</f>
        <v>ATM</v>
      </c>
      <c r="G1307" s="1" t="str">
        <f aca="false">Transactions!G1307</f>
        <v>Wire Transfer</v>
      </c>
      <c r="H1307" s="1" t="n">
        <f aca="false">IF(COUNTIFS($B$2:$B$1489,B1307,$C$2:$C$1489,C1307,$D$2:$D$1489,D1307)&gt;6,1,0)</f>
        <v>0</v>
      </c>
      <c r="I1307" s="1" t="n">
        <f aca="false">IF(AND(F1307="Wire",E1307&gt;=1000,MOD(E1307,1000)=0),1,0)</f>
        <v>0</v>
      </c>
      <c r="J1307" s="1" t="n">
        <f aca="false">IF(AND(F1307="ATM",E1307&gt;2000,D1307&lt;=4),1,0)</f>
        <v>0</v>
      </c>
      <c r="K1307" s="1" t="n">
        <f aca="false">IF(COUNTIF('SQL Findings'!$A$4:$A$18,B1307)&gt;0,1,0)</f>
        <v>1</v>
      </c>
      <c r="L1307" s="1" t="n">
        <f aca="false">SUM(H1307:K1307)</f>
        <v>1</v>
      </c>
      <c r="M1307" s="1" t="str">
        <f aca="false">IF(L1307&gt;=2,"High",IF(L1307=1,"Medium","Low"))</f>
        <v>Medium</v>
      </c>
    </row>
    <row r="1308" customFormat="false" ht="15" hidden="false" customHeight="true" outlineLevel="0" collapsed="false">
      <c r="A1308" s="1" t="str">
        <f aca="false">Transactions!A1308</f>
        <v>TXN500030</v>
      </c>
      <c r="B1308" s="1" t="str">
        <f aca="false">Transactions!B1308</f>
        <v>ACC1001</v>
      </c>
      <c r="C1308" s="1" t="str">
        <f aca="false">Transactions!I1308</f>
        <v>2026-03-22</v>
      </c>
      <c r="D1308" s="1" t="n">
        <f aca="false">Transactions!J1308</f>
        <v>2</v>
      </c>
      <c r="E1308" s="1" t="n">
        <f aca="false">Transactions!D1308</f>
        <v>51.29</v>
      </c>
      <c r="F1308" s="1" t="str">
        <f aca="false">Transactions!H1308</f>
        <v>Online</v>
      </c>
      <c r="G1308" s="1" t="str">
        <f aca="false">Transactions!G1308</f>
        <v>Retail</v>
      </c>
      <c r="H1308" s="1" t="n">
        <f aca="false">IF(COUNTIFS($B$2:$B$1489,B1308,$C$2:$C$1489,C1308,$D$2:$D$1489,D1308)&gt;6,1,0)</f>
        <v>0</v>
      </c>
      <c r="I1308" s="1" t="n">
        <f aca="false">IF(AND(F1308="Wire",E1308&gt;=1000,MOD(E1308,1000)=0),1,0)</f>
        <v>0</v>
      </c>
      <c r="J1308" s="1" t="n">
        <f aca="false">IF(AND(F1308="ATM",E1308&gt;2000,D1308&lt;=4),1,0)</f>
        <v>0</v>
      </c>
      <c r="K1308" s="1" t="n">
        <f aca="false">IF(COUNTIF('SQL Findings'!$A$4:$A$18,B1308)&gt;0,1,0)</f>
        <v>1</v>
      </c>
      <c r="L1308" s="1" t="n">
        <f aca="false">SUM(H1308:K1308)</f>
        <v>1</v>
      </c>
      <c r="M1308" s="1" t="str">
        <f aca="false">IF(L1308&gt;=2,"High",IF(L1308=1,"Medium","Low"))</f>
        <v>Medium</v>
      </c>
    </row>
    <row r="1309" customFormat="false" ht="15" hidden="false" customHeight="true" outlineLevel="0" collapsed="false">
      <c r="A1309" s="1" t="str">
        <f aca="false">Transactions!A1309</f>
        <v>TXN500966</v>
      </c>
      <c r="B1309" s="1" t="str">
        <f aca="false">Transactions!B1309</f>
        <v>ACC1042</v>
      </c>
      <c r="C1309" s="1" t="str">
        <f aca="false">Transactions!I1309</f>
        <v>2026-03-22</v>
      </c>
      <c r="D1309" s="1" t="n">
        <f aca="false">Transactions!J1309</f>
        <v>3</v>
      </c>
      <c r="E1309" s="1" t="n">
        <f aca="false">Transactions!D1309</f>
        <v>243.74</v>
      </c>
      <c r="F1309" s="1" t="str">
        <f aca="false">Transactions!H1309</f>
        <v>ATM</v>
      </c>
      <c r="G1309" s="1" t="str">
        <f aca="false">Transactions!G1309</f>
        <v>Retail</v>
      </c>
      <c r="H1309" s="1" t="n">
        <f aca="false">IF(COUNTIFS($B$2:$B$1489,B1309,$C$2:$C$1489,C1309,$D$2:$D$1489,D1309)&gt;6,1,0)</f>
        <v>0</v>
      </c>
      <c r="I1309" s="1" t="n">
        <f aca="false">IF(AND(F1309="Wire",E1309&gt;=1000,MOD(E1309,1000)=0),1,0)</f>
        <v>0</v>
      </c>
      <c r="J1309" s="1" t="n">
        <f aca="false">IF(AND(F1309="ATM",E1309&gt;2000,D1309&lt;=4),1,0)</f>
        <v>0</v>
      </c>
      <c r="K1309" s="1" t="n">
        <f aca="false">IF(COUNTIF('SQL Findings'!$A$4:$A$18,B1309)&gt;0,1,0)</f>
        <v>1</v>
      </c>
      <c r="L1309" s="1" t="n">
        <f aca="false">SUM(H1309:K1309)</f>
        <v>1</v>
      </c>
      <c r="M1309" s="1" t="str">
        <f aca="false">IF(L1309&gt;=2,"High",IF(L1309=1,"Medium","Low"))</f>
        <v>Medium</v>
      </c>
    </row>
    <row r="1310" customFormat="false" ht="15" hidden="false" customHeight="true" outlineLevel="0" collapsed="false">
      <c r="A1310" s="1" t="str">
        <f aca="false">Transactions!A1310</f>
        <v>TXN500772</v>
      </c>
      <c r="B1310" s="1" t="str">
        <f aca="false">Transactions!B1310</f>
        <v>ACC1033</v>
      </c>
      <c r="C1310" s="1" t="str">
        <f aca="false">Transactions!I1310</f>
        <v>2026-03-22</v>
      </c>
      <c r="D1310" s="1" t="n">
        <f aca="false">Transactions!J1310</f>
        <v>6</v>
      </c>
      <c r="E1310" s="1" t="n">
        <f aca="false">Transactions!D1310</f>
        <v>40.2</v>
      </c>
      <c r="F1310" s="1" t="str">
        <f aca="false">Transactions!H1310</f>
        <v>Online</v>
      </c>
      <c r="G1310" s="1" t="str">
        <f aca="false">Transactions!G1310</f>
        <v>Utilities</v>
      </c>
      <c r="H1310" s="1" t="n">
        <f aca="false">IF(COUNTIFS($B$2:$B$1489,B1310,$C$2:$C$1489,C1310,$D$2:$D$1489,D1310)&gt;6,1,0)</f>
        <v>0</v>
      </c>
      <c r="I1310" s="1" t="n">
        <f aca="false">IF(AND(F1310="Wire",E1310&gt;=1000,MOD(E1310,1000)=0),1,0)</f>
        <v>0</v>
      </c>
      <c r="J1310" s="1" t="n">
        <f aca="false">IF(AND(F1310="ATM",E1310&gt;2000,D1310&lt;=4),1,0)</f>
        <v>0</v>
      </c>
      <c r="K1310" s="1" t="n">
        <f aca="false">IF(COUNTIF('SQL Findings'!$A$4:$A$18,B1310)&gt;0,1,0)</f>
        <v>0</v>
      </c>
      <c r="L1310" s="1" t="n">
        <f aca="false">SUM(H1310:K1310)</f>
        <v>0</v>
      </c>
      <c r="M1310" s="1" t="str">
        <f aca="false">IF(L1310&gt;=2,"High",IF(L1310=1,"Medium","Low"))</f>
        <v>Low</v>
      </c>
    </row>
    <row r="1311" customFormat="false" ht="15" hidden="false" customHeight="true" outlineLevel="0" collapsed="false">
      <c r="A1311" s="1" t="str">
        <f aca="false">Transactions!A1311</f>
        <v>TXN501236</v>
      </c>
      <c r="B1311" s="1" t="str">
        <f aca="false">Transactions!B1311</f>
        <v>ACC1054</v>
      </c>
      <c r="C1311" s="1" t="str">
        <f aca="false">Transactions!I1311</f>
        <v>2026-03-22</v>
      </c>
      <c r="D1311" s="1" t="n">
        <f aca="false">Transactions!J1311</f>
        <v>6</v>
      </c>
      <c r="E1311" s="1" t="n">
        <f aca="false">Transactions!D1311</f>
        <v>291.55</v>
      </c>
      <c r="F1311" s="1" t="str">
        <f aca="false">Transactions!H1311</f>
        <v>POS</v>
      </c>
      <c r="G1311" s="1" t="str">
        <f aca="false">Transactions!G1311</f>
        <v>Travel</v>
      </c>
      <c r="H1311" s="1" t="n">
        <f aca="false">IF(COUNTIFS($B$2:$B$1489,B1311,$C$2:$C$1489,C1311,$D$2:$D$1489,D1311)&gt;6,1,0)</f>
        <v>0</v>
      </c>
      <c r="I1311" s="1" t="n">
        <f aca="false">IF(AND(F1311="Wire",E1311&gt;=1000,MOD(E1311,1000)=0),1,0)</f>
        <v>0</v>
      </c>
      <c r="J1311" s="1" t="n">
        <f aca="false">IF(AND(F1311="ATM",E1311&gt;2000,D1311&lt;=4),1,0)</f>
        <v>0</v>
      </c>
      <c r="K1311" s="1" t="n">
        <f aca="false">IF(COUNTIF('SQL Findings'!$A$4:$A$18,B1311)&gt;0,1,0)</f>
        <v>0</v>
      </c>
      <c r="L1311" s="1" t="n">
        <f aca="false">SUM(H1311:K1311)</f>
        <v>0</v>
      </c>
      <c r="M1311" s="1" t="str">
        <f aca="false">IF(L1311&gt;=2,"High",IF(L1311=1,"Medium","Low"))</f>
        <v>Low</v>
      </c>
    </row>
    <row r="1312" customFormat="false" ht="15" hidden="false" customHeight="true" outlineLevel="0" collapsed="false">
      <c r="A1312" s="1" t="str">
        <f aca="false">Transactions!A1312</f>
        <v>TXN500302</v>
      </c>
      <c r="B1312" s="1" t="str">
        <f aca="false">Transactions!B1312</f>
        <v>ACC1013</v>
      </c>
      <c r="C1312" s="1" t="str">
        <f aca="false">Transactions!I1312</f>
        <v>2026-03-22</v>
      </c>
      <c r="D1312" s="1" t="n">
        <f aca="false">Transactions!J1312</f>
        <v>8</v>
      </c>
      <c r="E1312" s="1" t="n">
        <f aca="false">Transactions!D1312</f>
        <v>40.28</v>
      </c>
      <c r="F1312" s="1" t="str">
        <f aca="false">Transactions!H1312</f>
        <v>Online</v>
      </c>
      <c r="G1312" s="1" t="str">
        <f aca="false">Transactions!G1312</f>
        <v>Retail</v>
      </c>
      <c r="H1312" s="1" t="n">
        <f aca="false">IF(COUNTIFS($B$2:$B$1489,B1312,$C$2:$C$1489,C1312,$D$2:$D$1489,D1312)&gt;6,1,0)</f>
        <v>0</v>
      </c>
      <c r="I1312" s="1" t="n">
        <f aca="false">IF(AND(F1312="Wire",E1312&gt;=1000,MOD(E1312,1000)=0),1,0)</f>
        <v>0</v>
      </c>
      <c r="J1312" s="1" t="n">
        <f aca="false">IF(AND(F1312="ATM",E1312&gt;2000,D1312&lt;=4),1,0)</f>
        <v>0</v>
      </c>
      <c r="K1312" s="1" t="n">
        <f aca="false">IF(COUNTIF('SQL Findings'!$A$4:$A$18,B1312)&gt;0,1,0)</f>
        <v>0</v>
      </c>
      <c r="L1312" s="1" t="n">
        <f aca="false">SUM(H1312:K1312)</f>
        <v>0</v>
      </c>
      <c r="M1312" s="1" t="str">
        <f aca="false">IF(L1312&gt;=2,"High",IF(L1312=1,"Medium","Low"))</f>
        <v>Low</v>
      </c>
    </row>
    <row r="1313" customFormat="false" ht="15" hidden="false" customHeight="true" outlineLevel="0" collapsed="false">
      <c r="A1313" s="1" t="str">
        <f aca="false">Transactions!A1313</f>
        <v>TXN500392</v>
      </c>
      <c r="B1313" s="1" t="str">
        <f aca="false">Transactions!B1313</f>
        <v>ACC1017</v>
      </c>
      <c r="C1313" s="1" t="str">
        <f aca="false">Transactions!I1313</f>
        <v>2026-03-22</v>
      </c>
      <c r="D1313" s="1" t="n">
        <f aca="false">Transactions!J1313</f>
        <v>8</v>
      </c>
      <c r="E1313" s="1" t="n">
        <f aca="false">Transactions!D1313</f>
        <v>103.83</v>
      </c>
      <c r="F1313" s="1" t="str">
        <f aca="false">Transactions!H1313</f>
        <v>ATM</v>
      </c>
      <c r="G1313" s="1" t="str">
        <f aca="false">Transactions!G1313</f>
        <v>Electronics</v>
      </c>
      <c r="H1313" s="1" t="n">
        <f aca="false">IF(COUNTIFS($B$2:$B$1489,B1313,$C$2:$C$1489,C1313,$D$2:$D$1489,D1313)&gt;6,1,0)</f>
        <v>0</v>
      </c>
      <c r="I1313" s="1" t="n">
        <f aca="false">IF(AND(F1313="Wire",E1313&gt;=1000,MOD(E1313,1000)=0),1,0)</f>
        <v>0</v>
      </c>
      <c r="J1313" s="1" t="n">
        <f aca="false">IF(AND(F1313="ATM",E1313&gt;2000,D1313&lt;=4),1,0)</f>
        <v>0</v>
      </c>
      <c r="K1313" s="1" t="n">
        <f aca="false">IF(COUNTIF('SQL Findings'!$A$4:$A$18,B1313)&gt;0,1,0)</f>
        <v>0</v>
      </c>
      <c r="L1313" s="1" t="n">
        <f aca="false">SUM(H1313:K1313)</f>
        <v>0</v>
      </c>
      <c r="M1313" s="1" t="str">
        <f aca="false">IF(L1313&gt;=2,"High",IF(L1313=1,"Medium","Low"))</f>
        <v>Low</v>
      </c>
    </row>
    <row r="1314" customFormat="false" ht="15" hidden="false" customHeight="true" outlineLevel="0" collapsed="false">
      <c r="A1314" s="1" t="str">
        <f aca="false">Transactions!A1314</f>
        <v>TXN500635</v>
      </c>
      <c r="B1314" s="1" t="str">
        <f aca="false">Transactions!B1314</f>
        <v>ACC1027</v>
      </c>
      <c r="C1314" s="1" t="str">
        <f aca="false">Transactions!I1314</f>
        <v>2026-03-22</v>
      </c>
      <c r="D1314" s="1" t="n">
        <f aca="false">Transactions!J1314</f>
        <v>8</v>
      </c>
      <c r="E1314" s="1" t="n">
        <f aca="false">Transactions!D1314</f>
        <v>26.82</v>
      </c>
      <c r="F1314" s="1" t="str">
        <f aca="false">Transactions!H1314</f>
        <v>Online</v>
      </c>
      <c r="G1314" s="1" t="str">
        <f aca="false">Transactions!G1314</f>
        <v>Dining</v>
      </c>
      <c r="H1314" s="1" t="n">
        <f aca="false">IF(COUNTIFS($B$2:$B$1489,B1314,$C$2:$C$1489,C1314,$D$2:$D$1489,D1314)&gt;6,1,0)</f>
        <v>0</v>
      </c>
      <c r="I1314" s="1" t="n">
        <f aca="false">IF(AND(F1314="Wire",E1314&gt;=1000,MOD(E1314,1000)=0),1,0)</f>
        <v>0</v>
      </c>
      <c r="J1314" s="1" t="n">
        <f aca="false">IF(AND(F1314="ATM",E1314&gt;2000,D1314&lt;=4),1,0)</f>
        <v>0</v>
      </c>
      <c r="K1314" s="1" t="n">
        <f aca="false">IF(COUNTIF('SQL Findings'!$A$4:$A$18,B1314)&gt;0,1,0)</f>
        <v>0</v>
      </c>
      <c r="L1314" s="1" t="n">
        <f aca="false">SUM(H1314:K1314)</f>
        <v>0</v>
      </c>
      <c r="M1314" s="1" t="str">
        <f aca="false">IF(L1314&gt;=2,"High",IF(L1314=1,"Medium","Low"))</f>
        <v>Low</v>
      </c>
    </row>
    <row r="1315" customFormat="false" ht="15" hidden="false" customHeight="true" outlineLevel="0" collapsed="false">
      <c r="A1315" s="1" t="str">
        <f aca="false">Transactions!A1315</f>
        <v>TXN501166</v>
      </c>
      <c r="B1315" s="1" t="str">
        <f aca="false">Transactions!B1315</f>
        <v>ACC1051</v>
      </c>
      <c r="C1315" s="1" t="str">
        <f aca="false">Transactions!I1315</f>
        <v>2026-03-22</v>
      </c>
      <c r="D1315" s="1" t="n">
        <f aca="false">Transactions!J1315</f>
        <v>10</v>
      </c>
      <c r="E1315" s="1" t="n">
        <f aca="false">Transactions!D1315</f>
        <v>599.31</v>
      </c>
      <c r="F1315" s="1" t="str">
        <f aca="false">Transactions!H1315</f>
        <v>Online</v>
      </c>
      <c r="G1315" s="1" t="str">
        <f aca="false">Transactions!G1315</f>
        <v>Retail</v>
      </c>
      <c r="H1315" s="1" t="n">
        <f aca="false">IF(COUNTIFS($B$2:$B$1489,B1315,$C$2:$C$1489,C1315,$D$2:$D$1489,D1315)&gt;6,1,0)</f>
        <v>0</v>
      </c>
      <c r="I1315" s="1" t="n">
        <f aca="false">IF(AND(F1315="Wire",E1315&gt;=1000,MOD(E1315,1000)=0),1,0)</f>
        <v>0</v>
      </c>
      <c r="J1315" s="1" t="n">
        <f aca="false">IF(AND(F1315="ATM",E1315&gt;2000,D1315&lt;=4),1,0)</f>
        <v>0</v>
      </c>
      <c r="K1315" s="1" t="n">
        <f aca="false">IF(COUNTIF('SQL Findings'!$A$4:$A$18,B1315)&gt;0,1,0)</f>
        <v>0</v>
      </c>
      <c r="L1315" s="1" t="n">
        <f aca="false">SUM(H1315:K1315)</f>
        <v>0</v>
      </c>
      <c r="M1315" s="1" t="str">
        <f aca="false">IF(L1315&gt;=2,"High",IF(L1315=1,"Medium","Low"))</f>
        <v>Low</v>
      </c>
    </row>
    <row r="1316" customFormat="false" ht="15" hidden="false" customHeight="true" outlineLevel="0" collapsed="false">
      <c r="A1316" s="1" t="str">
        <f aca="false">Transactions!A1316</f>
        <v>TXN501269</v>
      </c>
      <c r="B1316" s="1" t="str">
        <f aca="false">Transactions!B1316</f>
        <v>ACC1055</v>
      </c>
      <c r="C1316" s="1" t="str">
        <f aca="false">Transactions!I1316</f>
        <v>2026-03-22</v>
      </c>
      <c r="D1316" s="1" t="n">
        <f aca="false">Transactions!J1316</f>
        <v>12</v>
      </c>
      <c r="E1316" s="1" t="n">
        <f aca="false">Transactions!D1316</f>
        <v>34.4</v>
      </c>
      <c r="F1316" s="1" t="str">
        <f aca="false">Transactions!H1316</f>
        <v>POS</v>
      </c>
      <c r="G1316" s="1" t="str">
        <f aca="false">Transactions!G1316</f>
        <v>Wire Transfer</v>
      </c>
      <c r="H1316" s="1" t="n">
        <f aca="false">IF(COUNTIFS($B$2:$B$1489,B1316,$C$2:$C$1489,C1316,$D$2:$D$1489,D1316)&gt;6,1,0)</f>
        <v>0</v>
      </c>
      <c r="I1316" s="1" t="n">
        <f aca="false">IF(AND(F1316="Wire",E1316&gt;=1000,MOD(E1316,1000)=0),1,0)</f>
        <v>0</v>
      </c>
      <c r="J1316" s="1" t="n">
        <f aca="false">IF(AND(F1316="ATM",E1316&gt;2000,D1316&lt;=4),1,0)</f>
        <v>0</v>
      </c>
      <c r="K1316" s="1" t="n">
        <f aca="false">IF(COUNTIF('SQL Findings'!$A$4:$A$18,B1316)&gt;0,1,0)</f>
        <v>1</v>
      </c>
      <c r="L1316" s="1" t="n">
        <f aca="false">SUM(H1316:K1316)</f>
        <v>1</v>
      </c>
      <c r="M1316" s="1" t="str">
        <f aca="false">IF(L1316&gt;=2,"High",IF(L1316=1,"Medium","Low"))</f>
        <v>Medium</v>
      </c>
    </row>
    <row r="1317" customFormat="false" ht="15" hidden="false" customHeight="true" outlineLevel="0" collapsed="false">
      <c r="A1317" s="1" t="str">
        <f aca="false">Transactions!A1317</f>
        <v>TXN500163</v>
      </c>
      <c r="B1317" s="1" t="str">
        <f aca="false">Transactions!B1317</f>
        <v>ACC1007</v>
      </c>
      <c r="C1317" s="1" t="str">
        <f aca="false">Transactions!I1317</f>
        <v>2026-03-22</v>
      </c>
      <c r="D1317" s="1" t="n">
        <f aca="false">Transactions!J1317</f>
        <v>13</v>
      </c>
      <c r="E1317" s="1" t="n">
        <f aca="false">Transactions!D1317</f>
        <v>189.19</v>
      </c>
      <c r="F1317" s="1" t="str">
        <f aca="false">Transactions!H1317</f>
        <v>Online</v>
      </c>
      <c r="G1317" s="1" t="str">
        <f aca="false">Transactions!G1317</f>
        <v>Dining</v>
      </c>
      <c r="H1317" s="1" t="n">
        <f aca="false">IF(COUNTIFS($B$2:$B$1489,B1317,$C$2:$C$1489,C1317,$D$2:$D$1489,D1317)&gt;6,1,0)</f>
        <v>0</v>
      </c>
      <c r="I1317" s="1" t="n">
        <f aca="false">IF(AND(F1317="Wire",E1317&gt;=1000,MOD(E1317,1000)=0),1,0)</f>
        <v>0</v>
      </c>
      <c r="J1317" s="1" t="n">
        <f aca="false">IF(AND(F1317="ATM",E1317&gt;2000,D1317&lt;=4),1,0)</f>
        <v>0</v>
      </c>
      <c r="K1317" s="1" t="n">
        <f aca="false">IF(COUNTIF('SQL Findings'!$A$4:$A$18,B1317)&gt;0,1,0)</f>
        <v>0</v>
      </c>
      <c r="L1317" s="1" t="n">
        <f aca="false">SUM(H1317:K1317)</f>
        <v>0</v>
      </c>
      <c r="M1317" s="1" t="str">
        <f aca="false">IF(L1317&gt;=2,"High",IF(L1317=1,"Medium","Low"))</f>
        <v>Low</v>
      </c>
    </row>
    <row r="1318" customFormat="false" ht="15" hidden="false" customHeight="true" outlineLevel="0" collapsed="false">
      <c r="A1318" s="1" t="str">
        <f aca="false">Transactions!A1318</f>
        <v>TXN500935</v>
      </c>
      <c r="B1318" s="1" t="str">
        <f aca="false">Transactions!B1318</f>
        <v>ACC1040</v>
      </c>
      <c r="C1318" s="1" t="str">
        <f aca="false">Transactions!I1318</f>
        <v>2026-03-22</v>
      </c>
      <c r="D1318" s="1" t="n">
        <f aca="false">Transactions!J1318</f>
        <v>16</v>
      </c>
      <c r="E1318" s="1" t="n">
        <f aca="false">Transactions!D1318</f>
        <v>99.09</v>
      </c>
      <c r="F1318" s="1" t="str">
        <f aca="false">Transactions!H1318</f>
        <v>POS</v>
      </c>
      <c r="G1318" s="1" t="str">
        <f aca="false">Transactions!G1318</f>
        <v>Wire Transfer</v>
      </c>
      <c r="H1318" s="1" t="n">
        <f aca="false">IF(COUNTIFS($B$2:$B$1489,B1318,$C$2:$C$1489,C1318,$D$2:$D$1489,D1318)&gt;6,1,0)</f>
        <v>0</v>
      </c>
      <c r="I1318" s="1" t="n">
        <f aca="false">IF(AND(F1318="Wire",E1318&gt;=1000,MOD(E1318,1000)=0),1,0)</f>
        <v>0</v>
      </c>
      <c r="J1318" s="1" t="n">
        <f aca="false">IF(AND(F1318="ATM",E1318&gt;2000,D1318&lt;=4),1,0)</f>
        <v>0</v>
      </c>
      <c r="K1318" s="1" t="n">
        <f aca="false">IF(COUNTIF('SQL Findings'!$A$4:$A$18,B1318)&gt;0,1,0)</f>
        <v>1</v>
      </c>
      <c r="L1318" s="1" t="n">
        <f aca="false">SUM(H1318:K1318)</f>
        <v>1</v>
      </c>
      <c r="M1318" s="1" t="str">
        <f aca="false">IF(L1318&gt;=2,"High",IF(L1318=1,"Medium","Low"))</f>
        <v>Medium</v>
      </c>
    </row>
    <row r="1319" customFormat="false" ht="15" hidden="false" customHeight="true" outlineLevel="0" collapsed="false">
      <c r="A1319" s="1" t="str">
        <f aca="false">Transactions!A1319</f>
        <v>TXN501071</v>
      </c>
      <c r="B1319" s="1" t="str">
        <f aca="false">Transactions!B1319</f>
        <v>ACC1047</v>
      </c>
      <c r="C1319" s="1" t="str">
        <f aca="false">Transactions!I1319</f>
        <v>2026-03-22</v>
      </c>
      <c r="D1319" s="1" t="n">
        <f aca="false">Transactions!J1319</f>
        <v>21</v>
      </c>
      <c r="E1319" s="1" t="n">
        <f aca="false">Transactions!D1319</f>
        <v>63.93</v>
      </c>
      <c r="F1319" s="1" t="str">
        <f aca="false">Transactions!H1319</f>
        <v>ATM</v>
      </c>
      <c r="G1319" s="1" t="str">
        <f aca="false">Transactions!G1319</f>
        <v>Travel</v>
      </c>
      <c r="H1319" s="1" t="n">
        <f aca="false">IF(COUNTIFS($B$2:$B$1489,B1319,$C$2:$C$1489,C1319,$D$2:$D$1489,D1319)&gt;6,1,0)</f>
        <v>0</v>
      </c>
      <c r="I1319" s="1" t="n">
        <f aca="false">IF(AND(F1319="Wire",E1319&gt;=1000,MOD(E1319,1000)=0),1,0)</f>
        <v>0</v>
      </c>
      <c r="J1319" s="1" t="n">
        <f aca="false">IF(AND(F1319="ATM",E1319&gt;2000,D1319&lt;=4),1,0)</f>
        <v>0</v>
      </c>
      <c r="K1319" s="1" t="n">
        <f aca="false">IF(COUNTIF('SQL Findings'!$A$4:$A$18,B1319)&gt;0,1,0)</f>
        <v>0</v>
      </c>
      <c r="L1319" s="1" t="n">
        <f aca="false">SUM(H1319:K1319)</f>
        <v>0</v>
      </c>
      <c r="M1319" s="1" t="str">
        <f aca="false">IF(L1319&gt;=2,"High",IF(L1319=1,"Medium","Low"))</f>
        <v>Low</v>
      </c>
    </row>
    <row r="1320" customFormat="false" ht="15" hidden="false" customHeight="true" outlineLevel="0" collapsed="false">
      <c r="A1320" s="1" t="str">
        <f aca="false">Transactions!A1320</f>
        <v>TXN500534</v>
      </c>
      <c r="B1320" s="1" t="str">
        <f aca="false">Transactions!B1320</f>
        <v>ACC1023</v>
      </c>
      <c r="C1320" s="1" t="str">
        <f aca="false">Transactions!I1320</f>
        <v>2026-03-23</v>
      </c>
      <c r="D1320" s="1" t="n">
        <f aca="false">Transactions!J1320</f>
        <v>0</v>
      </c>
      <c r="E1320" s="1" t="n">
        <f aca="false">Transactions!D1320</f>
        <v>22.42</v>
      </c>
      <c r="F1320" s="1" t="str">
        <f aca="false">Transactions!H1320</f>
        <v>Online</v>
      </c>
      <c r="G1320" s="1" t="str">
        <f aca="false">Transactions!G1320</f>
        <v>Electronics</v>
      </c>
      <c r="H1320" s="1" t="n">
        <f aca="false">IF(COUNTIFS($B$2:$B$1489,B1320,$C$2:$C$1489,C1320,$D$2:$D$1489,D1320)&gt;6,1,0)</f>
        <v>0</v>
      </c>
      <c r="I1320" s="1" t="n">
        <f aca="false">IF(AND(F1320="Wire",E1320&gt;=1000,MOD(E1320,1000)=0),1,0)</f>
        <v>0</v>
      </c>
      <c r="J1320" s="1" t="n">
        <f aca="false">IF(AND(F1320="ATM",E1320&gt;2000,D1320&lt;=4),1,0)</f>
        <v>0</v>
      </c>
      <c r="K1320" s="1" t="n">
        <f aca="false">IF(COUNTIF('SQL Findings'!$A$4:$A$18,B1320)&gt;0,1,0)</f>
        <v>0</v>
      </c>
      <c r="L1320" s="1" t="n">
        <f aca="false">SUM(H1320:K1320)</f>
        <v>0</v>
      </c>
      <c r="M1320" s="1" t="str">
        <f aca="false">IF(L1320&gt;=2,"High",IF(L1320=1,"Medium","Low"))</f>
        <v>Low</v>
      </c>
    </row>
    <row r="1321" customFormat="false" ht="15" hidden="false" customHeight="true" outlineLevel="0" collapsed="false">
      <c r="A1321" s="1" t="str">
        <f aca="false">Transactions!A1321</f>
        <v>TXN501485</v>
      </c>
      <c r="B1321" s="1" t="str">
        <f aca="false">Transactions!B1321</f>
        <v>ACC1010</v>
      </c>
      <c r="C1321" s="1" t="str">
        <f aca="false">Transactions!I1321</f>
        <v>2026-03-23</v>
      </c>
      <c r="D1321" s="1" t="n">
        <f aca="false">Transactions!J1321</f>
        <v>2</v>
      </c>
      <c r="E1321" s="1" t="n">
        <f aca="false">Transactions!D1321</f>
        <v>3618.74</v>
      </c>
      <c r="F1321" s="1" t="str">
        <f aca="false">Transactions!H1321</f>
        <v>ATM</v>
      </c>
      <c r="G1321" s="1" t="str">
        <f aca="false">Transactions!G1321</f>
        <v>Cash Withdrawal</v>
      </c>
      <c r="H1321" s="1" t="n">
        <f aca="false">IF(COUNTIFS($B$2:$B$1489,B1321,$C$2:$C$1489,C1321,$D$2:$D$1489,D1321)&gt;6,1,0)</f>
        <v>0</v>
      </c>
      <c r="I1321" s="1" t="n">
        <f aca="false">IF(AND(F1321="Wire",E1321&gt;=1000,MOD(E1321,1000)=0),1,0)</f>
        <v>0</v>
      </c>
      <c r="J1321" s="1" t="n">
        <f aca="false">IF(AND(F1321="ATM",E1321&gt;2000,D1321&lt;=4),1,0)</f>
        <v>1</v>
      </c>
      <c r="K1321" s="1" t="n">
        <f aca="false">IF(COUNTIF('SQL Findings'!$A$4:$A$18,B1321)&gt;0,1,0)</f>
        <v>0</v>
      </c>
      <c r="L1321" s="1" t="n">
        <f aca="false">SUM(H1321:K1321)</f>
        <v>1</v>
      </c>
      <c r="M1321" s="1" t="str">
        <f aca="false">IF(L1321&gt;=2,"High",IF(L1321=1,"Medium","Low"))</f>
        <v>Medium</v>
      </c>
    </row>
    <row r="1322" customFormat="false" ht="15" hidden="false" customHeight="true" outlineLevel="0" collapsed="false">
      <c r="A1322" s="1" t="str">
        <f aca="false">Transactions!A1322</f>
        <v>TXN501140</v>
      </c>
      <c r="B1322" s="1" t="str">
        <f aca="false">Transactions!B1322</f>
        <v>ACC1050</v>
      </c>
      <c r="C1322" s="1" t="str">
        <f aca="false">Transactions!I1322</f>
        <v>2026-03-23</v>
      </c>
      <c r="D1322" s="1" t="n">
        <f aca="false">Transactions!J1322</f>
        <v>2</v>
      </c>
      <c r="E1322" s="1" t="n">
        <f aca="false">Transactions!D1322</f>
        <v>125.34</v>
      </c>
      <c r="F1322" s="1" t="str">
        <f aca="false">Transactions!H1322</f>
        <v>Online</v>
      </c>
      <c r="G1322" s="1" t="str">
        <f aca="false">Transactions!G1322</f>
        <v>Wire Transfer</v>
      </c>
      <c r="H1322" s="1" t="n">
        <f aca="false">IF(COUNTIFS($B$2:$B$1489,B1322,$C$2:$C$1489,C1322,$D$2:$D$1489,D1322)&gt;6,1,0)</f>
        <v>0</v>
      </c>
      <c r="I1322" s="1" t="n">
        <f aca="false">IF(AND(F1322="Wire",E1322&gt;=1000,MOD(E1322,1000)=0),1,0)</f>
        <v>0</v>
      </c>
      <c r="J1322" s="1" t="n">
        <f aca="false">IF(AND(F1322="ATM",E1322&gt;2000,D1322&lt;=4),1,0)</f>
        <v>0</v>
      </c>
      <c r="K1322" s="1" t="n">
        <f aca="false">IF(COUNTIF('SQL Findings'!$A$4:$A$18,B1322)&gt;0,1,0)</f>
        <v>0</v>
      </c>
      <c r="L1322" s="1" t="n">
        <f aca="false">SUM(H1322:K1322)</f>
        <v>0</v>
      </c>
      <c r="M1322" s="1" t="str">
        <f aca="false">IF(L1322&gt;=2,"High",IF(L1322=1,"Medium","Low"))</f>
        <v>Low</v>
      </c>
    </row>
    <row r="1323" customFormat="false" ht="15" hidden="false" customHeight="true" outlineLevel="0" collapsed="false">
      <c r="A1323" s="1" t="str">
        <f aca="false">Transactions!A1323</f>
        <v>TXN501365</v>
      </c>
      <c r="B1323" s="1" t="str">
        <f aca="false">Transactions!B1323</f>
        <v>ACC1059</v>
      </c>
      <c r="C1323" s="1" t="str">
        <f aca="false">Transactions!I1323</f>
        <v>2026-03-23</v>
      </c>
      <c r="D1323" s="1" t="n">
        <f aca="false">Transactions!J1323</f>
        <v>5</v>
      </c>
      <c r="E1323" s="1" t="n">
        <f aca="false">Transactions!D1323</f>
        <v>195.76</v>
      </c>
      <c r="F1323" s="1" t="str">
        <f aca="false">Transactions!H1323</f>
        <v>ATM</v>
      </c>
      <c r="G1323" s="1" t="str">
        <f aca="false">Transactions!G1323</f>
        <v>Electronics</v>
      </c>
      <c r="H1323" s="1" t="n">
        <f aca="false">IF(COUNTIFS($B$2:$B$1489,B1323,$C$2:$C$1489,C1323,$D$2:$D$1489,D1323)&gt;6,1,0)</f>
        <v>0</v>
      </c>
      <c r="I1323" s="1" t="n">
        <f aca="false">IF(AND(F1323="Wire",E1323&gt;=1000,MOD(E1323,1000)=0),1,0)</f>
        <v>0</v>
      </c>
      <c r="J1323" s="1" t="n">
        <f aca="false">IF(AND(F1323="ATM",E1323&gt;2000,D1323&lt;=4),1,0)</f>
        <v>0</v>
      </c>
      <c r="K1323" s="1" t="n">
        <f aca="false">IF(COUNTIF('SQL Findings'!$A$4:$A$18,B1323)&gt;0,1,0)</f>
        <v>0</v>
      </c>
      <c r="L1323" s="1" t="n">
        <f aca="false">SUM(H1323:K1323)</f>
        <v>0</v>
      </c>
      <c r="M1323" s="1" t="str">
        <f aca="false">IF(L1323&gt;=2,"High",IF(L1323=1,"Medium","Low"))</f>
        <v>Low</v>
      </c>
    </row>
    <row r="1324" customFormat="false" ht="15" hidden="false" customHeight="true" outlineLevel="0" collapsed="false">
      <c r="A1324" s="1" t="str">
        <f aca="false">Transactions!A1324</f>
        <v>TXN501350</v>
      </c>
      <c r="B1324" s="1" t="str">
        <f aca="false">Transactions!B1324</f>
        <v>ACC1058</v>
      </c>
      <c r="C1324" s="1" t="str">
        <f aca="false">Transactions!I1324</f>
        <v>2026-03-23</v>
      </c>
      <c r="D1324" s="1" t="n">
        <f aca="false">Transactions!J1324</f>
        <v>6</v>
      </c>
      <c r="E1324" s="1" t="n">
        <f aca="false">Transactions!D1324</f>
        <v>54.47</v>
      </c>
      <c r="F1324" s="1" t="str">
        <f aca="false">Transactions!H1324</f>
        <v>POS</v>
      </c>
      <c r="G1324" s="1" t="str">
        <f aca="false">Transactions!G1324</f>
        <v>Cash Withdrawal</v>
      </c>
      <c r="H1324" s="1" t="n">
        <f aca="false">IF(COUNTIFS($B$2:$B$1489,B1324,$C$2:$C$1489,C1324,$D$2:$D$1489,D1324)&gt;6,1,0)</f>
        <v>0</v>
      </c>
      <c r="I1324" s="1" t="n">
        <f aca="false">IF(AND(F1324="Wire",E1324&gt;=1000,MOD(E1324,1000)=0),1,0)</f>
        <v>0</v>
      </c>
      <c r="J1324" s="1" t="n">
        <f aca="false">IF(AND(F1324="ATM",E1324&gt;2000,D1324&lt;=4),1,0)</f>
        <v>0</v>
      </c>
      <c r="K1324" s="1" t="n">
        <f aca="false">IF(COUNTIF('SQL Findings'!$A$4:$A$18,B1324)&gt;0,1,0)</f>
        <v>0</v>
      </c>
      <c r="L1324" s="1" t="n">
        <f aca="false">SUM(H1324:K1324)</f>
        <v>0</v>
      </c>
      <c r="M1324" s="1" t="str">
        <f aca="false">IF(L1324&gt;=2,"High",IF(L1324=1,"Medium","Low"))</f>
        <v>Low</v>
      </c>
    </row>
    <row r="1325" customFormat="false" ht="15" hidden="false" customHeight="true" outlineLevel="0" collapsed="false">
      <c r="A1325" s="1" t="str">
        <f aca="false">Transactions!A1325</f>
        <v>TXN501258</v>
      </c>
      <c r="B1325" s="1" t="str">
        <f aca="false">Transactions!B1325</f>
        <v>ACC1055</v>
      </c>
      <c r="C1325" s="1" t="str">
        <f aca="false">Transactions!I1325</f>
        <v>2026-03-23</v>
      </c>
      <c r="D1325" s="1" t="n">
        <f aca="false">Transactions!J1325</f>
        <v>7</v>
      </c>
      <c r="E1325" s="1" t="n">
        <f aca="false">Transactions!D1325</f>
        <v>97.23</v>
      </c>
      <c r="F1325" s="1" t="str">
        <f aca="false">Transactions!H1325</f>
        <v>POS</v>
      </c>
      <c r="G1325" s="1" t="str">
        <f aca="false">Transactions!G1325</f>
        <v>Utilities</v>
      </c>
      <c r="H1325" s="1" t="n">
        <f aca="false">IF(COUNTIFS($B$2:$B$1489,B1325,$C$2:$C$1489,C1325,$D$2:$D$1489,D1325)&gt;6,1,0)</f>
        <v>0</v>
      </c>
      <c r="I1325" s="1" t="n">
        <f aca="false">IF(AND(F1325="Wire",E1325&gt;=1000,MOD(E1325,1000)=0),1,0)</f>
        <v>0</v>
      </c>
      <c r="J1325" s="1" t="n">
        <f aca="false">IF(AND(F1325="ATM",E1325&gt;2000,D1325&lt;=4),1,0)</f>
        <v>0</v>
      </c>
      <c r="K1325" s="1" t="n">
        <f aca="false">IF(COUNTIF('SQL Findings'!$A$4:$A$18,B1325)&gt;0,1,0)</f>
        <v>1</v>
      </c>
      <c r="L1325" s="1" t="n">
        <f aca="false">SUM(H1325:K1325)</f>
        <v>1</v>
      </c>
      <c r="M1325" s="1" t="str">
        <f aca="false">IF(L1325&gt;=2,"High",IF(L1325=1,"Medium","Low"))</f>
        <v>Medium</v>
      </c>
    </row>
    <row r="1326" customFormat="false" ht="15" hidden="false" customHeight="true" outlineLevel="0" collapsed="false">
      <c r="A1326" s="1" t="str">
        <f aca="false">Transactions!A1326</f>
        <v>TXN500545</v>
      </c>
      <c r="B1326" s="1" t="str">
        <f aca="false">Transactions!B1326</f>
        <v>ACC1024</v>
      </c>
      <c r="C1326" s="1" t="str">
        <f aca="false">Transactions!I1326</f>
        <v>2026-03-23</v>
      </c>
      <c r="D1326" s="1" t="n">
        <f aca="false">Transactions!J1326</f>
        <v>8</v>
      </c>
      <c r="E1326" s="1" t="n">
        <f aca="false">Transactions!D1326</f>
        <v>7.21</v>
      </c>
      <c r="F1326" s="1" t="str">
        <f aca="false">Transactions!H1326</f>
        <v>POS</v>
      </c>
      <c r="G1326" s="1" t="str">
        <f aca="false">Transactions!G1326</f>
        <v>Online Marketplace</v>
      </c>
      <c r="H1326" s="1" t="n">
        <f aca="false">IF(COUNTIFS($B$2:$B$1489,B1326,$C$2:$C$1489,C1326,$D$2:$D$1489,D1326)&gt;6,1,0)</f>
        <v>0</v>
      </c>
      <c r="I1326" s="1" t="n">
        <f aca="false">IF(AND(F1326="Wire",E1326&gt;=1000,MOD(E1326,1000)=0),1,0)</f>
        <v>0</v>
      </c>
      <c r="J1326" s="1" t="n">
        <f aca="false">IF(AND(F1326="ATM",E1326&gt;2000,D1326&lt;=4),1,0)</f>
        <v>0</v>
      </c>
      <c r="K1326" s="1" t="n">
        <f aca="false">IF(COUNTIF('SQL Findings'!$A$4:$A$18,B1326)&gt;0,1,0)</f>
        <v>1</v>
      </c>
      <c r="L1326" s="1" t="n">
        <f aca="false">SUM(H1326:K1326)</f>
        <v>1</v>
      </c>
      <c r="M1326" s="1" t="str">
        <f aca="false">IF(L1326&gt;=2,"High",IF(L1326=1,"Medium","Low"))</f>
        <v>Medium</v>
      </c>
    </row>
    <row r="1327" customFormat="false" ht="15" hidden="false" customHeight="true" outlineLevel="0" collapsed="false">
      <c r="A1327" s="1" t="str">
        <f aca="false">Transactions!A1327</f>
        <v>TXN501150</v>
      </c>
      <c r="B1327" s="1" t="str">
        <f aca="false">Transactions!B1327</f>
        <v>ACC1050</v>
      </c>
      <c r="C1327" s="1" t="str">
        <f aca="false">Transactions!I1327</f>
        <v>2026-03-23</v>
      </c>
      <c r="D1327" s="1" t="n">
        <f aca="false">Transactions!J1327</f>
        <v>10</v>
      </c>
      <c r="E1327" s="1" t="n">
        <f aca="false">Transactions!D1327</f>
        <v>31.12</v>
      </c>
      <c r="F1327" s="1" t="str">
        <f aca="false">Transactions!H1327</f>
        <v>ATM</v>
      </c>
      <c r="G1327" s="1" t="str">
        <f aca="false">Transactions!G1327</f>
        <v>Cash Withdrawal</v>
      </c>
      <c r="H1327" s="1" t="n">
        <f aca="false">IF(COUNTIFS($B$2:$B$1489,B1327,$C$2:$C$1489,C1327,$D$2:$D$1489,D1327)&gt;6,1,0)</f>
        <v>0</v>
      </c>
      <c r="I1327" s="1" t="n">
        <f aca="false">IF(AND(F1327="Wire",E1327&gt;=1000,MOD(E1327,1000)=0),1,0)</f>
        <v>0</v>
      </c>
      <c r="J1327" s="1" t="n">
        <f aca="false">IF(AND(F1327="ATM",E1327&gt;2000,D1327&lt;=4),1,0)</f>
        <v>0</v>
      </c>
      <c r="K1327" s="1" t="n">
        <f aca="false">IF(COUNTIF('SQL Findings'!$A$4:$A$18,B1327)&gt;0,1,0)</f>
        <v>0</v>
      </c>
      <c r="L1327" s="1" t="n">
        <f aca="false">SUM(H1327:K1327)</f>
        <v>0</v>
      </c>
      <c r="M1327" s="1" t="str">
        <f aca="false">IF(L1327&gt;=2,"High",IF(L1327=1,"Medium","Low"))</f>
        <v>Low</v>
      </c>
    </row>
    <row r="1328" customFormat="false" ht="15" hidden="false" customHeight="true" outlineLevel="0" collapsed="false">
      <c r="A1328" s="1" t="str">
        <f aca="false">Transactions!A1328</f>
        <v>TXN501335</v>
      </c>
      <c r="B1328" s="1" t="str">
        <f aca="false">Transactions!B1328</f>
        <v>ACC1058</v>
      </c>
      <c r="C1328" s="1" t="str">
        <f aca="false">Transactions!I1328</f>
        <v>2026-03-23</v>
      </c>
      <c r="D1328" s="1" t="n">
        <f aca="false">Transactions!J1328</f>
        <v>12</v>
      </c>
      <c r="E1328" s="1" t="n">
        <f aca="false">Transactions!D1328</f>
        <v>76.23</v>
      </c>
      <c r="F1328" s="1" t="str">
        <f aca="false">Transactions!H1328</f>
        <v>ATM</v>
      </c>
      <c r="G1328" s="1" t="str">
        <f aca="false">Transactions!G1328</f>
        <v>Utilities</v>
      </c>
      <c r="H1328" s="1" t="n">
        <f aca="false">IF(COUNTIFS($B$2:$B$1489,B1328,$C$2:$C$1489,C1328,$D$2:$D$1489,D1328)&gt;6,1,0)</f>
        <v>0</v>
      </c>
      <c r="I1328" s="1" t="n">
        <f aca="false">IF(AND(F1328="Wire",E1328&gt;=1000,MOD(E1328,1000)=0),1,0)</f>
        <v>0</v>
      </c>
      <c r="J1328" s="1" t="n">
        <f aca="false">IF(AND(F1328="ATM",E1328&gt;2000,D1328&lt;=4),1,0)</f>
        <v>0</v>
      </c>
      <c r="K1328" s="1" t="n">
        <f aca="false">IF(COUNTIF('SQL Findings'!$A$4:$A$18,B1328)&gt;0,1,0)</f>
        <v>0</v>
      </c>
      <c r="L1328" s="1" t="n">
        <f aca="false">SUM(H1328:K1328)</f>
        <v>0</v>
      </c>
      <c r="M1328" s="1" t="str">
        <f aca="false">IF(L1328&gt;=2,"High",IF(L1328=1,"Medium","Low"))</f>
        <v>Low</v>
      </c>
    </row>
    <row r="1329" customFormat="false" ht="15" hidden="false" customHeight="true" outlineLevel="0" collapsed="false">
      <c r="A1329" s="1" t="str">
        <f aca="false">Transactions!A1329</f>
        <v>TXN500914</v>
      </c>
      <c r="B1329" s="1" t="str">
        <f aca="false">Transactions!B1329</f>
        <v>ACC1039</v>
      </c>
      <c r="C1329" s="1" t="str">
        <f aca="false">Transactions!I1329</f>
        <v>2026-03-23</v>
      </c>
      <c r="D1329" s="1" t="n">
        <f aca="false">Transactions!J1329</f>
        <v>15</v>
      </c>
      <c r="E1329" s="1" t="n">
        <f aca="false">Transactions!D1329</f>
        <v>275.81</v>
      </c>
      <c r="F1329" s="1" t="str">
        <f aca="false">Transactions!H1329</f>
        <v>ATM</v>
      </c>
      <c r="G1329" s="1" t="str">
        <f aca="false">Transactions!G1329</f>
        <v>Cash Withdrawal</v>
      </c>
      <c r="H1329" s="1" t="n">
        <f aca="false">IF(COUNTIFS($B$2:$B$1489,B1329,$C$2:$C$1489,C1329,$D$2:$D$1489,D1329)&gt;6,1,0)</f>
        <v>0</v>
      </c>
      <c r="I1329" s="1" t="n">
        <f aca="false">IF(AND(F1329="Wire",E1329&gt;=1000,MOD(E1329,1000)=0),1,0)</f>
        <v>0</v>
      </c>
      <c r="J1329" s="1" t="n">
        <f aca="false">IF(AND(F1329="ATM",E1329&gt;2000,D1329&lt;=4),1,0)</f>
        <v>0</v>
      </c>
      <c r="K1329" s="1" t="n">
        <f aca="false">IF(COUNTIF('SQL Findings'!$A$4:$A$18,B1329)&gt;0,1,0)</f>
        <v>0</v>
      </c>
      <c r="L1329" s="1" t="n">
        <f aca="false">SUM(H1329:K1329)</f>
        <v>0</v>
      </c>
      <c r="M1329" s="1" t="str">
        <f aca="false">IF(L1329&gt;=2,"High",IF(L1329=1,"Medium","Low"))</f>
        <v>Low</v>
      </c>
    </row>
    <row r="1330" customFormat="false" ht="15" hidden="false" customHeight="true" outlineLevel="0" collapsed="false">
      <c r="A1330" s="1" t="str">
        <f aca="false">Transactions!A1330</f>
        <v>TXN501038</v>
      </c>
      <c r="B1330" s="1" t="str">
        <f aca="false">Transactions!B1330</f>
        <v>ACC1045</v>
      </c>
      <c r="C1330" s="1" t="str">
        <f aca="false">Transactions!I1330</f>
        <v>2026-03-23</v>
      </c>
      <c r="D1330" s="1" t="n">
        <f aca="false">Transactions!J1330</f>
        <v>16</v>
      </c>
      <c r="E1330" s="1" t="n">
        <f aca="false">Transactions!D1330</f>
        <v>17.85</v>
      </c>
      <c r="F1330" s="1" t="str">
        <f aca="false">Transactions!H1330</f>
        <v>Online</v>
      </c>
      <c r="G1330" s="1" t="str">
        <f aca="false">Transactions!G1330</f>
        <v>Dining</v>
      </c>
      <c r="H1330" s="1" t="n">
        <f aca="false">IF(COUNTIFS($B$2:$B$1489,B1330,$C$2:$C$1489,C1330,$D$2:$D$1489,D1330)&gt;6,1,0)</f>
        <v>0</v>
      </c>
      <c r="I1330" s="1" t="n">
        <f aca="false">IF(AND(F1330="Wire",E1330&gt;=1000,MOD(E1330,1000)=0),1,0)</f>
        <v>0</v>
      </c>
      <c r="J1330" s="1" t="n">
        <f aca="false">IF(AND(F1330="ATM",E1330&gt;2000,D1330&lt;=4),1,0)</f>
        <v>0</v>
      </c>
      <c r="K1330" s="1" t="n">
        <f aca="false">IF(COUNTIF('SQL Findings'!$A$4:$A$18,B1330)&gt;0,1,0)</f>
        <v>0</v>
      </c>
      <c r="L1330" s="1" t="n">
        <f aca="false">SUM(H1330:K1330)</f>
        <v>0</v>
      </c>
      <c r="M1330" s="1" t="str">
        <f aca="false">IF(L1330&gt;=2,"High",IF(L1330=1,"Medium","Low"))</f>
        <v>Low</v>
      </c>
    </row>
    <row r="1331" customFormat="false" ht="15" hidden="false" customHeight="true" outlineLevel="0" collapsed="false">
      <c r="A1331" s="1" t="str">
        <f aca="false">Transactions!A1331</f>
        <v>TXN500061</v>
      </c>
      <c r="B1331" s="1" t="str">
        <f aca="false">Transactions!B1331</f>
        <v>ACC1002</v>
      </c>
      <c r="C1331" s="1" t="str">
        <f aca="false">Transactions!I1331</f>
        <v>2026-03-23</v>
      </c>
      <c r="D1331" s="1" t="n">
        <f aca="false">Transactions!J1331</f>
        <v>17</v>
      </c>
      <c r="E1331" s="1" t="n">
        <f aca="false">Transactions!D1331</f>
        <v>43.33</v>
      </c>
      <c r="F1331" s="1" t="str">
        <f aca="false">Transactions!H1331</f>
        <v>Online</v>
      </c>
      <c r="G1331" s="1" t="str">
        <f aca="false">Transactions!G1331</f>
        <v>Online Marketplace</v>
      </c>
      <c r="H1331" s="1" t="n">
        <f aca="false">IF(COUNTIFS($B$2:$B$1489,B1331,$C$2:$C$1489,C1331,$D$2:$D$1489,D1331)&gt;6,1,0)</f>
        <v>0</v>
      </c>
      <c r="I1331" s="1" t="n">
        <f aca="false">IF(AND(F1331="Wire",E1331&gt;=1000,MOD(E1331,1000)=0),1,0)</f>
        <v>0</v>
      </c>
      <c r="J1331" s="1" t="n">
        <f aca="false">IF(AND(F1331="ATM",E1331&gt;2000,D1331&lt;=4),1,0)</f>
        <v>0</v>
      </c>
      <c r="K1331" s="1" t="n">
        <f aca="false">IF(COUNTIF('SQL Findings'!$A$4:$A$18,B1331)&gt;0,1,0)</f>
        <v>1</v>
      </c>
      <c r="L1331" s="1" t="n">
        <f aca="false">SUM(H1331:K1331)</f>
        <v>1</v>
      </c>
      <c r="M1331" s="1" t="str">
        <f aca="false">IF(L1331&gt;=2,"High",IF(L1331=1,"Medium","Low"))</f>
        <v>Medium</v>
      </c>
    </row>
    <row r="1332" customFormat="false" ht="15" hidden="false" customHeight="true" outlineLevel="0" collapsed="false">
      <c r="A1332" s="1" t="str">
        <f aca="false">Transactions!A1332</f>
        <v>TXN501087</v>
      </c>
      <c r="B1332" s="1" t="str">
        <f aca="false">Transactions!B1332</f>
        <v>ACC1047</v>
      </c>
      <c r="C1332" s="1" t="str">
        <f aca="false">Transactions!I1332</f>
        <v>2026-03-23</v>
      </c>
      <c r="D1332" s="1" t="n">
        <f aca="false">Transactions!J1332</f>
        <v>18</v>
      </c>
      <c r="E1332" s="1" t="n">
        <f aca="false">Transactions!D1332</f>
        <v>168.55</v>
      </c>
      <c r="F1332" s="1" t="str">
        <f aca="false">Transactions!H1332</f>
        <v>Online</v>
      </c>
      <c r="G1332" s="1" t="str">
        <f aca="false">Transactions!G1332</f>
        <v>Utilities</v>
      </c>
      <c r="H1332" s="1" t="n">
        <f aca="false">IF(COUNTIFS($B$2:$B$1489,B1332,$C$2:$C$1489,C1332,$D$2:$D$1489,D1332)&gt;6,1,0)</f>
        <v>0</v>
      </c>
      <c r="I1332" s="1" t="n">
        <f aca="false">IF(AND(F1332="Wire",E1332&gt;=1000,MOD(E1332,1000)=0),1,0)</f>
        <v>0</v>
      </c>
      <c r="J1332" s="1" t="n">
        <f aca="false">IF(AND(F1332="ATM",E1332&gt;2000,D1332&lt;=4),1,0)</f>
        <v>0</v>
      </c>
      <c r="K1332" s="1" t="n">
        <f aca="false">IF(COUNTIF('SQL Findings'!$A$4:$A$18,B1332)&gt;0,1,0)</f>
        <v>0</v>
      </c>
      <c r="L1332" s="1" t="n">
        <f aca="false">SUM(H1332:K1332)</f>
        <v>0</v>
      </c>
      <c r="M1332" s="1" t="str">
        <f aca="false">IF(L1332&gt;=2,"High",IF(L1332=1,"Medium","Low"))</f>
        <v>Low</v>
      </c>
    </row>
    <row r="1333" customFormat="false" ht="15" hidden="false" customHeight="true" outlineLevel="0" collapsed="false">
      <c r="A1333" s="1" t="str">
        <f aca="false">Transactions!A1333</f>
        <v>TXN501209</v>
      </c>
      <c r="B1333" s="1" t="str">
        <f aca="false">Transactions!B1333</f>
        <v>ACC1053</v>
      </c>
      <c r="C1333" s="1" t="str">
        <f aca="false">Transactions!I1333</f>
        <v>2026-03-23</v>
      </c>
      <c r="D1333" s="1" t="n">
        <f aca="false">Transactions!J1333</f>
        <v>20</v>
      </c>
      <c r="E1333" s="1" t="n">
        <f aca="false">Transactions!D1333</f>
        <v>18.87</v>
      </c>
      <c r="F1333" s="1" t="str">
        <f aca="false">Transactions!H1333</f>
        <v>POS</v>
      </c>
      <c r="G1333" s="1" t="str">
        <f aca="false">Transactions!G1333</f>
        <v>Travel</v>
      </c>
      <c r="H1333" s="1" t="n">
        <f aca="false">IF(COUNTIFS($B$2:$B$1489,B1333,$C$2:$C$1489,C1333,$D$2:$D$1489,D1333)&gt;6,1,0)</f>
        <v>0</v>
      </c>
      <c r="I1333" s="1" t="n">
        <f aca="false">IF(AND(F1333="Wire",E1333&gt;=1000,MOD(E1333,1000)=0),1,0)</f>
        <v>0</v>
      </c>
      <c r="J1333" s="1" t="n">
        <f aca="false">IF(AND(F1333="ATM",E1333&gt;2000,D1333&lt;=4),1,0)</f>
        <v>0</v>
      </c>
      <c r="K1333" s="1" t="n">
        <f aca="false">IF(COUNTIF('SQL Findings'!$A$4:$A$18,B1333)&gt;0,1,0)</f>
        <v>0</v>
      </c>
      <c r="L1333" s="1" t="n">
        <f aca="false">SUM(H1333:K1333)</f>
        <v>0</v>
      </c>
      <c r="M1333" s="1" t="str">
        <f aca="false">IF(L1333&gt;=2,"High",IF(L1333=1,"Medium","Low"))</f>
        <v>Low</v>
      </c>
    </row>
    <row r="1334" customFormat="false" ht="15" hidden="false" customHeight="true" outlineLevel="0" collapsed="false">
      <c r="A1334" s="1" t="str">
        <f aca="false">Transactions!A1334</f>
        <v>TXN500651</v>
      </c>
      <c r="B1334" s="1" t="str">
        <f aca="false">Transactions!B1334</f>
        <v>ACC1028</v>
      </c>
      <c r="C1334" s="1" t="str">
        <f aca="false">Transactions!I1334</f>
        <v>2026-03-24</v>
      </c>
      <c r="D1334" s="1" t="n">
        <f aca="false">Transactions!J1334</f>
        <v>2</v>
      </c>
      <c r="E1334" s="1" t="n">
        <f aca="false">Transactions!D1334</f>
        <v>352.15</v>
      </c>
      <c r="F1334" s="1" t="str">
        <f aca="false">Transactions!H1334</f>
        <v>Online</v>
      </c>
      <c r="G1334" s="1" t="str">
        <f aca="false">Transactions!G1334</f>
        <v>Dining</v>
      </c>
      <c r="H1334" s="1" t="n">
        <f aca="false">IF(COUNTIFS($B$2:$B$1489,B1334,$C$2:$C$1489,C1334,$D$2:$D$1489,D1334)&gt;6,1,0)</f>
        <v>0</v>
      </c>
      <c r="I1334" s="1" t="n">
        <f aca="false">IF(AND(F1334="Wire",E1334&gt;=1000,MOD(E1334,1000)=0),1,0)</f>
        <v>0</v>
      </c>
      <c r="J1334" s="1" t="n">
        <f aca="false">IF(AND(F1334="ATM",E1334&gt;2000,D1334&lt;=4),1,0)</f>
        <v>0</v>
      </c>
      <c r="K1334" s="1" t="n">
        <f aca="false">IF(COUNTIF('SQL Findings'!$A$4:$A$18,B1334)&gt;0,1,0)</f>
        <v>0</v>
      </c>
      <c r="L1334" s="1" t="n">
        <f aca="false">SUM(H1334:K1334)</f>
        <v>0</v>
      </c>
      <c r="M1334" s="1" t="str">
        <f aca="false">IF(L1334&gt;=2,"High",IF(L1334=1,"Medium","Low"))</f>
        <v>Low</v>
      </c>
    </row>
    <row r="1335" customFormat="false" ht="15" hidden="false" customHeight="true" outlineLevel="0" collapsed="false">
      <c r="A1335" s="1" t="str">
        <f aca="false">Transactions!A1335</f>
        <v>TXN500648</v>
      </c>
      <c r="B1335" s="1" t="str">
        <f aca="false">Transactions!B1335</f>
        <v>ACC1028</v>
      </c>
      <c r="C1335" s="1" t="str">
        <f aca="false">Transactions!I1335</f>
        <v>2026-03-24</v>
      </c>
      <c r="D1335" s="1" t="n">
        <f aca="false">Transactions!J1335</f>
        <v>4</v>
      </c>
      <c r="E1335" s="1" t="n">
        <f aca="false">Transactions!D1335</f>
        <v>63.51</v>
      </c>
      <c r="F1335" s="1" t="str">
        <f aca="false">Transactions!H1335</f>
        <v>ATM</v>
      </c>
      <c r="G1335" s="1" t="str">
        <f aca="false">Transactions!G1335</f>
        <v>Utilities</v>
      </c>
      <c r="H1335" s="1" t="n">
        <f aca="false">IF(COUNTIFS($B$2:$B$1489,B1335,$C$2:$C$1489,C1335,$D$2:$D$1489,D1335)&gt;6,1,0)</f>
        <v>0</v>
      </c>
      <c r="I1335" s="1" t="n">
        <f aca="false">IF(AND(F1335="Wire",E1335&gt;=1000,MOD(E1335,1000)=0),1,0)</f>
        <v>0</v>
      </c>
      <c r="J1335" s="1" t="n">
        <f aca="false">IF(AND(F1335="ATM",E1335&gt;2000,D1335&lt;=4),1,0)</f>
        <v>0</v>
      </c>
      <c r="K1335" s="1" t="n">
        <f aca="false">IF(COUNTIF('SQL Findings'!$A$4:$A$18,B1335)&gt;0,1,0)</f>
        <v>0</v>
      </c>
      <c r="L1335" s="1" t="n">
        <f aca="false">SUM(H1335:K1335)</f>
        <v>0</v>
      </c>
      <c r="M1335" s="1" t="str">
        <f aca="false">IF(L1335&gt;=2,"High",IF(L1335=1,"Medium","Low"))</f>
        <v>Low</v>
      </c>
    </row>
    <row r="1336" customFormat="false" ht="15" hidden="false" customHeight="true" outlineLevel="0" collapsed="false">
      <c r="A1336" s="1" t="str">
        <f aca="false">Transactions!A1336</f>
        <v>TXN500393</v>
      </c>
      <c r="B1336" s="1" t="str">
        <f aca="false">Transactions!B1336</f>
        <v>ACC1017</v>
      </c>
      <c r="C1336" s="1" t="str">
        <f aca="false">Transactions!I1336</f>
        <v>2026-03-24</v>
      </c>
      <c r="D1336" s="1" t="n">
        <f aca="false">Transactions!J1336</f>
        <v>6</v>
      </c>
      <c r="E1336" s="1" t="n">
        <f aca="false">Transactions!D1336</f>
        <v>20.32</v>
      </c>
      <c r="F1336" s="1" t="str">
        <f aca="false">Transactions!H1336</f>
        <v>POS</v>
      </c>
      <c r="G1336" s="1" t="str">
        <f aca="false">Transactions!G1336</f>
        <v>Travel</v>
      </c>
      <c r="H1336" s="1" t="n">
        <f aca="false">IF(COUNTIFS($B$2:$B$1489,B1336,$C$2:$C$1489,C1336,$D$2:$D$1489,D1336)&gt;6,1,0)</f>
        <v>0</v>
      </c>
      <c r="I1336" s="1" t="n">
        <f aca="false">IF(AND(F1336="Wire",E1336&gt;=1000,MOD(E1336,1000)=0),1,0)</f>
        <v>0</v>
      </c>
      <c r="J1336" s="1" t="n">
        <f aca="false">IF(AND(F1336="ATM",E1336&gt;2000,D1336&lt;=4),1,0)</f>
        <v>0</v>
      </c>
      <c r="K1336" s="1" t="n">
        <f aca="false">IF(COUNTIF('SQL Findings'!$A$4:$A$18,B1336)&gt;0,1,0)</f>
        <v>0</v>
      </c>
      <c r="L1336" s="1" t="n">
        <f aca="false">SUM(H1336:K1336)</f>
        <v>0</v>
      </c>
      <c r="M1336" s="1" t="str">
        <f aca="false">IF(L1336&gt;=2,"High",IF(L1336=1,"Medium","Low"))</f>
        <v>Low</v>
      </c>
    </row>
    <row r="1337" customFormat="false" ht="15" hidden="false" customHeight="true" outlineLevel="0" collapsed="false">
      <c r="A1337" s="1" t="str">
        <f aca="false">Transactions!A1337</f>
        <v>TXN500799</v>
      </c>
      <c r="B1337" s="1" t="str">
        <f aca="false">Transactions!B1337</f>
        <v>ACC1034</v>
      </c>
      <c r="C1337" s="1" t="str">
        <f aca="false">Transactions!I1337</f>
        <v>2026-03-24</v>
      </c>
      <c r="D1337" s="1" t="n">
        <f aca="false">Transactions!J1337</f>
        <v>7</v>
      </c>
      <c r="E1337" s="1" t="n">
        <f aca="false">Transactions!D1337</f>
        <v>68.41</v>
      </c>
      <c r="F1337" s="1" t="str">
        <f aca="false">Transactions!H1337</f>
        <v>ATM</v>
      </c>
      <c r="G1337" s="1" t="str">
        <f aca="false">Transactions!G1337</f>
        <v>Utilities</v>
      </c>
      <c r="H1337" s="1" t="n">
        <f aca="false">IF(COUNTIFS($B$2:$B$1489,B1337,$C$2:$C$1489,C1337,$D$2:$D$1489,D1337)&gt;6,1,0)</f>
        <v>0</v>
      </c>
      <c r="I1337" s="1" t="n">
        <f aca="false">IF(AND(F1337="Wire",E1337&gt;=1000,MOD(E1337,1000)=0),1,0)</f>
        <v>0</v>
      </c>
      <c r="J1337" s="1" t="n">
        <f aca="false">IF(AND(F1337="ATM",E1337&gt;2000,D1337&lt;=4),1,0)</f>
        <v>0</v>
      </c>
      <c r="K1337" s="1" t="n">
        <f aca="false">IF(COUNTIF('SQL Findings'!$A$4:$A$18,B1337)&gt;0,1,0)</f>
        <v>0</v>
      </c>
      <c r="L1337" s="1" t="n">
        <f aca="false">SUM(H1337:K1337)</f>
        <v>0</v>
      </c>
      <c r="M1337" s="1" t="str">
        <f aca="false">IF(L1337&gt;=2,"High",IF(L1337=1,"Medium","Low"))</f>
        <v>Low</v>
      </c>
    </row>
    <row r="1338" customFormat="false" ht="15" hidden="false" customHeight="true" outlineLevel="0" collapsed="false">
      <c r="A1338" s="1" t="str">
        <f aca="false">Transactions!A1338</f>
        <v>TXN500854</v>
      </c>
      <c r="B1338" s="1" t="str">
        <f aca="false">Transactions!B1338</f>
        <v>ACC1036</v>
      </c>
      <c r="C1338" s="1" t="str">
        <f aca="false">Transactions!I1338</f>
        <v>2026-03-24</v>
      </c>
      <c r="D1338" s="1" t="n">
        <f aca="false">Transactions!J1338</f>
        <v>7</v>
      </c>
      <c r="E1338" s="1" t="n">
        <f aca="false">Transactions!D1338</f>
        <v>194.44</v>
      </c>
      <c r="F1338" s="1" t="str">
        <f aca="false">Transactions!H1338</f>
        <v>Online</v>
      </c>
      <c r="G1338" s="1" t="str">
        <f aca="false">Transactions!G1338</f>
        <v>Utilities</v>
      </c>
      <c r="H1338" s="1" t="n">
        <f aca="false">IF(COUNTIFS($B$2:$B$1489,B1338,$C$2:$C$1489,C1338,$D$2:$D$1489,D1338)&gt;6,1,0)</f>
        <v>0</v>
      </c>
      <c r="I1338" s="1" t="n">
        <f aca="false">IF(AND(F1338="Wire",E1338&gt;=1000,MOD(E1338,1000)=0),1,0)</f>
        <v>0</v>
      </c>
      <c r="J1338" s="1" t="n">
        <f aca="false">IF(AND(F1338="ATM",E1338&gt;2000,D1338&lt;=4),1,0)</f>
        <v>0</v>
      </c>
      <c r="K1338" s="1" t="n">
        <f aca="false">IF(COUNTIF('SQL Findings'!$A$4:$A$18,B1338)&gt;0,1,0)</f>
        <v>0</v>
      </c>
      <c r="L1338" s="1" t="n">
        <f aca="false">SUM(H1338:K1338)</f>
        <v>0</v>
      </c>
      <c r="M1338" s="1" t="str">
        <f aca="false">IF(L1338&gt;=2,"High",IF(L1338=1,"Medium","Low"))</f>
        <v>Low</v>
      </c>
    </row>
    <row r="1339" customFormat="false" ht="15" hidden="false" customHeight="true" outlineLevel="0" collapsed="false">
      <c r="A1339" s="1" t="str">
        <f aca="false">Transactions!A1339</f>
        <v>TXN500984</v>
      </c>
      <c r="B1339" s="1" t="str">
        <f aca="false">Transactions!B1339</f>
        <v>ACC1043</v>
      </c>
      <c r="C1339" s="1" t="str">
        <f aca="false">Transactions!I1339</f>
        <v>2026-03-24</v>
      </c>
      <c r="D1339" s="1" t="n">
        <f aca="false">Transactions!J1339</f>
        <v>8</v>
      </c>
      <c r="E1339" s="1" t="n">
        <f aca="false">Transactions!D1339</f>
        <v>63.88</v>
      </c>
      <c r="F1339" s="1" t="str">
        <f aca="false">Transactions!H1339</f>
        <v>POS</v>
      </c>
      <c r="G1339" s="1" t="str">
        <f aca="false">Transactions!G1339</f>
        <v>Travel</v>
      </c>
      <c r="H1339" s="1" t="n">
        <f aca="false">IF(COUNTIFS($B$2:$B$1489,B1339,$C$2:$C$1489,C1339,$D$2:$D$1489,D1339)&gt;6,1,0)</f>
        <v>0</v>
      </c>
      <c r="I1339" s="1" t="n">
        <f aca="false">IF(AND(F1339="Wire",E1339&gt;=1000,MOD(E1339,1000)=0),1,0)</f>
        <v>0</v>
      </c>
      <c r="J1339" s="1" t="n">
        <f aca="false">IF(AND(F1339="ATM",E1339&gt;2000,D1339&lt;=4),1,0)</f>
        <v>0</v>
      </c>
      <c r="K1339" s="1" t="n">
        <f aca="false">IF(COUNTIF('SQL Findings'!$A$4:$A$18,B1339)&gt;0,1,0)</f>
        <v>0</v>
      </c>
      <c r="L1339" s="1" t="n">
        <f aca="false">SUM(H1339:K1339)</f>
        <v>0</v>
      </c>
      <c r="M1339" s="1" t="str">
        <f aca="false">IF(L1339&gt;=2,"High",IF(L1339=1,"Medium","Low"))</f>
        <v>Low</v>
      </c>
    </row>
    <row r="1340" customFormat="false" ht="15" hidden="false" customHeight="true" outlineLevel="0" collapsed="false">
      <c r="A1340" s="1" t="str">
        <f aca="false">Transactions!A1340</f>
        <v>TXN501162</v>
      </c>
      <c r="B1340" s="1" t="str">
        <f aca="false">Transactions!B1340</f>
        <v>ACC1051</v>
      </c>
      <c r="C1340" s="1" t="str">
        <f aca="false">Transactions!I1340</f>
        <v>2026-03-24</v>
      </c>
      <c r="D1340" s="1" t="n">
        <f aca="false">Transactions!J1340</f>
        <v>8</v>
      </c>
      <c r="E1340" s="1" t="n">
        <f aca="false">Transactions!D1340</f>
        <v>524.19</v>
      </c>
      <c r="F1340" s="1" t="str">
        <f aca="false">Transactions!H1340</f>
        <v>POS</v>
      </c>
      <c r="G1340" s="1" t="str">
        <f aca="false">Transactions!G1340</f>
        <v>Wire Transfer</v>
      </c>
      <c r="H1340" s="1" t="n">
        <f aca="false">IF(COUNTIFS($B$2:$B$1489,B1340,$C$2:$C$1489,C1340,$D$2:$D$1489,D1340)&gt;6,1,0)</f>
        <v>0</v>
      </c>
      <c r="I1340" s="1" t="n">
        <f aca="false">IF(AND(F1340="Wire",E1340&gt;=1000,MOD(E1340,1000)=0),1,0)</f>
        <v>0</v>
      </c>
      <c r="J1340" s="1" t="n">
        <f aca="false">IF(AND(F1340="ATM",E1340&gt;2000,D1340&lt;=4),1,0)</f>
        <v>0</v>
      </c>
      <c r="K1340" s="1" t="n">
        <f aca="false">IF(COUNTIF('SQL Findings'!$A$4:$A$18,B1340)&gt;0,1,0)</f>
        <v>0</v>
      </c>
      <c r="L1340" s="1" t="n">
        <f aca="false">SUM(H1340:K1340)</f>
        <v>0</v>
      </c>
      <c r="M1340" s="1" t="str">
        <f aca="false">IF(L1340&gt;=2,"High",IF(L1340=1,"Medium","Low"))</f>
        <v>Low</v>
      </c>
    </row>
    <row r="1341" customFormat="false" ht="15" hidden="false" customHeight="true" outlineLevel="0" collapsed="false">
      <c r="A1341" s="1" t="str">
        <f aca="false">Transactions!A1341</f>
        <v>TXN501351</v>
      </c>
      <c r="B1341" s="1" t="str">
        <f aca="false">Transactions!B1341</f>
        <v>ACC1058</v>
      </c>
      <c r="C1341" s="1" t="str">
        <f aca="false">Transactions!I1341</f>
        <v>2026-03-24</v>
      </c>
      <c r="D1341" s="1" t="n">
        <f aca="false">Transactions!J1341</f>
        <v>8</v>
      </c>
      <c r="E1341" s="1" t="n">
        <f aca="false">Transactions!D1341</f>
        <v>23.26</v>
      </c>
      <c r="F1341" s="1" t="str">
        <f aca="false">Transactions!H1341</f>
        <v>POS</v>
      </c>
      <c r="G1341" s="1" t="str">
        <f aca="false">Transactions!G1341</f>
        <v>Electronics</v>
      </c>
      <c r="H1341" s="1" t="n">
        <f aca="false">IF(COUNTIFS($B$2:$B$1489,B1341,$C$2:$C$1489,C1341,$D$2:$D$1489,D1341)&gt;6,1,0)</f>
        <v>0</v>
      </c>
      <c r="I1341" s="1" t="n">
        <f aca="false">IF(AND(F1341="Wire",E1341&gt;=1000,MOD(E1341,1000)=0),1,0)</f>
        <v>0</v>
      </c>
      <c r="J1341" s="1" t="n">
        <f aca="false">IF(AND(F1341="ATM",E1341&gt;2000,D1341&lt;=4),1,0)</f>
        <v>0</v>
      </c>
      <c r="K1341" s="1" t="n">
        <f aca="false">IF(COUNTIF('SQL Findings'!$A$4:$A$18,B1341)&gt;0,1,0)</f>
        <v>0</v>
      </c>
      <c r="L1341" s="1" t="n">
        <f aca="false">SUM(H1341:K1341)</f>
        <v>0</v>
      </c>
      <c r="M1341" s="1" t="str">
        <f aca="false">IF(L1341&gt;=2,"High",IF(L1341=1,"Medium","Low"))</f>
        <v>Low</v>
      </c>
    </row>
    <row r="1342" customFormat="false" ht="15" hidden="false" customHeight="true" outlineLevel="0" collapsed="false">
      <c r="A1342" s="1" t="str">
        <f aca="false">Transactions!A1342</f>
        <v>TXN500948</v>
      </c>
      <c r="B1342" s="1" t="str">
        <f aca="false">Transactions!B1342</f>
        <v>ACC1041</v>
      </c>
      <c r="C1342" s="1" t="str">
        <f aca="false">Transactions!I1342</f>
        <v>2026-03-24</v>
      </c>
      <c r="D1342" s="1" t="n">
        <f aca="false">Transactions!J1342</f>
        <v>9</v>
      </c>
      <c r="E1342" s="1" t="n">
        <f aca="false">Transactions!D1342</f>
        <v>35.78</v>
      </c>
      <c r="F1342" s="1" t="str">
        <f aca="false">Transactions!H1342</f>
        <v>POS</v>
      </c>
      <c r="G1342" s="1" t="str">
        <f aca="false">Transactions!G1342</f>
        <v>Travel</v>
      </c>
      <c r="H1342" s="1" t="n">
        <f aca="false">IF(COUNTIFS($B$2:$B$1489,B1342,$C$2:$C$1489,C1342,$D$2:$D$1489,D1342)&gt;6,1,0)</f>
        <v>0</v>
      </c>
      <c r="I1342" s="1" t="n">
        <f aca="false">IF(AND(F1342="Wire",E1342&gt;=1000,MOD(E1342,1000)=0),1,0)</f>
        <v>0</v>
      </c>
      <c r="J1342" s="1" t="n">
        <f aca="false">IF(AND(F1342="ATM",E1342&gt;2000,D1342&lt;=4),1,0)</f>
        <v>0</v>
      </c>
      <c r="K1342" s="1" t="n">
        <f aca="false">IF(COUNTIF('SQL Findings'!$A$4:$A$18,B1342)&gt;0,1,0)</f>
        <v>1</v>
      </c>
      <c r="L1342" s="1" t="n">
        <f aca="false">SUM(H1342:K1342)</f>
        <v>1</v>
      </c>
      <c r="M1342" s="1" t="str">
        <f aca="false">IF(L1342&gt;=2,"High",IF(L1342=1,"Medium","Low"))</f>
        <v>Medium</v>
      </c>
    </row>
    <row r="1343" customFormat="false" ht="15" hidden="false" customHeight="true" outlineLevel="0" collapsed="false">
      <c r="A1343" s="1" t="str">
        <f aca="false">Transactions!A1343</f>
        <v>TXN500961</v>
      </c>
      <c r="B1343" s="1" t="str">
        <f aca="false">Transactions!B1343</f>
        <v>ACC1042</v>
      </c>
      <c r="C1343" s="1" t="str">
        <f aca="false">Transactions!I1343</f>
        <v>2026-03-24</v>
      </c>
      <c r="D1343" s="1" t="n">
        <f aca="false">Transactions!J1343</f>
        <v>10</v>
      </c>
      <c r="E1343" s="1" t="n">
        <f aca="false">Transactions!D1343</f>
        <v>118.92</v>
      </c>
      <c r="F1343" s="1" t="str">
        <f aca="false">Transactions!H1343</f>
        <v>POS</v>
      </c>
      <c r="G1343" s="1" t="str">
        <f aca="false">Transactions!G1343</f>
        <v>Cash Withdrawal</v>
      </c>
      <c r="H1343" s="1" t="n">
        <f aca="false">IF(COUNTIFS($B$2:$B$1489,B1343,$C$2:$C$1489,C1343,$D$2:$D$1489,D1343)&gt;6,1,0)</f>
        <v>0</v>
      </c>
      <c r="I1343" s="1" t="n">
        <f aca="false">IF(AND(F1343="Wire",E1343&gt;=1000,MOD(E1343,1000)=0),1,0)</f>
        <v>0</v>
      </c>
      <c r="J1343" s="1" t="n">
        <f aca="false">IF(AND(F1343="ATM",E1343&gt;2000,D1343&lt;=4),1,0)</f>
        <v>0</v>
      </c>
      <c r="K1343" s="1" t="n">
        <f aca="false">IF(COUNTIF('SQL Findings'!$A$4:$A$18,B1343)&gt;0,1,0)</f>
        <v>1</v>
      </c>
      <c r="L1343" s="1" t="n">
        <f aca="false">SUM(H1343:K1343)</f>
        <v>1</v>
      </c>
      <c r="M1343" s="1" t="str">
        <f aca="false">IF(L1343&gt;=2,"High",IF(L1343=1,"Medium","Low"))</f>
        <v>Medium</v>
      </c>
    </row>
    <row r="1344" customFormat="false" ht="15" hidden="false" customHeight="true" outlineLevel="0" collapsed="false">
      <c r="A1344" s="1" t="str">
        <f aca="false">Transactions!A1344</f>
        <v>TXN500115</v>
      </c>
      <c r="B1344" s="1" t="str">
        <f aca="false">Transactions!B1344</f>
        <v>ACC1004</v>
      </c>
      <c r="C1344" s="1" t="str">
        <f aca="false">Transactions!I1344</f>
        <v>2026-03-24</v>
      </c>
      <c r="D1344" s="1" t="n">
        <f aca="false">Transactions!J1344</f>
        <v>10</v>
      </c>
      <c r="E1344" s="1" t="n">
        <f aca="false">Transactions!D1344</f>
        <v>56.09</v>
      </c>
      <c r="F1344" s="1" t="str">
        <f aca="false">Transactions!H1344</f>
        <v>POS</v>
      </c>
      <c r="G1344" s="1" t="str">
        <f aca="false">Transactions!G1344</f>
        <v>Online Marketplace</v>
      </c>
      <c r="H1344" s="1" t="n">
        <f aca="false">IF(COUNTIFS($B$2:$B$1489,B1344,$C$2:$C$1489,C1344,$D$2:$D$1489,D1344)&gt;6,1,0)</f>
        <v>0</v>
      </c>
      <c r="I1344" s="1" t="n">
        <f aca="false">IF(AND(F1344="Wire",E1344&gt;=1000,MOD(E1344,1000)=0),1,0)</f>
        <v>0</v>
      </c>
      <c r="J1344" s="1" t="n">
        <f aca="false">IF(AND(F1344="ATM",E1344&gt;2000,D1344&lt;=4),1,0)</f>
        <v>0</v>
      </c>
      <c r="K1344" s="1" t="n">
        <f aca="false">IF(COUNTIF('SQL Findings'!$A$4:$A$18,B1344)&gt;0,1,0)</f>
        <v>1</v>
      </c>
      <c r="L1344" s="1" t="n">
        <f aca="false">SUM(H1344:K1344)</f>
        <v>1</v>
      </c>
      <c r="M1344" s="1" t="str">
        <f aca="false">IF(L1344&gt;=2,"High",IF(L1344=1,"Medium","Low"))</f>
        <v>Medium</v>
      </c>
    </row>
    <row r="1345" customFormat="false" ht="15" hidden="false" customHeight="true" outlineLevel="0" collapsed="false">
      <c r="A1345" s="1" t="str">
        <f aca="false">Transactions!A1345</f>
        <v>TXN500331</v>
      </c>
      <c r="B1345" s="1" t="str">
        <f aca="false">Transactions!B1345</f>
        <v>ACC1014</v>
      </c>
      <c r="C1345" s="1" t="str">
        <f aca="false">Transactions!I1345</f>
        <v>2026-03-24</v>
      </c>
      <c r="D1345" s="1" t="n">
        <f aca="false">Transactions!J1345</f>
        <v>11</v>
      </c>
      <c r="E1345" s="1" t="n">
        <f aca="false">Transactions!D1345</f>
        <v>65.96</v>
      </c>
      <c r="F1345" s="1" t="str">
        <f aca="false">Transactions!H1345</f>
        <v>ATM</v>
      </c>
      <c r="G1345" s="1" t="str">
        <f aca="false">Transactions!G1345</f>
        <v>Electronics</v>
      </c>
      <c r="H1345" s="1" t="n">
        <f aca="false">IF(COUNTIFS($B$2:$B$1489,B1345,$C$2:$C$1489,C1345,$D$2:$D$1489,D1345)&gt;6,1,0)</f>
        <v>0</v>
      </c>
      <c r="I1345" s="1" t="n">
        <f aca="false">IF(AND(F1345="Wire",E1345&gt;=1000,MOD(E1345,1000)=0),1,0)</f>
        <v>0</v>
      </c>
      <c r="J1345" s="1" t="n">
        <f aca="false">IF(AND(F1345="ATM",E1345&gt;2000,D1345&lt;=4),1,0)</f>
        <v>0</v>
      </c>
      <c r="K1345" s="1" t="n">
        <f aca="false">IF(COUNTIF('SQL Findings'!$A$4:$A$18,B1345)&gt;0,1,0)</f>
        <v>1</v>
      </c>
      <c r="L1345" s="1" t="n">
        <f aca="false">SUM(H1345:K1345)</f>
        <v>1</v>
      </c>
      <c r="M1345" s="1" t="str">
        <f aca="false">IF(L1345&gt;=2,"High",IF(L1345=1,"Medium","Low"))</f>
        <v>Medium</v>
      </c>
    </row>
    <row r="1346" customFormat="false" ht="15" hidden="false" customHeight="true" outlineLevel="0" collapsed="false">
      <c r="A1346" s="1" t="str">
        <f aca="false">Transactions!A1346</f>
        <v>TXN500761</v>
      </c>
      <c r="B1346" s="1" t="str">
        <f aca="false">Transactions!B1346</f>
        <v>ACC1033</v>
      </c>
      <c r="C1346" s="1" t="str">
        <f aca="false">Transactions!I1346</f>
        <v>2026-03-24</v>
      </c>
      <c r="D1346" s="1" t="n">
        <f aca="false">Transactions!J1346</f>
        <v>12</v>
      </c>
      <c r="E1346" s="1" t="n">
        <f aca="false">Transactions!D1346</f>
        <v>39.72</v>
      </c>
      <c r="F1346" s="1" t="str">
        <f aca="false">Transactions!H1346</f>
        <v>Online</v>
      </c>
      <c r="G1346" s="1" t="str">
        <f aca="false">Transactions!G1346</f>
        <v>Cash Withdrawal</v>
      </c>
      <c r="H1346" s="1" t="n">
        <f aca="false">IF(COUNTIFS($B$2:$B$1489,B1346,$C$2:$C$1489,C1346,$D$2:$D$1489,D1346)&gt;6,1,0)</f>
        <v>0</v>
      </c>
      <c r="I1346" s="1" t="n">
        <f aca="false">IF(AND(F1346="Wire",E1346&gt;=1000,MOD(E1346,1000)=0),1,0)</f>
        <v>0</v>
      </c>
      <c r="J1346" s="1" t="n">
        <f aca="false">IF(AND(F1346="ATM",E1346&gt;2000,D1346&lt;=4),1,0)</f>
        <v>0</v>
      </c>
      <c r="K1346" s="1" t="n">
        <f aca="false">IF(COUNTIF('SQL Findings'!$A$4:$A$18,B1346)&gt;0,1,0)</f>
        <v>0</v>
      </c>
      <c r="L1346" s="1" t="n">
        <f aca="false">SUM(H1346:K1346)</f>
        <v>0</v>
      </c>
      <c r="M1346" s="1" t="str">
        <f aca="false">IF(L1346&gt;=2,"High",IF(L1346=1,"Medium","Low"))</f>
        <v>Low</v>
      </c>
    </row>
    <row r="1347" customFormat="false" ht="15" hidden="false" customHeight="true" outlineLevel="0" collapsed="false">
      <c r="A1347" s="1" t="str">
        <f aca="false">Transactions!A1347</f>
        <v>TXN500910</v>
      </c>
      <c r="B1347" s="1" t="str">
        <f aca="false">Transactions!B1347</f>
        <v>ACC1039</v>
      </c>
      <c r="C1347" s="1" t="str">
        <f aca="false">Transactions!I1347</f>
        <v>2026-03-24</v>
      </c>
      <c r="D1347" s="1" t="n">
        <f aca="false">Transactions!J1347</f>
        <v>12</v>
      </c>
      <c r="E1347" s="1" t="n">
        <f aca="false">Transactions!D1347</f>
        <v>467.28</v>
      </c>
      <c r="F1347" s="1" t="str">
        <f aca="false">Transactions!H1347</f>
        <v>ATM</v>
      </c>
      <c r="G1347" s="1" t="str">
        <f aca="false">Transactions!G1347</f>
        <v>Utilities</v>
      </c>
      <c r="H1347" s="1" t="n">
        <f aca="false">IF(COUNTIFS($B$2:$B$1489,B1347,$C$2:$C$1489,C1347,$D$2:$D$1489,D1347)&gt;6,1,0)</f>
        <v>0</v>
      </c>
      <c r="I1347" s="1" t="n">
        <f aca="false">IF(AND(F1347="Wire",E1347&gt;=1000,MOD(E1347,1000)=0),1,0)</f>
        <v>0</v>
      </c>
      <c r="J1347" s="1" t="n">
        <f aca="false">IF(AND(F1347="ATM",E1347&gt;2000,D1347&lt;=4),1,0)</f>
        <v>0</v>
      </c>
      <c r="K1347" s="1" t="n">
        <f aca="false">IF(COUNTIF('SQL Findings'!$A$4:$A$18,B1347)&gt;0,1,0)</f>
        <v>0</v>
      </c>
      <c r="L1347" s="1" t="n">
        <f aca="false">SUM(H1347:K1347)</f>
        <v>0</v>
      </c>
      <c r="M1347" s="1" t="str">
        <f aca="false">IF(L1347&gt;=2,"High",IF(L1347=1,"Medium","Low"))</f>
        <v>Low</v>
      </c>
    </row>
    <row r="1348" customFormat="false" ht="15" hidden="false" customHeight="true" outlineLevel="0" collapsed="false">
      <c r="A1348" s="1" t="str">
        <f aca="false">Transactions!A1348</f>
        <v>TXN500806</v>
      </c>
      <c r="B1348" s="1" t="str">
        <f aca="false">Transactions!B1348</f>
        <v>ACC1034</v>
      </c>
      <c r="C1348" s="1" t="str">
        <f aca="false">Transactions!I1348</f>
        <v>2026-03-24</v>
      </c>
      <c r="D1348" s="1" t="n">
        <f aca="false">Transactions!J1348</f>
        <v>13</v>
      </c>
      <c r="E1348" s="1" t="n">
        <f aca="false">Transactions!D1348</f>
        <v>50.49</v>
      </c>
      <c r="F1348" s="1" t="str">
        <f aca="false">Transactions!H1348</f>
        <v>ATM</v>
      </c>
      <c r="G1348" s="1" t="str">
        <f aca="false">Transactions!G1348</f>
        <v>Utilities</v>
      </c>
      <c r="H1348" s="1" t="n">
        <f aca="false">IF(COUNTIFS($B$2:$B$1489,B1348,$C$2:$C$1489,C1348,$D$2:$D$1489,D1348)&gt;6,1,0)</f>
        <v>0</v>
      </c>
      <c r="I1348" s="1" t="n">
        <f aca="false">IF(AND(F1348="Wire",E1348&gt;=1000,MOD(E1348,1000)=0),1,0)</f>
        <v>0</v>
      </c>
      <c r="J1348" s="1" t="n">
        <f aca="false">IF(AND(F1348="ATM",E1348&gt;2000,D1348&lt;=4),1,0)</f>
        <v>0</v>
      </c>
      <c r="K1348" s="1" t="n">
        <f aca="false">IF(COUNTIF('SQL Findings'!$A$4:$A$18,B1348)&gt;0,1,0)</f>
        <v>0</v>
      </c>
      <c r="L1348" s="1" t="n">
        <f aca="false">SUM(H1348:K1348)</f>
        <v>0</v>
      </c>
      <c r="M1348" s="1" t="str">
        <f aca="false">IF(L1348&gt;=2,"High",IF(L1348=1,"Medium","Low"))</f>
        <v>Low</v>
      </c>
    </row>
    <row r="1349" customFormat="false" ht="15" hidden="false" customHeight="true" outlineLevel="0" collapsed="false">
      <c r="A1349" s="1" t="str">
        <f aca="false">Transactions!A1349</f>
        <v>TXN501463</v>
      </c>
      <c r="B1349" s="1" t="str">
        <f aca="false">Transactions!B1349</f>
        <v>ACC1039</v>
      </c>
      <c r="C1349" s="1" t="str">
        <f aca="false">Transactions!I1349</f>
        <v>2026-03-24</v>
      </c>
      <c r="D1349" s="1" t="n">
        <f aca="false">Transactions!J1349</f>
        <v>14</v>
      </c>
      <c r="E1349" s="1" t="n">
        <f aca="false">Transactions!D1349</f>
        <v>3000</v>
      </c>
      <c r="F1349" s="1" t="str">
        <f aca="false">Transactions!H1349</f>
        <v>Wire</v>
      </c>
      <c r="G1349" s="1" t="str">
        <f aca="false">Transactions!G1349</f>
        <v>Wire Transfer</v>
      </c>
      <c r="H1349" s="1" t="n">
        <f aca="false">IF(COUNTIFS($B$2:$B$1489,B1349,$C$2:$C$1489,C1349,$D$2:$D$1489,D1349)&gt;6,1,0)</f>
        <v>0</v>
      </c>
      <c r="I1349" s="1" t="n">
        <f aca="false">IF(AND(F1349="Wire",E1349&gt;=1000,MOD(E1349,1000)=0),1,0)</f>
        <v>1</v>
      </c>
      <c r="J1349" s="1" t="n">
        <f aca="false">IF(AND(F1349="ATM",E1349&gt;2000,D1349&lt;=4),1,0)</f>
        <v>0</v>
      </c>
      <c r="K1349" s="1" t="n">
        <f aca="false">IF(COUNTIF('SQL Findings'!$A$4:$A$18,B1349)&gt;0,1,0)</f>
        <v>0</v>
      </c>
      <c r="L1349" s="1" t="n">
        <f aca="false">SUM(H1349:K1349)</f>
        <v>1</v>
      </c>
      <c r="M1349" s="1" t="str">
        <f aca="false">IF(L1349&gt;=2,"High",IF(L1349=1,"Medium","Low"))</f>
        <v>Medium</v>
      </c>
    </row>
    <row r="1350" customFormat="false" ht="15" hidden="false" customHeight="true" outlineLevel="0" collapsed="false">
      <c r="A1350" s="1" t="str">
        <f aca="false">Transactions!A1350</f>
        <v>TXN500498</v>
      </c>
      <c r="B1350" s="1" t="str">
        <f aca="false">Transactions!B1350</f>
        <v>ACC1022</v>
      </c>
      <c r="C1350" s="1" t="str">
        <f aca="false">Transactions!I1350</f>
        <v>2026-03-24</v>
      </c>
      <c r="D1350" s="1" t="n">
        <f aca="false">Transactions!J1350</f>
        <v>14</v>
      </c>
      <c r="E1350" s="1" t="n">
        <f aca="false">Transactions!D1350</f>
        <v>56.19</v>
      </c>
      <c r="F1350" s="1" t="str">
        <f aca="false">Transactions!H1350</f>
        <v>ATM</v>
      </c>
      <c r="G1350" s="1" t="str">
        <f aca="false">Transactions!G1350</f>
        <v>Cash Withdrawal</v>
      </c>
      <c r="H1350" s="1" t="n">
        <f aca="false">IF(COUNTIFS($B$2:$B$1489,B1350,$C$2:$C$1489,C1350,$D$2:$D$1489,D1350)&gt;6,1,0)</f>
        <v>0</v>
      </c>
      <c r="I1350" s="1" t="n">
        <f aca="false">IF(AND(F1350="Wire",E1350&gt;=1000,MOD(E1350,1000)=0),1,0)</f>
        <v>0</v>
      </c>
      <c r="J1350" s="1" t="n">
        <f aca="false">IF(AND(F1350="ATM",E1350&gt;2000,D1350&lt;=4),1,0)</f>
        <v>0</v>
      </c>
      <c r="K1350" s="1" t="n">
        <f aca="false">IF(COUNTIF('SQL Findings'!$A$4:$A$18,B1350)&gt;0,1,0)</f>
        <v>0</v>
      </c>
      <c r="L1350" s="1" t="n">
        <f aca="false">SUM(H1350:K1350)</f>
        <v>0</v>
      </c>
      <c r="M1350" s="1" t="str">
        <f aca="false">IF(L1350&gt;=2,"High",IF(L1350=1,"Medium","Low"))</f>
        <v>Low</v>
      </c>
    </row>
    <row r="1351" customFormat="false" ht="15" hidden="false" customHeight="true" outlineLevel="0" collapsed="false">
      <c r="A1351" s="1" t="str">
        <f aca="false">Transactions!A1351</f>
        <v>TXN500942</v>
      </c>
      <c r="B1351" s="1" t="str">
        <f aca="false">Transactions!B1351</f>
        <v>ACC1041</v>
      </c>
      <c r="C1351" s="1" t="str">
        <f aca="false">Transactions!I1351</f>
        <v>2026-03-24</v>
      </c>
      <c r="D1351" s="1" t="n">
        <f aca="false">Transactions!J1351</f>
        <v>15</v>
      </c>
      <c r="E1351" s="1" t="n">
        <f aca="false">Transactions!D1351</f>
        <v>146.23</v>
      </c>
      <c r="F1351" s="1" t="str">
        <f aca="false">Transactions!H1351</f>
        <v>ATM</v>
      </c>
      <c r="G1351" s="1" t="str">
        <f aca="false">Transactions!G1351</f>
        <v>Retail</v>
      </c>
      <c r="H1351" s="1" t="n">
        <f aca="false">IF(COUNTIFS($B$2:$B$1489,B1351,$C$2:$C$1489,C1351,$D$2:$D$1489,D1351)&gt;6,1,0)</f>
        <v>0</v>
      </c>
      <c r="I1351" s="1" t="n">
        <f aca="false">IF(AND(F1351="Wire",E1351&gt;=1000,MOD(E1351,1000)=0),1,0)</f>
        <v>0</v>
      </c>
      <c r="J1351" s="1" t="n">
        <f aca="false">IF(AND(F1351="ATM",E1351&gt;2000,D1351&lt;=4),1,0)</f>
        <v>0</v>
      </c>
      <c r="K1351" s="1" t="n">
        <f aca="false">IF(COUNTIF('SQL Findings'!$A$4:$A$18,B1351)&gt;0,1,0)</f>
        <v>1</v>
      </c>
      <c r="L1351" s="1" t="n">
        <f aca="false">SUM(H1351:K1351)</f>
        <v>1</v>
      </c>
      <c r="M1351" s="1" t="str">
        <f aca="false">IF(L1351&gt;=2,"High",IF(L1351=1,"Medium","Low"))</f>
        <v>Medium</v>
      </c>
    </row>
    <row r="1352" customFormat="false" ht="15" hidden="false" customHeight="true" outlineLevel="0" collapsed="false">
      <c r="A1352" s="1" t="str">
        <f aca="false">Transactions!A1352</f>
        <v>TXN500396</v>
      </c>
      <c r="B1352" s="1" t="str">
        <f aca="false">Transactions!B1352</f>
        <v>ACC1017</v>
      </c>
      <c r="C1352" s="1" t="str">
        <f aca="false">Transactions!I1352</f>
        <v>2026-03-24</v>
      </c>
      <c r="D1352" s="1" t="n">
        <f aca="false">Transactions!J1352</f>
        <v>16</v>
      </c>
      <c r="E1352" s="1" t="n">
        <f aca="false">Transactions!D1352</f>
        <v>43.72</v>
      </c>
      <c r="F1352" s="1" t="str">
        <f aca="false">Transactions!H1352</f>
        <v>ATM</v>
      </c>
      <c r="G1352" s="1" t="str">
        <f aca="false">Transactions!G1352</f>
        <v>Dining</v>
      </c>
      <c r="H1352" s="1" t="n">
        <f aca="false">IF(COUNTIFS($B$2:$B$1489,B1352,$C$2:$C$1489,C1352,$D$2:$D$1489,D1352)&gt;6,1,0)</f>
        <v>0</v>
      </c>
      <c r="I1352" s="1" t="n">
        <f aca="false">IF(AND(F1352="Wire",E1352&gt;=1000,MOD(E1352,1000)=0),1,0)</f>
        <v>0</v>
      </c>
      <c r="J1352" s="1" t="n">
        <f aca="false">IF(AND(F1352="ATM",E1352&gt;2000,D1352&lt;=4),1,0)</f>
        <v>0</v>
      </c>
      <c r="K1352" s="1" t="n">
        <f aca="false">IF(COUNTIF('SQL Findings'!$A$4:$A$18,B1352)&gt;0,1,0)</f>
        <v>0</v>
      </c>
      <c r="L1352" s="1" t="n">
        <f aca="false">SUM(H1352:K1352)</f>
        <v>0</v>
      </c>
      <c r="M1352" s="1" t="str">
        <f aca="false">IF(L1352&gt;=2,"High",IF(L1352=1,"Medium","Low"))</f>
        <v>Low</v>
      </c>
    </row>
    <row r="1353" customFormat="false" ht="15" hidden="false" customHeight="true" outlineLevel="0" collapsed="false">
      <c r="A1353" s="1" t="str">
        <f aca="false">Transactions!A1353</f>
        <v>TXN501325</v>
      </c>
      <c r="B1353" s="1" t="str">
        <f aca="false">Transactions!B1353</f>
        <v>ACC1058</v>
      </c>
      <c r="C1353" s="1" t="str">
        <f aca="false">Transactions!I1353</f>
        <v>2026-03-24</v>
      </c>
      <c r="D1353" s="1" t="n">
        <f aca="false">Transactions!J1353</f>
        <v>16</v>
      </c>
      <c r="E1353" s="1" t="n">
        <f aca="false">Transactions!D1353</f>
        <v>70.67</v>
      </c>
      <c r="F1353" s="1" t="str">
        <f aca="false">Transactions!H1353</f>
        <v>ATM</v>
      </c>
      <c r="G1353" s="1" t="str">
        <f aca="false">Transactions!G1353</f>
        <v>Online Marketplace</v>
      </c>
      <c r="H1353" s="1" t="n">
        <f aca="false">IF(COUNTIFS($B$2:$B$1489,B1353,$C$2:$C$1489,C1353,$D$2:$D$1489,D1353)&gt;6,1,0)</f>
        <v>0</v>
      </c>
      <c r="I1353" s="1" t="n">
        <f aca="false">IF(AND(F1353="Wire",E1353&gt;=1000,MOD(E1353,1000)=0),1,0)</f>
        <v>0</v>
      </c>
      <c r="J1353" s="1" t="n">
        <f aca="false">IF(AND(F1353="ATM",E1353&gt;2000,D1353&lt;=4),1,0)</f>
        <v>0</v>
      </c>
      <c r="K1353" s="1" t="n">
        <f aca="false">IF(COUNTIF('SQL Findings'!$A$4:$A$18,B1353)&gt;0,1,0)</f>
        <v>0</v>
      </c>
      <c r="L1353" s="1" t="n">
        <f aca="false">SUM(H1353:K1353)</f>
        <v>0</v>
      </c>
      <c r="M1353" s="1" t="str">
        <f aca="false">IF(L1353&gt;=2,"High",IF(L1353=1,"Medium","Low"))</f>
        <v>Low</v>
      </c>
    </row>
    <row r="1354" customFormat="false" ht="15" hidden="false" customHeight="true" outlineLevel="0" collapsed="false">
      <c r="A1354" s="1" t="str">
        <f aca="false">Transactions!A1354</f>
        <v>TXN500297</v>
      </c>
      <c r="B1354" s="1" t="str">
        <f aca="false">Transactions!B1354</f>
        <v>ACC1013</v>
      </c>
      <c r="C1354" s="1" t="str">
        <f aca="false">Transactions!I1354</f>
        <v>2026-03-24</v>
      </c>
      <c r="D1354" s="1" t="n">
        <f aca="false">Transactions!J1354</f>
        <v>17</v>
      </c>
      <c r="E1354" s="1" t="n">
        <f aca="false">Transactions!D1354</f>
        <v>149.85</v>
      </c>
      <c r="F1354" s="1" t="str">
        <f aca="false">Transactions!H1354</f>
        <v>POS</v>
      </c>
      <c r="G1354" s="1" t="str">
        <f aca="false">Transactions!G1354</f>
        <v>Electronics</v>
      </c>
      <c r="H1354" s="1" t="n">
        <f aca="false">IF(COUNTIFS($B$2:$B$1489,B1354,$C$2:$C$1489,C1354,$D$2:$D$1489,D1354)&gt;6,1,0)</f>
        <v>0</v>
      </c>
      <c r="I1354" s="1" t="n">
        <f aca="false">IF(AND(F1354="Wire",E1354&gt;=1000,MOD(E1354,1000)=0),1,0)</f>
        <v>0</v>
      </c>
      <c r="J1354" s="1" t="n">
        <f aca="false">IF(AND(F1354="ATM",E1354&gt;2000,D1354&lt;=4),1,0)</f>
        <v>0</v>
      </c>
      <c r="K1354" s="1" t="n">
        <f aca="false">IF(COUNTIF('SQL Findings'!$A$4:$A$18,B1354)&gt;0,1,0)</f>
        <v>0</v>
      </c>
      <c r="L1354" s="1" t="n">
        <f aca="false">SUM(H1354:K1354)</f>
        <v>0</v>
      </c>
      <c r="M1354" s="1" t="str">
        <f aca="false">IF(L1354&gt;=2,"High",IF(L1354=1,"Medium","Low"))</f>
        <v>Low</v>
      </c>
    </row>
    <row r="1355" customFormat="false" ht="15" hidden="false" customHeight="true" outlineLevel="0" collapsed="false">
      <c r="A1355" s="1" t="str">
        <f aca="false">Transactions!A1355</f>
        <v>TXN500872</v>
      </c>
      <c r="B1355" s="1" t="str">
        <f aca="false">Transactions!B1355</f>
        <v>ACC1037</v>
      </c>
      <c r="C1355" s="1" t="str">
        <f aca="false">Transactions!I1355</f>
        <v>2026-03-24</v>
      </c>
      <c r="D1355" s="1" t="n">
        <f aca="false">Transactions!J1355</f>
        <v>20</v>
      </c>
      <c r="E1355" s="1" t="n">
        <f aca="false">Transactions!D1355</f>
        <v>32.51</v>
      </c>
      <c r="F1355" s="1" t="str">
        <f aca="false">Transactions!H1355</f>
        <v>Online</v>
      </c>
      <c r="G1355" s="1" t="str">
        <f aca="false">Transactions!G1355</f>
        <v>Online Marketplace</v>
      </c>
      <c r="H1355" s="1" t="n">
        <f aca="false">IF(COUNTIFS($B$2:$B$1489,B1355,$C$2:$C$1489,C1355,$D$2:$D$1489,D1355)&gt;6,1,0)</f>
        <v>0</v>
      </c>
      <c r="I1355" s="1" t="n">
        <f aca="false">IF(AND(F1355="Wire",E1355&gt;=1000,MOD(E1355,1000)=0),1,0)</f>
        <v>0</v>
      </c>
      <c r="J1355" s="1" t="n">
        <f aca="false">IF(AND(F1355="ATM",E1355&gt;2000,D1355&lt;=4),1,0)</f>
        <v>0</v>
      </c>
      <c r="K1355" s="1" t="n">
        <f aca="false">IF(COUNTIF('SQL Findings'!$A$4:$A$18,B1355)&gt;0,1,0)</f>
        <v>1</v>
      </c>
      <c r="L1355" s="1" t="n">
        <f aca="false">SUM(H1355:K1355)</f>
        <v>1</v>
      </c>
      <c r="M1355" s="1" t="str">
        <f aca="false">IF(L1355&gt;=2,"High",IF(L1355=1,"Medium","Low"))</f>
        <v>Medium</v>
      </c>
    </row>
    <row r="1356" customFormat="false" ht="15" hidden="false" customHeight="true" outlineLevel="0" collapsed="false">
      <c r="A1356" s="1" t="str">
        <f aca="false">Transactions!A1356</f>
        <v>TXN500254</v>
      </c>
      <c r="B1356" s="1" t="str">
        <f aca="false">Transactions!B1356</f>
        <v>ACC1010</v>
      </c>
      <c r="C1356" s="1" t="str">
        <f aca="false">Transactions!I1356</f>
        <v>2026-03-24</v>
      </c>
      <c r="D1356" s="1" t="n">
        <f aca="false">Transactions!J1356</f>
        <v>22</v>
      </c>
      <c r="E1356" s="1" t="n">
        <f aca="false">Transactions!D1356</f>
        <v>168.89</v>
      </c>
      <c r="F1356" s="1" t="str">
        <f aca="false">Transactions!H1356</f>
        <v>Online</v>
      </c>
      <c r="G1356" s="1" t="str">
        <f aca="false">Transactions!G1356</f>
        <v>Online Marketplace</v>
      </c>
      <c r="H1356" s="1" t="n">
        <f aca="false">IF(COUNTIFS($B$2:$B$1489,B1356,$C$2:$C$1489,C1356,$D$2:$D$1489,D1356)&gt;6,1,0)</f>
        <v>0</v>
      </c>
      <c r="I1356" s="1" t="n">
        <f aca="false">IF(AND(F1356="Wire",E1356&gt;=1000,MOD(E1356,1000)=0),1,0)</f>
        <v>0</v>
      </c>
      <c r="J1356" s="1" t="n">
        <f aca="false">IF(AND(F1356="ATM",E1356&gt;2000,D1356&lt;=4),1,0)</f>
        <v>0</v>
      </c>
      <c r="K1356" s="1" t="n">
        <f aca="false">IF(COUNTIF('SQL Findings'!$A$4:$A$18,B1356)&gt;0,1,0)</f>
        <v>0</v>
      </c>
      <c r="L1356" s="1" t="n">
        <f aca="false">SUM(H1356:K1356)</f>
        <v>0</v>
      </c>
      <c r="M1356" s="1" t="str">
        <f aca="false">IF(L1356&gt;=2,"High",IF(L1356=1,"Medium","Low"))</f>
        <v>Low</v>
      </c>
    </row>
    <row r="1357" customFormat="false" ht="15" hidden="false" customHeight="true" outlineLevel="0" collapsed="false">
      <c r="A1357" s="1" t="str">
        <f aca="false">Transactions!A1357</f>
        <v>TXN500482</v>
      </c>
      <c r="B1357" s="1" t="str">
        <f aca="false">Transactions!B1357</f>
        <v>ACC1021</v>
      </c>
      <c r="C1357" s="1" t="str">
        <f aca="false">Transactions!I1357</f>
        <v>2026-03-24</v>
      </c>
      <c r="D1357" s="1" t="n">
        <f aca="false">Transactions!J1357</f>
        <v>22</v>
      </c>
      <c r="E1357" s="1" t="n">
        <f aca="false">Transactions!D1357</f>
        <v>28.22</v>
      </c>
      <c r="F1357" s="1" t="str">
        <f aca="false">Transactions!H1357</f>
        <v>Online</v>
      </c>
      <c r="G1357" s="1" t="str">
        <f aca="false">Transactions!G1357</f>
        <v>Wire Transfer</v>
      </c>
      <c r="H1357" s="1" t="n">
        <f aca="false">IF(COUNTIFS($B$2:$B$1489,B1357,$C$2:$C$1489,C1357,$D$2:$D$1489,D1357)&gt;6,1,0)</f>
        <v>0</v>
      </c>
      <c r="I1357" s="1" t="n">
        <f aca="false">IF(AND(F1357="Wire",E1357&gt;=1000,MOD(E1357,1000)=0),1,0)</f>
        <v>0</v>
      </c>
      <c r="J1357" s="1" t="n">
        <f aca="false">IF(AND(F1357="ATM",E1357&gt;2000,D1357&lt;=4),1,0)</f>
        <v>0</v>
      </c>
      <c r="K1357" s="1" t="n">
        <f aca="false">IF(COUNTIF('SQL Findings'!$A$4:$A$18,B1357)&gt;0,1,0)</f>
        <v>0</v>
      </c>
      <c r="L1357" s="1" t="n">
        <f aca="false">SUM(H1357:K1357)</f>
        <v>0</v>
      </c>
      <c r="M1357" s="1" t="str">
        <f aca="false">IF(L1357&gt;=2,"High",IF(L1357=1,"Medium","Low"))</f>
        <v>Low</v>
      </c>
    </row>
    <row r="1358" customFormat="false" ht="15" hidden="false" customHeight="true" outlineLevel="0" collapsed="false">
      <c r="A1358" s="1" t="str">
        <f aca="false">Transactions!A1358</f>
        <v>TXN500642</v>
      </c>
      <c r="B1358" s="1" t="str">
        <f aca="false">Transactions!B1358</f>
        <v>ACC1028</v>
      </c>
      <c r="C1358" s="1" t="str">
        <f aca="false">Transactions!I1358</f>
        <v>2026-03-24</v>
      </c>
      <c r="D1358" s="1" t="n">
        <f aca="false">Transactions!J1358</f>
        <v>23</v>
      </c>
      <c r="E1358" s="1" t="n">
        <f aca="false">Transactions!D1358</f>
        <v>299.5</v>
      </c>
      <c r="F1358" s="1" t="str">
        <f aca="false">Transactions!H1358</f>
        <v>ATM</v>
      </c>
      <c r="G1358" s="1" t="str">
        <f aca="false">Transactions!G1358</f>
        <v>Electronics</v>
      </c>
      <c r="H1358" s="1" t="n">
        <f aca="false">IF(COUNTIFS($B$2:$B$1489,B1358,$C$2:$C$1489,C1358,$D$2:$D$1489,D1358)&gt;6,1,0)</f>
        <v>0</v>
      </c>
      <c r="I1358" s="1" t="n">
        <f aca="false">IF(AND(F1358="Wire",E1358&gt;=1000,MOD(E1358,1000)=0),1,0)</f>
        <v>0</v>
      </c>
      <c r="J1358" s="1" t="n">
        <f aca="false">IF(AND(F1358="ATM",E1358&gt;2000,D1358&lt;=4),1,0)</f>
        <v>0</v>
      </c>
      <c r="K1358" s="1" t="n">
        <f aca="false">IF(COUNTIF('SQL Findings'!$A$4:$A$18,B1358)&gt;0,1,0)</f>
        <v>0</v>
      </c>
      <c r="L1358" s="1" t="n">
        <f aca="false">SUM(H1358:K1358)</f>
        <v>0</v>
      </c>
      <c r="M1358" s="1" t="str">
        <f aca="false">IF(L1358&gt;=2,"High",IF(L1358=1,"Medium","Low"))</f>
        <v>Low</v>
      </c>
    </row>
    <row r="1359" customFormat="false" ht="15" hidden="false" customHeight="true" outlineLevel="0" collapsed="false">
      <c r="A1359" s="1" t="str">
        <f aca="false">Transactions!A1359</f>
        <v>TXN500636</v>
      </c>
      <c r="B1359" s="1" t="str">
        <f aca="false">Transactions!B1359</f>
        <v>ACC1027</v>
      </c>
      <c r="C1359" s="1" t="str">
        <f aca="false">Transactions!I1359</f>
        <v>2026-03-25</v>
      </c>
      <c r="D1359" s="1" t="n">
        <f aca="false">Transactions!J1359</f>
        <v>4</v>
      </c>
      <c r="E1359" s="1" t="n">
        <f aca="false">Transactions!D1359</f>
        <v>15.04</v>
      </c>
      <c r="F1359" s="1" t="str">
        <f aca="false">Transactions!H1359</f>
        <v>POS</v>
      </c>
      <c r="G1359" s="1" t="str">
        <f aca="false">Transactions!G1359</f>
        <v>Retail</v>
      </c>
      <c r="H1359" s="1" t="n">
        <f aca="false">IF(COUNTIFS($B$2:$B$1489,B1359,$C$2:$C$1489,C1359,$D$2:$D$1489,D1359)&gt;6,1,0)</f>
        <v>0</v>
      </c>
      <c r="I1359" s="1" t="n">
        <f aca="false">IF(AND(F1359="Wire",E1359&gt;=1000,MOD(E1359,1000)=0),1,0)</f>
        <v>0</v>
      </c>
      <c r="J1359" s="1" t="n">
        <f aca="false">IF(AND(F1359="ATM",E1359&gt;2000,D1359&lt;=4),1,0)</f>
        <v>0</v>
      </c>
      <c r="K1359" s="1" t="n">
        <f aca="false">IF(COUNTIF('SQL Findings'!$A$4:$A$18,B1359)&gt;0,1,0)</f>
        <v>0</v>
      </c>
      <c r="L1359" s="1" t="n">
        <f aca="false">SUM(H1359:K1359)</f>
        <v>0</v>
      </c>
      <c r="M1359" s="1" t="str">
        <f aca="false">IF(L1359&gt;=2,"High",IF(L1359=1,"Medium","Low"))</f>
        <v>Low</v>
      </c>
    </row>
    <row r="1360" customFormat="false" ht="15" hidden="false" customHeight="true" outlineLevel="0" collapsed="false">
      <c r="A1360" s="1" t="str">
        <f aca="false">Transactions!A1360</f>
        <v>TXN500373</v>
      </c>
      <c r="B1360" s="1" t="str">
        <f aca="false">Transactions!B1360</f>
        <v>ACC1016</v>
      </c>
      <c r="C1360" s="1" t="str">
        <f aca="false">Transactions!I1360</f>
        <v>2026-03-25</v>
      </c>
      <c r="D1360" s="1" t="n">
        <f aca="false">Transactions!J1360</f>
        <v>8</v>
      </c>
      <c r="E1360" s="1" t="n">
        <f aca="false">Transactions!D1360</f>
        <v>246.17</v>
      </c>
      <c r="F1360" s="1" t="str">
        <f aca="false">Transactions!H1360</f>
        <v>ATM</v>
      </c>
      <c r="G1360" s="1" t="str">
        <f aca="false">Transactions!G1360</f>
        <v>Retail</v>
      </c>
      <c r="H1360" s="1" t="n">
        <f aca="false">IF(COUNTIFS($B$2:$B$1489,B1360,$C$2:$C$1489,C1360,$D$2:$D$1489,D1360)&gt;6,1,0)</f>
        <v>0</v>
      </c>
      <c r="I1360" s="1" t="n">
        <f aca="false">IF(AND(F1360="Wire",E1360&gt;=1000,MOD(E1360,1000)=0),1,0)</f>
        <v>0</v>
      </c>
      <c r="J1360" s="1" t="n">
        <f aca="false">IF(AND(F1360="ATM",E1360&gt;2000,D1360&lt;=4),1,0)</f>
        <v>0</v>
      </c>
      <c r="K1360" s="1" t="n">
        <f aca="false">IF(COUNTIF('SQL Findings'!$A$4:$A$18,B1360)&gt;0,1,0)</f>
        <v>0</v>
      </c>
      <c r="L1360" s="1" t="n">
        <f aca="false">SUM(H1360:K1360)</f>
        <v>0</v>
      </c>
      <c r="M1360" s="1" t="str">
        <f aca="false">IF(L1360&gt;=2,"High",IF(L1360=1,"Medium","Low"))</f>
        <v>Low</v>
      </c>
    </row>
    <row r="1361" customFormat="false" ht="15" hidden="false" customHeight="true" outlineLevel="0" collapsed="false">
      <c r="A1361" s="1" t="str">
        <f aca="false">Transactions!A1361</f>
        <v>TXN501074</v>
      </c>
      <c r="B1361" s="1" t="str">
        <f aca="false">Transactions!B1361</f>
        <v>ACC1047</v>
      </c>
      <c r="C1361" s="1" t="str">
        <f aca="false">Transactions!I1361</f>
        <v>2026-03-25</v>
      </c>
      <c r="D1361" s="1" t="n">
        <f aca="false">Transactions!J1361</f>
        <v>8</v>
      </c>
      <c r="E1361" s="1" t="n">
        <f aca="false">Transactions!D1361</f>
        <v>21.02</v>
      </c>
      <c r="F1361" s="1" t="str">
        <f aca="false">Transactions!H1361</f>
        <v>Online</v>
      </c>
      <c r="G1361" s="1" t="str">
        <f aca="false">Transactions!G1361</f>
        <v>Wire Transfer</v>
      </c>
      <c r="H1361" s="1" t="n">
        <f aca="false">IF(COUNTIFS($B$2:$B$1489,B1361,$C$2:$C$1489,C1361,$D$2:$D$1489,D1361)&gt;6,1,0)</f>
        <v>0</v>
      </c>
      <c r="I1361" s="1" t="n">
        <f aca="false">IF(AND(F1361="Wire",E1361&gt;=1000,MOD(E1361,1000)=0),1,0)</f>
        <v>0</v>
      </c>
      <c r="J1361" s="1" t="n">
        <f aca="false">IF(AND(F1361="ATM",E1361&gt;2000,D1361&lt;=4),1,0)</f>
        <v>0</v>
      </c>
      <c r="K1361" s="1" t="n">
        <f aca="false">IF(COUNTIF('SQL Findings'!$A$4:$A$18,B1361)&gt;0,1,0)</f>
        <v>0</v>
      </c>
      <c r="L1361" s="1" t="n">
        <f aca="false">SUM(H1361:K1361)</f>
        <v>0</v>
      </c>
      <c r="M1361" s="1" t="str">
        <f aca="false">IF(L1361&gt;=2,"High",IF(L1361=1,"Medium","Low"))</f>
        <v>Low</v>
      </c>
    </row>
    <row r="1362" customFormat="false" ht="15" hidden="false" customHeight="true" outlineLevel="0" collapsed="false">
      <c r="A1362" s="1" t="str">
        <f aca="false">Transactions!A1362</f>
        <v>TXN500978</v>
      </c>
      <c r="B1362" s="1" t="str">
        <f aca="false">Transactions!B1362</f>
        <v>ACC1042</v>
      </c>
      <c r="C1362" s="1" t="str">
        <f aca="false">Transactions!I1362</f>
        <v>2026-03-25</v>
      </c>
      <c r="D1362" s="1" t="n">
        <f aca="false">Transactions!J1362</f>
        <v>9</v>
      </c>
      <c r="E1362" s="1" t="n">
        <f aca="false">Transactions!D1362</f>
        <v>7.53</v>
      </c>
      <c r="F1362" s="1" t="str">
        <f aca="false">Transactions!H1362</f>
        <v>ATM</v>
      </c>
      <c r="G1362" s="1" t="str">
        <f aca="false">Transactions!G1362</f>
        <v>Utilities</v>
      </c>
      <c r="H1362" s="1" t="n">
        <f aca="false">IF(COUNTIFS($B$2:$B$1489,B1362,$C$2:$C$1489,C1362,$D$2:$D$1489,D1362)&gt;6,1,0)</f>
        <v>0</v>
      </c>
      <c r="I1362" s="1" t="n">
        <f aca="false">IF(AND(F1362="Wire",E1362&gt;=1000,MOD(E1362,1000)=0),1,0)</f>
        <v>0</v>
      </c>
      <c r="J1362" s="1" t="n">
        <f aca="false">IF(AND(F1362="ATM",E1362&gt;2000,D1362&lt;=4),1,0)</f>
        <v>0</v>
      </c>
      <c r="K1362" s="1" t="n">
        <f aca="false">IF(COUNTIF('SQL Findings'!$A$4:$A$18,B1362)&gt;0,1,0)</f>
        <v>1</v>
      </c>
      <c r="L1362" s="1" t="n">
        <f aca="false">SUM(H1362:K1362)</f>
        <v>1</v>
      </c>
      <c r="M1362" s="1" t="str">
        <f aca="false">IF(L1362&gt;=2,"High",IF(L1362=1,"Medium","Low"))</f>
        <v>Medium</v>
      </c>
    </row>
    <row r="1363" customFormat="false" ht="15" hidden="false" customHeight="true" outlineLevel="0" collapsed="false">
      <c r="A1363" s="1" t="str">
        <f aca="false">Transactions!A1363</f>
        <v>TXN500027</v>
      </c>
      <c r="B1363" s="1" t="str">
        <f aca="false">Transactions!B1363</f>
        <v>ACC1001</v>
      </c>
      <c r="C1363" s="1" t="str">
        <f aca="false">Transactions!I1363</f>
        <v>2026-03-25</v>
      </c>
      <c r="D1363" s="1" t="n">
        <f aca="false">Transactions!J1363</f>
        <v>9</v>
      </c>
      <c r="E1363" s="1" t="n">
        <f aca="false">Transactions!D1363</f>
        <v>23.67</v>
      </c>
      <c r="F1363" s="1" t="str">
        <f aca="false">Transactions!H1363</f>
        <v>POS</v>
      </c>
      <c r="G1363" s="1" t="str">
        <f aca="false">Transactions!G1363</f>
        <v>Online Marketplace</v>
      </c>
      <c r="H1363" s="1" t="n">
        <f aca="false">IF(COUNTIFS($B$2:$B$1489,B1363,$C$2:$C$1489,C1363,$D$2:$D$1489,D1363)&gt;6,1,0)</f>
        <v>0</v>
      </c>
      <c r="I1363" s="1" t="n">
        <f aca="false">IF(AND(F1363="Wire",E1363&gt;=1000,MOD(E1363,1000)=0),1,0)</f>
        <v>0</v>
      </c>
      <c r="J1363" s="1" t="n">
        <f aca="false">IF(AND(F1363="ATM",E1363&gt;2000,D1363&lt;=4),1,0)</f>
        <v>0</v>
      </c>
      <c r="K1363" s="1" t="n">
        <f aca="false">IF(COUNTIF('SQL Findings'!$A$4:$A$18,B1363)&gt;0,1,0)</f>
        <v>1</v>
      </c>
      <c r="L1363" s="1" t="n">
        <f aca="false">SUM(H1363:K1363)</f>
        <v>1</v>
      </c>
      <c r="M1363" s="1" t="str">
        <f aca="false">IF(L1363&gt;=2,"High",IF(L1363=1,"Medium","Low"))</f>
        <v>Medium</v>
      </c>
    </row>
    <row r="1364" customFormat="false" ht="15" hidden="false" customHeight="true" outlineLevel="0" collapsed="false">
      <c r="A1364" s="1" t="str">
        <f aca="false">Transactions!A1364</f>
        <v>TXN500675</v>
      </c>
      <c r="B1364" s="1" t="str">
        <f aca="false">Transactions!B1364</f>
        <v>ACC1029</v>
      </c>
      <c r="C1364" s="1" t="str">
        <f aca="false">Transactions!I1364</f>
        <v>2026-03-25</v>
      </c>
      <c r="D1364" s="1" t="n">
        <f aca="false">Transactions!J1364</f>
        <v>10</v>
      </c>
      <c r="E1364" s="1" t="n">
        <f aca="false">Transactions!D1364</f>
        <v>18.79</v>
      </c>
      <c r="F1364" s="1" t="str">
        <f aca="false">Transactions!H1364</f>
        <v>Online</v>
      </c>
      <c r="G1364" s="1" t="str">
        <f aca="false">Transactions!G1364</f>
        <v>Dining</v>
      </c>
      <c r="H1364" s="1" t="n">
        <f aca="false">IF(COUNTIFS($B$2:$B$1489,B1364,$C$2:$C$1489,C1364,$D$2:$D$1489,D1364)&gt;6,1,0)</f>
        <v>0</v>
      </c>
      <c r="I1364" s="1" t="n">
        <f aca="false">IF(AND(F1364="Wire",E1364&gt;=1000,MOD(E1364,1000)=0),1,0)</f>
        <v>0</v>
      </c>
      <c r="J1364" s="1" t="n">
        <f aca="false">IF(AND(F1364="ATM",E1364&gt;2000,D1364&lt;=4),1,0)</f>
        <v>0</v>
      </c>
      <c r="K1364" s="1" t="n">
        <f aca="false">IF(COUNTIF('SQL Findings'!$A$4:$A$18,B1364)&gt;0,1,0)</f>
        <v>0</v>
      </c>
      <c r="L1364" s="1" t="n">
        <f aca="false">SUM(H1364:K1364)</f>
        <v>0</v>
      </c>
      <c r="M1364" s="1" t="str">
        <f aca="false">IF(L1364&gt;=2,"High",IF(L1364=1,"Medium","Low"))</f>
        <v>Low</v>
      </c>
    </row>
    <row r="1365" customFormat="false" ht="15" hidden="false" customHeight="true" outlineLevel="0" collapsed="false">
      <c r="A1365" s="1" t="str">
        <f aca="false">Transactions!A1365</f>
        <v>TXN501002</v>
      </c>
      <c r="B1365" s="1" t="str">
        <f aca="false">Transactions!B1365</f>
        <v>ACC1043</v>
      </c>
      <c r="C1365" s="1" t="str">
        <f aca="false">Transactions!I1365</f>
        <v>2026-03-25</v>
      </c>
      <c r="D1365" s="1" t="n">
        <f aca="false">Transactions!J1365</f>
        <v>10</v>
      </c>
      <c r="E1365" s="1" t="n">
        <f aca="false">Transactions!D1365</f>
        <v>153.27</v>
      </c>
      <c r="F1365" s="1" t="str">
        <f aca="false">Transactions!H1365</f>
        <v>POS</v>
      </c>
      <c r="G1365" s="1" t="str">
        <f aca="false">Transactions!G1365</f>
        <v>Cash Withdrawal</v>
      </c>
      <c r="H1365" s="1" t="n">
        <f aca="false">IF(COUNTIFS($B$2:$B$1489,B1365,$C$2:$C$1489,C1365,$D$2:$D$1489,D1365)&gt;6,1,0)</f>
        <v>0</v>
      </c>
      <c r="I1365" s="1" t="n">
        <f aca="false">IF(AND(F1365="Wire",E1365&gt;=1000,MOD(E1365,1000)=0),1,0)</f>
        <v>0</v>
      </c>
      <c r="J1365" s="1" t="n">
        <f aca="false">IF(AND(F1365="ATM",E1365&gt;2000,D1365&lt;=4),1,0)</f>
        <v>0</v>
      </c>
      <c r="K1365" s="1" t="n">
        <f aca="false">IF(COUNTIF('SQL Findings'!$A$4:$A$18,B1365)&gt;0,1,0)</f>
        <v>0</v>
      </c>
      <c r="L1365" s="1" t="n">
        <f aca="false">SUM(H1365:K1365)</f>
        <v>0</v>
      </c>
      <c r="M1365" s="1" t="str">
        <f aca="false">IF(L1365&gt;=2,"High",IF(L1365=1,"Medium","Low"))</f>
        <v>Low</v>
      </c>
    </row>
    <row r="1366" customFormat="false" ht="15" hidden="false" customHeight="true" outlineLevel="0" collapsed="false">
      <c r="A1366" s="1" t="str">
        <f aca="false">Transactions!A1366</f>
        <v>TXN500980</v>
      </c>
      <c r="B1366" s="1" t="str">
        <f aca="false">Transactions!B1366</f>
        <v>ACC1042</v>
      </c>
      <c r="C1366" s="1" t="str">
        <f aca="false">Transactions!I1366</f>
        <v>2026-03-25</v>
      </c>
      <c r="D1366" s="1" t="n">
        <f aca="false">Transactions!J1366</f>
        <v>10</v>
      </c>
      <c r="E1366" s="1" t="n">
        <f aca="false">Transactions!D1366</f>
        <v>132.21</v>
      </c>
      <c r="F1366" s="1" t="str">
        <f aca="false">Transactions!H1366</f>
        <v>ATM</v>
      </c>
      <c r="G1366" s="1" t="str">
        <f aca="false">Transactions!G1366</f>
        <v>Electronics</v>
      </c>
      <c r="H1366" s="1" t="n">
        <f aca="false">IF(COUNTIFS($B$2:$B$1489,B1366,$C$2:$C$1489,C1366,$D$2:$D$1489,D1366)&gt;6,1,0)</f>
        <v>0</v>
      </c>
      <c r="I1366" s="1" t="n">
        <f aca="false">IF(AND(F1366="Wire",E1366&gt;=1000,MOD(E1366,1000)=0),1,0)</f>
        <v>0</v>
      </c>
      <c r="J1366" s="1" t="n">
        <f aca="false">IF(AND(F1366="ATM",E1366&gt;2000,D1366&lt;=4),1,0)</f>
        <v>0</v>
      </c>
      <c r="K1366" s="1" t="n">
        <f aca="false">IF(COUNTIF('SQL Findings'!$A$4:$A$18,B1366)&gt;0,1,0)</f>
        <v>1</v>
      </c>
      <c r="L1366" s="1" t="n">
        <f aca="false">SUM(H1366:K1366)</f>
        <v>1</v>
      </c>
      <c r="M1366" s="1" t="str">
        <f aca="false">IF(L1366&gt;=2,"High",IF(L1366=1,"Medium","Low"))</f>
        <v>Medium</v>
      </c>
    </row>
    <row r="1367" customFormat="false" ht="15" hidden="false" customHeight="true" outlineLevel="0" collapsed="false">
      <c r="A1367" s="1" t="str">
        <f aca="false">Transactions!A1367</f>
        <v>TXN500008</v>
      </c>
      <c r="B1367" s="1" t="str">
        <f aca="false">Transactions!B1367</f>
        <v>ACC1000</v>
      </c>
      <c r="C1367" s="1" t="str">
        <f aca="false">Transactions!I1367</f>
        <v>2026-03-25</v>
      </c>
      <c r="D1367" s="1" t="n">
        <f aca="false">Transactions!J1367</f>
        <v>11</v>
      </c>
      <c r="E1367" s="1" t="n">
        <f aca="false">Transactions!D1367</f>
        <v>133.05</v>
      </c>
      <c r="F1367" s="1" t="str">
        <f aca="false">Transactions!H1367</f>
        <v>POS</v>
      </c>
      <c r="G1367" s="1" t="str">
        <f aca="false">Transactions!G1367</f>
        <v>Online Marketplace</v>
      </c>
      <c r="H1367" s="1" t="n">
        <f aca="false">IF(COUNTIFS($B$2:$B$1489,B1367,$C$2:$C$1489,C1367,$D$2:$D$1489,D1367)&gt;6,1,0)</f>
        <v>0</v>
      </c>
      <c r="I1367" s="1" t="n">
        <f aca="false">IF(AND(F1367="Wire",E1367&gt;=1000,MOD(E1367,1000)=0),1,0)</f>
        <v>0</v>
      </c>
      <c r="J1367" s="1" t="n">
        <f aca="false">IF(AND(F1367="ATM",E1367&gt;2000,D1367&lt;=4),1,0)</f>
        <v>0</v>
      </c>
      <c r="K1367" s="1" t="n">
        <f aca="false">IF(COUNTIF('SQL Findings'!$A$4:$A$18,B1367)&gt;0,1,0)</f>
        <v>1</v>
      </c>
      <c r="L1367" s="1" t="n">
        <f aca="false">SUM(H1367:K1367)</f>
        <v>1</v>
      </c>
      <c r="M1367" s="1" t="str">
        <f aca="false">IF(L1367&gt;=2,"High",IF(L1367=1,"Medium","Low"))</f>
        <v>Medium</v>
      </c>
    </row>
    <row r="1368" customFormat="false" ht="15" hidden="false" customHeight="true" outlineLevel="0" collapsed="false">
      <c r="A1368" s="1" t="str">
        <f aca="false">Transactions!A1368</f>
        <v>TXN500057</v>
      </c>
      <c r="B1368" s="1" t="str">
        <f aca="false">Transactions!B1368</f>
        <v>ACC1002</v>
      </c>
      <c r="C1368" s="1" t="str">
        <f aca="false">Transactions!I1368</f>
        <v>2026-03-25</v>
      </c>
      <c r="D1368" s="1" t="n">
        <f aca="false">Transactions!J1368</f>
        <v>12</v>
      </c>
      <c r="E1368" s="1" t="n">
        <f aca="false">Transactions!D1368</f>
        <v>31.33</v>
      </c>
      <c r="F1368" s="1" t="str">
        <f aca="false">Transactions!H1368</f>
        <v>ATM</v>
      </c>
      <c r="G1368" s="1" t="str">
        <f aca="false">Transactions!G1368</f>
        <v>Utilities</v>
      </c>
      <c r="H1368" s="1" t="n">
        <f aca="false">IF(COUNTIFS($B$2:$B$1489,B1368,$C$2:$C$1489,C1368,$D$2:$D$1489,D1368)&gt;6,1,0)</f>
        <v>0</v>
      </c>
      <c r="I1368" s="1" t="n">
        <f aca="false">IF(AND(F1368="Wire",E1368&gt;=1000,MOD(E1368,1000)=0),1,0)</f>
        <v>0</v>
      </c>
      <c r="J1368" s="1" t="n">
        <f aca="false">IF(AND(F1368="ATM",E1368&gt;2000,D1368&lt;=4),1,0)</f>
        <v>0</v>
      </c>
      <c r="K1368" s="1" t="n">
        <f aca="false">IF(COUNTIF('SQL Findings'!$A$4:$A$18,B1368)&gt;0,1,0)</f>
        <v>1</v>
      </c>
      <c r="L1368" s="1" t="n">
        <f aca="false">SUM(H1368:K1368)</f>
        <v>1</v>
      </c>
      <c r="M1368" s="1" t="str">
        <f aca="false">IF(L1368&gt;=2,"High",IF(L1368=1,"Medium","Low"))</f>
        <v>Medium</v>
      </c>
    </row>
    <row r="1369" customFormat="false" ht="15" hidden="false" customHeight="true" outlineLevel="0" collapsed="false">
      <c r="A1369" s="1" t="str">
        <f aca="false">Transactions!A1369</f>
        <v>TXN500316</v>
      </c>
      <c r="B1369" s="1" t="str">
        <f aca="false">Transactions!B1369</f>
        <v>ACC1014</v>
      </c>
      <c r="C1369" s="1" t="str">
        <f aca="false">Transactions!I1369</f>
        <v>2026-03-25</v>
      </c>
      <c r="D1369" s="1" t="n">
        <f aca="false">Transactions!J1369</f>
        <v>15</v>
      </c>
      <c r="E1369" s="1" t="n">
        <f aca="false">Transactions!D1369</f>
        <v>67.96</v>
      </c>
      <c r="F1369" s="1" t="str">
        <f aca="false">Transactions!H1369</f>
        <v>ATM</v>
      </c>
      <c r="G1369" s="1" t="str">
        <f aca="false">Transactions!G1369</f>
        <v>Travel</v>
      </c>
      <c r="H1369" s="1" t="n">
        <f aca="false">IF(COUNTIFS($B$2:$B$1489,B1369,$C$2:$C$1489,C1369,$D$2:$D$1489,D1369)&gt;6,1,0)</f>
        <v>0</v>
      </c>
      <c r="I1369" s="1" t="n">
        <f aca="false">IF(AND(F1369="Wire",E1369&gt;=1000,MOD(E1369,1000)=0),1,0)</f>
        <v>0</v>
      </c>
      <c r="J1369" s="1" t="n">
        <f aca="false">IF(AND(F1369="ATM",E1369&gt;2000,D1369&lt;=4),1,0)</f>
        <v>0</v>
      </c>
      <c r="K1369" s="1" t="n">
        <f aca="false">IF(COUNTIF('SQL Findings'!$A$4:$A$18,B1369)&gt;0,1,0)</f>
        <v>1</v>
      </c>
      <c r="L1369" s="1" t="n">
        <f aca="false">SUM(H1369:K1369)</f>
        <v>1</v>
      </c>
      <c r="M1369" s="1" t="str">
        <f aca="false">IF(L1369&gt;=2,"High",IF(L1369=1,"Medium","Low"))</f>
        <v>Medium</v>
      </c>
    </row>
    <row r="1370" customFormat="false" ht="15" hidden="false" customHeight="true" outlineLevel="0" collapsed="false">
      <c r="A1370" s="1" t="str">
        <f aca="false">Transactions!A1370</f>
        <v>TXN501098</v>
      </c>
      <c r="B1370" s="1" t="str">
        <f aca="false">Transactions!B1370</f>
        <v>ACC1048</v>
      </c>
      <c r="C1370" s="1" t="str">
        <f aca="false">Transactions!I1370</f>
        <v>2026-03-25</v>
      </c>
      <c r="D1370" s="1" t="n">
        <f aca="false">Transactions!J1370</f>
        <v>15</v>
      </c>
      <c r="E1370" s="1" t="n">
        <f aca="false">Transactions!D1370</f>
        <v>11.04</v>
      </c>
      <c r="F1370" s="1" t="str">
        <f aca="false">Transactions!H1370</f>
        <v>Online</v>
      </c>
      <c r="G1370" s="1" t="str">
        <f aca="false">Transactions!G1370</f>
        <v>Utilities</v>
      </c>
      <c r="H1370" s="1" t="n">
        <f aca="false">IF(COUNTIFS($B$2:$B$1489,B1370,$C$2:$C$1489,C1370,$D$2:$D$1489,D1370)&gt;6,1,0)</f>
        <v>0</v>
      </c>
      <c r="I1370" s="1" t="n">
        <f aca="false">IF(AND(F1370="Wire",E1370&gt;=1000,MOD(E1370,1000)=0),1,0)</f>
        <v>0</v>
      </c>
      <c r="J1370" s="1" t="n">
        <f aca="false">IF(AND(F1370="ATM",E1370&gt;2000,D1370&lt;=4),1,0)</f>
        <v>0</v>
      </c>
      <c r="K1370" s="1" t="n">
        <f aca="false">IF(COUNTIF('SQL Findings'!$A$4:$A$18,B1370)&gt;0,1,0)</f>
        <v>0</v>
      </c>
      <c r="L1370" s="1" t="n">
        <f aca="false">SUM(H1370:K1370)</f>
        <v>0</v>
      </c>
      <c r="M1370" s="1" t="str">
        <f aca="false">IF(L1370&gt;=2,"High",IF(L1370=1,"Medium","Low"))</f>
        <v>Low</v>
      </c>
    </row>
    <row r="1371" customFormat="false" ht="15" hidden="false" customHeight="true" outlineLevel="0" collapsed="false">
      <c r="A1371" s="1" t="str">
        <f aca="false">Transactions!A1371</f>
        <v>TXN500096</v>
      </c>
      <c r="B1371" s="1" t="str">
        <f aca="false">Transactions!B1371</f>
        <v>ACC1004</v>
      </c>
      <c r="C1371" s="1" t="str">
        <f aca="false">Transactions!I1371</f>
        <v>2026-03-25</v>
      </c>
      <c r="D1371" s="1" t="n">
        <f aca="false">Transactions!J1371</f>
        <v>15</v>
      </c>
      <c r="E1371" s="1" t="n">
        <f aca="false">Transactions!D1371</f>
        <v>17.86</v>
      </c>
      <c r="F1371" s="1" t="str">
        <f aca="false">Transactions!H1371</f>
        <v>Online</v>
      </c>
      <c r="G1371" s="1" t="str">
        <f aca="false">Transactions!G1371</f>
        <v>Electronics</v>
      </c>
      <c r="H1371" s="1" t="n">
        <f aca="false">IF(COUNTIFS($B$2:$B$1489,B1371,$C$2:$C$1489,C1371,$D$2:$D$1489,D1371)&gt;6,1,0)</f>
        <v>0</v>
      </c>
      <c r="I1371" s="1" t="n">
        <f aca="false">IF(AND(F1371="Wire",E1371&gt;=1000,MOD(E1371,1000)=0),1,0)</f>
        <v>0</v>
      </c>
      <c r="J1371" s="1" t="n">
        <f aca="false">IF(AND(F1371="ATM",E1371&gt;2000,D1371&lt;=4),1,0)</f>
        <v>0</v>
      </c>
      <c r="K1371" s="1" t="n">
        <f aca="false">IF(COUNTIF('SQL Findings'!$A$4:$A$18,B1371)&gt;0,1,0)</f>
        <v>1</v>
      </c>
      <c r="L1371" s="1" t="n">
        <f aca="false">SUM(H1371:K1371)</f>
        <v>1</v>
      </c>
      <c r="M1371" s="1" t="str">
        <f aca="false">IF(L1371&gt;=2,"High",IF(L1371=1,"Medium","Low"))</f>
        <v>Medium</v>
      </c>
    </row>
    <row r="1372" customFormat="false" ht="15" hidden="false" customHeight="true" outlineLevel="0" collapsed="false">
      <c r="A1372" s="1" t="str">
        <f aca="false">Transactions!A1372</f>
        <v>TXN500840</v>
      </c>
      <c r="B1372" s="1" t="str">
        <f aca="false">Transactions!B1372</f>
        <v>ACC1035</v>
      </c>
      <c r="C1372" s="1" t="str">
        <f aca="false">Transactions!I1372</f>
        <v>2026-03-25</v>
      </c>
      <c r="D1372" s="1" t="n">
        <f aca="false">Transactions!J1372</f>
        <v>16</v>
      </c>
      <c r="E1372" s="1" t="n">
        <f aca="false">Transactions!D1372</f>
        <v>55</v>
      </c>
      <c r="F1372" s="1" t="str">
        <f aca="false">Transactions!H1372</f>
        <v>ATM</v>
      </c>
      <c r="G1372" s="1" t="str">
        <f aca="false">Transactions!G1372</f>
        <v>Utilities</v>
      </c>
      <c r="H1372" s="1" t="n">
        <f aca="false">IF(COUNTIFS($B$2:$B$1489,B1372,$C$2:$C$1489,C1372,$D$2:$D$1489,D1372)&gt;6,1,0)</f>
        <v>0</v>
      </c>
      <c r="I1372" s="1" t="n">
        <f aca="false">IF(AND(F1372="Wire",E1372&gt;=1000,MOD(E1372,1000)=0),1,0)</f>
        <v>0</v>
      </c>
      <c r="J1372" s="1" t="n">
        <f aca="false">IF(AND(F1372="ATM",E1372&gt;2000,D1372&lt;=4),1,0)</f>
        <v>0</v>
      </c>
      <c r="K1372" s="1" t="n">
        <f aca="false">IF(COUNTIF('SQL Findings'!$A$4:$A$18,B1372)&gt;0,1,0)</f>
        <v>0</v>
      </c>
      <c r="L1372" s="1" t="n">
        <f aca="false">SUM(H1372:K1372)</f>
        <v>0</v>
      </c>
      <c r="M1372" s="1" t="str">
        <f aca="false">IF(L1372&gt;=2,"High",IF(L1372=1,"Medium","Low"))</f>
        <v>Low</v>
      </c>
    </row>
    <row r="1373" customFormat="false" ht="15" hidden="false" customHeight="true" outlineLevel="0" collapsed="false">
      <c r="A1373" s="1" t="str">
        <f aca="false">Transactions!A1373</f>
        <v>TXN500426</v>
      </c>
      <c r="B1373" s="1" t="str">
        <f aca="false">Transactions!B1373</f>
        <v>ACC1018</v>
      </c>
      <c r="C1373" s="1" t="str">
        <f aca="false">Transactions!I1373</f>
        <v>2026-03-25</v>
      </c>
      <c r="D1373" s="1" t="n">
        <f aca="false">Transactions!J1373</f>
        <v>16</v>
      </c>
      <c r="E1373" s="1" t="n">
        <f aca="false">Transactions!D1373</f>
        <v>228.55</v>
      </c>
      <c r="F1373" s="1" t="str">
        <f aca="false">Transactions!H1373</f>
        <v>ATM</v>
      </c>
      <c r="G1373" s="1" t="str">
        <f aca="false">Transactions!G1373</f>
        <v>Dining</v>
      </c>
      <c r="H1373" s="1" t="n">
        <f aca="false">IF(COUNTIFS($B$2:$B$1489,B1373,$C$2:$C$1489,C1373,$D$2:$D$1489,D1373)&gt;6,1,0)</f>
        <v>0</v>
      </c>
      <c r="I1373" s="1" t="n">
        <f aca="false">IF(AND(F1373="Wire",E1373&gt;=1000,MOD(E1373,1000)=0),1,0)</f>
        <v>0</v>
      </c>
      <c r="J1373" s="1" t="n">
        <f aca="false">IF(AND(F1373="ATM",E1373&gt;2000,D1373&lt;=4),1,0)</f>
        <v>0</v>
      </c>
      <c r="K1373" s="1" t="n">
        <f aca="false">IF(COUNTIF('SQL Findings'!$A$4:$A$18,B1373)&gt;0,1,0)</f>
        <v>0</v>
      </c>
      <c r="L1373" s="1" t="n">
        <f aca="false">SUM(H1373:K1373)</f>
        <v>0</v>
      </c>
      <c r="M1373" s="1" t="str">
        <f aca="false">IF(L1373&gt;=2,"High",IF(L1373=1,"Medium","Low"))</f>
        <v>Low</v>
      </c>
    </row>
    <row r="1374" customFormat="false" ht="15" hidden="false" customHeight="true" outlineLevel="0" collapsed="false">
      <c r="A1374" s="1" t="str">
        <f aca="false">Transactions!A1374</f>
        <v>TXN501357</v>
      </c>
      <c r="B1374" s="1" t="str">
        <f aca="false">Transactions!B1374</f>
        <v>ACC1059</v>
      </c>
      <c r="C1374" s="1" t="str">
        <f aca="false">Transactions!I1374</f>
        <v>2026-03-25</v>
      </c>
      <c r="D1374" s="1" t="n">
        <f aca="false">Transactions!J1374</f>
        <v>17</v>
      </c>
      <c r="E1374" s="1" t="n">
        <f aca="false">Transactions!D1374</f>
        <v>40.79</v>
      </c>
      <c r="F1374" s="1" t="str">
        <f aca="false">Transactions!H1374</f>
        <v>Online</v>
      </c>
      <c r="G1374" s="1" t="str">
        <f aca="false">Transactions!G1374</f>
        <v>Utilities</v>
      </c>
      <c r="H1374" s="1" t="n">
        <f aca="false">IF(COUNTIFS($B$2:$B$1489,B1374,$C$2:$C$1489,C1374,$D$2:$D$1489,D1374)&gt;6,1,0)</f>
        <v>0</v>
      </c>
      <c r="I1374" s="1" t="n">
        <f aca="false">IF(AND(F1374="Wire",E1374&gt;=1000,MOD(E1374,1000)=0),1,0)</f>
        <v>0</v>
      </c>
      <c r="J1374" s="1" t="n">
        <f aca="false">IF(AND(F1374="ATM",E1374&gt;2000,D1374&lt;=4),1,0)</f>
        <v>0</v>
      </c>
      <c r="K1374" s="1" t="n">
        <f aca="false">IF(COUNTIF('SQL Findings'!$A$4:$A$18,B1374)&gt;0,1,0)</f>
        <v>0</v>
      </c>
      <c r="L1374" s="1" t="n">
        <f aca="false">SUM(H1374:K1374)</f>
        <v>0</v>
      </c>
      <c r="M1374" s="1" t="str">
        <f aca="false">IF(L1374&gt;=2,"High",IF(L1374=1,"Medium","Low"))</f>
        <v>Low</v>
      </c>
    </row>
    <row r="1375" customFormat="false" ht="15" hidden="false" customHeight="true" outlineLevel="0" collapsed="false">
      <c r="A1375" s="1" t="str">
        <f aca="false">Transactions!A1375</f>
        <v>TXN501165</v>
      </c>
      <c r="B1375" s="1" t="str">
        <f aca="false">Transactions!B1375</f>
        <v>ACC1051</v>
      </c>
      <c r="C1375" s="1" t="str">
        <f aca="false">Transactions!I1375</f>
        <v>2026-03-25</v>
      </c>
      <c r="D1375" s="1" t="n">
        <f aca="false">Transactions!J1375</f>
        <v>17</v>
      </c>
      <c r="E1375" s="1" t="n">
        <f aca="false">Transactions!D1375</f>
        <v>167.39</v>
      </c>
      <c r="F1375" s="1" t="str">
        <f aca="false">Transactions!H1375</f>
        <v>ATM</v>
      </c>
      <c r="G1375" s="1" t="str">
        <f aca="false">Transactions!G1375</f>
        <v>Retail</v>
      </c>
      <c r="H1375" s="1" t="n">
        <f aca="false">IF(COUNTIFS($B$2:$B$1489,B1375,$C$2:$C$1489,C1375,$D$2:$D$1489,D1375)&gt;6,1,0)</f>
        <v>0</v>
      </c>
      <c r="I1375" s="1" t="n">
        <f aca="false">IF(AND(F1375="Wire",E1375&gt;=1000,MOD(E1375,1000)=0),1,0)</f>
        <v>0</v>
      </c>
      <c r="J1375" s="1" t="n">
        <f aca="false">IF(AND(F1375="ATM",E1375&gt;2000,D1375&lt;=4),1,0)</f>
        <v>0</v>
      </c>
      <c r="K1375" s="1" t="n">
        <f aca="false">IF(COUNTIF('SQL Findings'!$A$4:$A$18,B1375)&gt;0,1,0)</f>
        <v>0</v>
      </c>
      <c r="L1375" s="1" t="n">
        <f aca="false">SUM(H1375:K1375)</f>
        <v>0</v>
      </c>
      <c r="M1375" s="1" t="str">
        <f aca="false">IF(L1375&gt;=2,"High",IF(L1375=1,"Medium","Low"))</f>
        <v>Low</v>
      </c>
    </row>
    <row r="1376" customFormat="false" ht="15" hidden="false" customHeight="true" outlineLevel="0" collapsed="false">
      <c r="A1376" s="1" t="str">
        <f aca="false">Transactions!A1376</f>
        <v>TXN500862</v>
      </c>
      <c r="B1376" s="1" t="str">
        <f aca="false">Transactions!B1376</f>
        <v>ACC1037</v>
      </c>
      <c r="C1376" s="1" t="str">
        <f aca="false">Transactions!I1376</f>
        <v>2026-03-25</v>
      </c>
      <c r="D1376" s="1" t="n">
        <f aca="false">Transactions!J1376</f>
        <v>18</v>
      </c>
      <c r="E1376" s="1" t="n">
        <f aca="false">Transactions!D1376</f>
        <v>17.04</v>
      </c>
      <c r="F1376" s="1" t="str">
        <f aca="false">Transactions!H1376</f>
        <v>POS</v>
      </c>
      <c r="G1376" s="1" t="str">
        <f aca="false">Transactions!G1376</f>
        <v>Electronics</v>
      </c>
      <c r="H1376" s="1" t="n">
        <f aca="false">IF(COUNTIFS($B$2:$B$1489,B1376,$C$2:$C$1489,C1376,$D$2:$D$1489,D1376)&gt;6,1,0)</f>
        <v>0</v>
      </c>
      <c r="I1376" s="1" t="n">
        <f aca="false">IF(AND(F1376="Wire",E1376&gt;=1000,MOD(E1376,1000)=0),1,0)</f>
        <v>0</v>
      </c>
      <c r="J1376" s="1" t="n">
        <f aca="false">IF(AND(F1376="ATM",E1376&gt;2000,D1376&lt;=4),1,0)</f>
        <v>0</v>
      </c>
      <c r="K1376" s="1" t="n">
        <f aca="false">IF(COUNTIF('SQL Findings'!$A$4:$A$18,B1376)&gt;0,1,0)</f>
        <v>1</v>
      </c>
      <c r="L1376" s="1" t="n">
        <f aca="false">SUM(H1376:K1376)</f>
        <v>1</v>
      </c>
      <c r="M1376" s="1" t="str">
        <f aca="false">IF(L1376&gt;=2,"High",IF(L1376=1,"Medium","Low"))</f>
        <v>Medium</v>
      </c>
    </row>
    <row r="1377" customFormat="false" ht="15" hidden="false" customHeight="true" outlineLevel="0" collapsed="false">
      <c r="A1377" s="1" t="str">
        <f aca="false">Transactions!A1377</f>
        <v>TXN501081</v>
      </c>
      <c r="B1377" s="1" t="str">
        <f aca="false">Transactions!B1377</f>
        <v>ACC1047</v>
      </c>
      <c r="C1377" s="1" t="str">
        <f aca="false">Transactions!I1377</f>
        <v>2026-03-25</v>
      </c>
      <c r="D1377" s="1" t="n">
        <f aca="false">Transactions!J1377</f>
        <v>20</v>
      </c>
      <c r="E1377" s="1" t="n">
        <f aca="false">Transactions!D1377</f>
        <v>48.73</v>
      </c>
      <c r="F1377" s="1" t="str">
        <f aca="false">Transactions!H1377</f>
        <v>POS</v>
      </c>
      <c r="G1377" s="1" t="str">
        <f aca="false">Transactions!G1377</f>
        <v>Utilities</v>
      </c>
      <c r="H1377" s="1" t="n">
        <f aca="false">IF(COUNTIFS($B$2:$B$1489,B1377,$C$2:$C$1489,C1377,$D$2:$D$1489,D1377)&gt;6,1,0)</f>
        <v>0</v>
      </c>
      <c r="I1377" s="1" t="n">
        <f aca="false">IF(AND(F1377="Wire",E1377&gt;=1000,MOD(E1377,1000)=0),1,0)</f>
        <v>0</v>
      </c>
      <c r="J1377" s="1" t="n">
        <f aca="false">IF(AND(F1377="ATM",E1377&gt;2000,D1377&lt;=4),1,0)</f>
        <v>0</v>
      </c>
      <c r="K1377" s="1" t="n">
        <f aca="false">IF(COUNTIF('SQL Findings'!$A$4:$A$18,B1377)&gt;0,1,0)</f>
        <v>0</v>
      </c>
      <c r="L1377" s="1" t="n">
        <f aca="false">SUM(H1377:K1377)</f>
        <v>0</v>
      </c>
      <c r="M1377" s="1" t="str">
        <f aca="false">IF(L1377&gt;=2,"High",IF(L1377=1,"Medium","Low"))</f>
        <v>Low</v>
      </c>
    </row>
    <row r="1378" customFormat="false" ht="15" hidden="false" customHeight="true" outlineLevel="0" collapsed="false">
      <c r="A1378" s="1" t="str">
        <f aca="false">Transactions!A1378</f>
        <v>TXN500159</v>
      </c>
      <c r="B1378" s="1" t="str">
        <f aca="false">Transactions!B1378</f>
        <v>ACC1006</v>
      </c>
      <c r="C1378" s="1" t="str">
        <f aca="false">Transactions!I1378</f>
        <v>2026-03-26</v>
      </c>
      <c r="D1378" s="1" t="n">
        <f aca="false">Transactions!J1378</f>
        <v>3</v>
      </c>
      <c r="E1378" s="1" t="n">
        <f aca="false">Transactions!D1378</f>
        <v>22.82</v>
      </c>
      <c r="F1378" s="1" t="str">
        <f aca="false">Transactions!H1378</f>
        <v>ATM</v>
      </c>
      <c r="G1378" s="1" t="str">
        <f aca="false">Transactions!G1378</f>
        <v>Travel</v>
      </c>
      <c r="H1378" s="1" t="n">
        <f aca="false">IF(COUNTIFS($B$2:$B$1489,B1378,$C$2:$C$1489,C1378,$D$2:$D$1489,D1378)&gt;6,1,0)</f>
        <v>0</v>
      </c>
      <c r="I1378" s="1" t="n">
        <f aca="false">IF(AND(F1378="Wire",E1378&gt;=1000,MOD(E1378,1000)=0),1,0)</f>
        <v>0</v>
      </c>
      <c r="J1378" s="1" t="n">
        <f aca="false">IF(AND(F1378="ATM",E1378&gt;2000,D1378&lt;=4),1,0)</f>
        <v>0</v>
      </c>
      <c r="K1378" s="1" t="n">
        <f aca="false">IF(COUNTIF('SQL Findings'!$A$4:$A$18,B1378)&gt;0,1,0)</f>
        <v>0</v>
      </c>
      <c r="L1378" s="1" t="n">
        <f aca="false">SUM(H1378:K1378)</f>
        <v>0</v>
      </c>
      <c r="M1378" s="1" t="str">
        <f aca="false">IF(L1378&gt;=2,"High",IF(L1378=1,"Medium","Low"))</f>
        <v>Low</v>
      </c>
    </row>
    <row r="1379" customFormat="false" ht="15" hidden="false" customHeight="true" outlineLevel="0" collapsed="false">
      <c r="A1379" s="1" t="str">
        <f aca="false">Transactions!A1379</f>
        <v>TXN500845</v>
      </c>
      <c r="B1379" s="1" t="str">
        <f aca="false">Transactions!B1379</f>
        <v>ACC1036</v>
      </c>
      <c r="C1379" s="1" t="str">
        <f aca="false">Transactions!I1379</f>
        <v>2026-03-26</v>
      </c>
      <c r="D1379" s="1" t="n">
        <f aca="false">Transactions!J1379</f>
        <v>4</v>
      </c>
      <c r="E1379" s="1" t="n">
        <f aca="false">Transactions!D1379</f>
        <v>77.46</v>
      </c>
      <c r="F1379" s="1" t="str">
        <f aca="false">Transactions!H1379</f>
        <v>ATM</v>
      </c>
      <c r="G1379" s="1" t="str">
        <f aca="false">Transactions!G1379</f>
        <v>Utilities</v>
      </c>
      <c r="H1379" s="1" t="n">
        <f aca="false">IF(COUNTIFS($B$2:$B$1489,B1379,$C$2:$C$1489,C1379,$D$2:$D$1489,D1379)&gt;6,1,0)</f>
        <v>0</v>
      </c>
      <c r="I1379" s="1" t="n">
        <f aca="false">IF(AND(F1379="Wire",E1379&gt;=1000,MOD(E1379,1000)=0),1,0)</f>
        <v>0</v>
      </c>
      <c r="J1379" s="1" t="n">
        <f aca="false">IF(AND(F1379="ATM",E1379&gt;2000,D1379&lt;=4),1,0)</f>
        <v>0</v>
      </c>
      <c r="K1379" s="1" t="n">
        <f aca="false">IF(COUNTIF('SQL Findings'!$A$4:$A$18,B1379)&gt;0,1,0)</f>
        <v>0</v>
      </c>
      <c r="L1379" s="1" t="n">
        <f aca="false">SUM(H1379:K1379)</f>
        <v>0</v>
      </c>
      <c r="M1379" s="1" t="str">
        <f aca="false">IF(L1379&gt;=2,"High",IF(L1379=1,"Medium","Low"))</f>
        <v>Low</v>
      </c>
    </row>
    <row r="1380" customFormat="false" ht="15" hidden="false" customHeight="true" outlineLevel="0" collapsed="false">
      <c r="A1380" s="1" t="str">
        <f aca="false">Transactions!A1380</f>
        <v>TXN501311</v>
      </c>
      <c r="B1380" s="1" t="str">
        <f aca="false">Transactions!B1380</f>
        <v>ACC1057</v>
      </c>
      <c r="C1380" s="1" t="str">
        <f aca="false">Transactions!I1380</f>
        <v>2026-03-26</v>
      </c>
      <c r="D1380" s="1" t="n">
        <f aca="false">Transactions!J1380</f>
        <v>6</v>
      </c>
      <c r="E1380" s="1" t="n">
        <f aca="false">Transactions!D1380</f>
        <v>65.2</v>
      </c>
      <c r="F1380" s="1" t="str">
        <f aca="false">Transactions!H1380</f>
        <v>Online</v>
      </c>
      <c r="G1380" s="1" t="str">
        <f aca="false">Transactions!G1380</f>
        <v>Utilities</v>
      </c>
      <c r="H1380" s="1" t="n">
        <f aca="false">IF(COUNTIFS($B$2:$B$1489,B1380,$C$2:$C$1489,C1380,$D$2:$D$1489,D1380)&gt;6,1,0)</f>
        <v>0</v>
      </c>
      <c r="I1380" s="1" t="n">
        <f aca="false">IF(AND(F1380="Wire",E1380&gt;=1000,MOD(E1380,1000)=0),1,0)</f>
        <v>0</v>
      </c>
      <c r="J1380" s="1" t="n">
        <f aca="false">IF(AND(F1380="ATM",E1380&gt;2000,D1380&lt;=4),1,0)</f>
        <v>0</v>
      </c>
      <c r="K1380" s="1" t="n">
        <f aca="false">IF(COUNTIF('SQL Findings'!$A$4:$A$18,B1380)&gt;0,1,0)</f>
        <v>1</v>
      </c>
      <c r="L1380" s="1" t="n">
        <f aca="false">SUM(H1380:K1380)</f>
        <v>1</v>
      </c>
      <c r="M1380" s="1" t="str">
        <f aca="false">IF(L1380&gt;=2,"High",IF(L1380=1,"Medium","Low"))</f>
        <v>Medium</v>
      </c>
    </row>
    <row r="1381" customFormat="false" ht="15" hidden="false" customHeight="true" outlineLevel="0" collapsed="false">
      <c r="A1381" s="1" t="str">
        <f aca="false">Transactions!A1381</f>
        <v>TXN500884</v>
      </c>
      <c r="B1381" s="1" t="str">
        <f aca="false">Transactions!B1381</f>
        <v>ACC1038</v>
      </c>
      <c r="C1381" s="1" t="str">
        <f aca="false">Transactions!I1381</f>
        <v>2026-03-26</v>
      </c>
      <c r="D1381" s="1" t="n">
        <f aca="false">Transactions!J1381</f>
        <v>7</v>
      </c>
      <c r="E1381" s="1" t="n">
        <f aca="false">Transactions!D1381</f>
        <v>170.67</v>
      </c>
      <c r="F1381" s="1" t="str">
        <f aca="false">Transactions!H1381</f>
        <v>ATM</v>
      </c>
      <c r="G1381" s="1" t="str">
        <f aca="false">Transactions!G1381</f>
        <v>Cash Withdrawal</v>
      </c>
      <c r="H1381" s="1" t="n">
        <f aca="false">IF(COUNTIFS($B$2:$B$1489,B1381,$C$2:$C$1489,C1381,$D$2:$D$1489,D1381)&gt;6,1,0)</f>
        <v>0</v>
      </c>
      <c r="I1381" s="1" t="n">
        <f aca="false">IF(AND(F1381="Wire",E1381&gt;=1000,MOD(E1381,1000)=0),1,0)</f>
        <v>0</v>
      </c>
      <c r="J1381" s="1" t="n">
        <f aca="false">IF(AND(F1381="ATM",E1381&gt;2000,D1381&lt;=4),1,0)</f>
        <v>0</v>
      </c>
      <c r="K1381" s="1" t="n">
        <f aca="false">IF(COUNTIF('SQL Findings'!$A$4:$A$18,B1381)&gt;0,1,0)</f>
        <v>0</v>
      </c>
      <c r="L1381" s="1" t="n">
        <f aca="false">SUM(H1381:K1381)</f>
        <v>0</v>
      </c>
      <c r="M1381" s="1" t="str">
        <f aca="false">IF(L1381&gt;=2,"High",IF(L1381=1,"Medium","Low"))</f>
        <v>Low</v>
      </c>
    </row>
    <row r="1382" customFormat="false" ht="15" hidden="false" customHeight="true" outlineLevel="0" collapsed="false">
      <c r="A1382" s="1" t="str">
        <f aca="false">Transactions!A1382</f>
        <v>TXN500243</v>
      </c>
      <c r="B1382" s="1" t="str">
        <f aca="false">Transactions!B1382</f>
        <v>ACC1010</v>
      </c>
      <c r="C1382" s="1" t="str">
        <f aca="false">Transactions!I1382</f>
        <v>2026-03-26</v>
      </c>
      <c r="D1382" s="1" t="n">
        <f aca="false">Transactions!J1382</f>
        <v>7</v>
      </c>
      <c r="E1382" s="1" t="n">
        <f aca="false">Transactions!D1382</f>
        <v>105.06</v>
      </c>
      <c r="F1382" s="1" t="str">
        <f aca="false">Transactions!H1382</f>
        <v>POS</v>
      </c>
      <c r="G1382" s="1" t="str">
        <f aca="false">Transactions!G1382</f>
        <v>Retail</v>
      </c>
      <c r="H1382" s="1" t="n">
        <f aca="false">IF(COUNTIFS($B$2:$B$1489,B1382,$C$2:$C$1489,C1382,$D$2:$D$1489,D1382)&gt;6,1,0)</f>
        <v>0</v>
      </c>
      <c r="I1382" s="1" t="n">
        <f aca="false">IF(AND(F1382="Wire",E1382&gt;=1000,MOD(E1382,1000)=0),1,0)</f>
        <v>0</v>
      </c>
      <c r="J1382" s="1" t="n">
        <f aca="false">IF(AND(F1382="ATM",E1382&gt;2000,D1382&lt;=4),1,0)</f>
        <v>0</v>
      </c>
      <c r="K1382" s="1" t="n">
        <f aca="false">IF(COUNTIF('SQL Findings'!$A$4:$A$18,B1382)&gt;0,1,0)</f>
        <v>0</v>
      </c>
      <c r="L1382" s="1" t="n">
        <f aca="false">SUM(H1382:K1382)</f>
        <v>0</v>
      </c>
      <c r="M1382" s="1" t="str">
        <f aca="false">IF(L1382&gt;=2,"High",IF(L1382=1,"Medium","Low"))</f>
        <v>Low</v>
      </c>
    </row>
    <row r="1383" customFormat="false" ht="15" hidden="false" customHeight="true" outlineLevel="0" collapsed="false">
      <c r="A1383" s="1" t="str">
        <f aca="false">Transactions!A1383</f>
        <v>TXN501189</v>
      </c>
      <c r="B1383" s="1" t="str">
        <f aca="false">Transactions!B1383</f>
        <v>ACC1052</v>
      </c>
      <c r="C1383" s="1" t="str">
        <f aca="false">Transactions!I1383</f>
        <v>2026-03-26</v>
      </c>
      <c r="D1383" s="1" t="n">
        <f aca="false">Transactions!J1383</f>
        <v>8</v>
      </c>
      <c r="E1383" s="1" t="n">
        <f aca="false">Transactions!D1383</f>
        <v>109.4</v>
      </c>
      <c r="F1383" s="1" t="str">
        <f aca="false">Transactions!H1383</f>
        <v>POS</v>
      </c>
      <c r="G1383" s="1" t="str">
        <f aca="false">Transactions!G1383</f>
        <v>Cash Withdrawal</v>
      </c>
      <c r="H1383" s="1" t="n">
        <f aca="false">IF(COUNTIFS($B$2:$B$1489,B1383,$C$2:$C$1489,C1383,$D$2:$D$1489,D1383)&gt;6,1,0)</f>
        <v>0</v>
      </c>
      <c r="I1383" s="1" t="n">
        <f aca="false">IF(AND(F1383="Wire",E1383&gt;=1000,MOD(E1383,1000)=0),1,0)</f>
        <v>0</v>
      </c>
      <c r="J1383" s="1" t="n">
        <f aca="false">IF(AND(F1383="ATM",E1383&gt;2000,D1383&lt;=4),1,0)</f>
        <v>0</v>
      </c>
      <c r="K1383" s="1" t="n">
        <f aca="false">IF(COUNTIF('SQL Findings'!$A$4:$A$18,B1383)&gt;0,1,0)</f>
        <v>0</v>
      </c>
      <c r="L1383" s="1" t="n">
        <f aca="false">SUM(H1383:K1383)</f>
        <v>0</v>
      </c>
      <c r="M1383" s="1" t="str">
        <f aca="false">IF(L1383&gt;=2,"High",IF(L1383=1,"Medium","Low"))</f>
        <v>Low</v>
      </c>
    </row>
    <row r="1384" customFormat="false" ht="15" hidden="false" customHeight="true" outlineLevel="0" collapsed="false">
      <c r="A1384" s="1" t="str">
        <f aca="false">Transactions!A1384</f>
        <v>TXN500883</v>
      </c>
      <c r="B1384" s="1" t="str">
        <f aca="false">Transactions!B1384</f>
        <v>ACC1038</v>
      </c>
      <c r="C1384" s="1" t="str">
        <f aca="false">Transactions!I1384</f>
        <v>2026-03-26</v>
      </c>
      <c r="D1384" s="1" t="n">
        <f aca="false">Transactions!J1384</f>
        <v>9</v>
      </c>
      <c r="E1384" s="1" t="n">
        <f aca="false">Transactions!D1384</f>
        <v>42.93</v>
      </c>
      <c r="F1384" s="1" t="str">
        <f aca="false">Transactions!H1384</f>
        <v>POS</v>
      </c>
      <c r="G1384" s="1" t="str">
        <f aca="false">Transactions!G1384</f>
        <v>Electronics</v>
      </c>
      <c r="H1384" s="1" t="n">
        <f aca="false">IF(COUNTIFS($B$2:$B$1489,B1384,$C$2:$C$1489,C1384,$D$2:$D$1489,D1384)&gt;6,1,0)</f>
        <v>0</v>
      </c>
      <c r="I1384" s="1" t="n">
        <f aca="false">IF(AND(F1384="Wire",E1384&gt;=1000,MOD(E1384,1000)=0),1,0)</f>
        <v>0</v>
      </c>
      <c r="J1384" s="1" t="n">
        <f aca="false">IF(AND(F1384="ATM",E1384&gt;2000,D1384&lt;=4),1,0)</f>
        <v>0</v>
      </c>
      <c r="K1384" s="1" t="n">
        <f aca="false">IF(COUNTIF('SQL Findings'!$A$4:$A$18,B1384)&gt;0,1,0)</f>
        <v>0</v>
      </c>
      <c r="L1384" s="1" t="n">
        <f aca="false">SUM(H1384:K1384)</f>
        <v>0</v>
      </c>
      <c r="M1384" s="1" t="str">
        <f aca="false">IF(L1384&gt;=2,"High",IF(L1384=1,"Medium","Low"))</f>
        <v>Low</v>
      </c>
    </row>
    <row r="1385" customFormat="false" ht="15" hidden="false" customHeight="true" outlineLevel="0" collapsed="false">
      <c r="A1385" s="1" t="str">
        <f aca="false">Transactions!A1385</f>
        <v>TXN500733</v>
      </c>
      <c r="B1385" s="1" t="str">
        <f aca="false">Transactions!B1385</f>
        <v>ACC1031</v>
      </c>
      <c r="C1385" s="1" t="str">
        <f aca="false">Transactions!I1385</f>
        <v>2026-03-26</v>
      </c>
      <c r="D1385" s="1" t="n">
        <f aca="false">Transactions!J1385</f>
        <v>10</v>
      </c>
      <c r="E1385" s="1" t="n">
        <f aca="false">Transactions!D1385</f>
        <v>96.3</v>
      </c>
      <c r="F1385" s="1" t="str">
        <f aca="false">Transactions!H1385</f>
        <v>Online</v>
      </c>
      <c r="G1385" s="1" t="str">
        <f aca="false">Transactions!G1385</f>
        <v>Cash Withdrawal</v>
      </c>
      <c r="H1385" s="1" t="n">
        <f aca="false">IF(COUNTIFS($B$2:$B$1489,B1385,$C$2:$C$1489,C1385,$D$2:$D$1489,D1385)&gt;6,1,0)</f>
        <v>0</v>
      </c>
      <c r="I1385" s="1" t="n">
        <f aca="false">IF(AND(F1385="Wire",E1385&gt;=1000,MOD(E1385,1000)=0),1,0)</f>
        <v>0</v>
      </c>
      <c r="J1385" s="1" t="n">
        <f aca="false">IF(AND(F1385="ATM",E1385&gt;2000,D1385&lt;=4),1,0)</f>
        <v>0</v>
      </c>
      <c r="K1385" s="1" t="n">
        <f aca="false">IF(COUNTIF('SQL Findings'!$A$4:$A$18,B1385)&gt;0,1,0)</f>
        <v>0</v>
      </c>
      <c r="L1385" s="1" t="n">
        <f aca="false">SUM(H1385:K1385)</f>
        <v>0</v>
      </c>
      <c r="M1385" s="1" t="str">
        <f aca="false">IF(L1385&gt;=2,"High",IF(L1385=1,"Medium","Low"))</f>
        <v>Low</v>
      </c>
    </row>
    <row r="1386" customFormat="false" ht="15" hidden="false" customHeight="true" outlineLevel="0" collapsed="false">
      <c r="A1386" s="1" t="str">
        <f aca="false">Transactions!A1386</f>
        <v>TXN501324</v>
      </c>
      <c r="B1386" s="1" t="str">
        <f aca="false">Transactions!B1386</f>
        <v>ACC1058</v>
      </c>
      <c r="C1386" s="1" t="str">
        <f aca="false">Transactions!I1386</f>
        <v>2026-03-26</v>
      </c>
      <c r="D1386" s="1" t="n">
        <f aca="false">Transactions!J1386</f>
        <v>10</v>
      </c>
      <c r="E1386" s="1" t="n">
        <f aca="false">Transactions!D1386</f>
        <v>103.32</v>
      </c>
      <c r="F1386" s="1" t="str">
        <f aca="false">Transactions!H1386</f>
        <v>POS</v>
      </c>
      <c r="G1386" s="1" t="str">
        <f aca="false">Transactions!G1386</f>
        <v>Electronics</v>
      </c>
      <c r="H1386" s="1" t="n">
        <f aca="false">IF(COUNTIFS($B$2:$B$1489,B1386,$C$2:$C$1489,C1386,$D$2:$D$1489,D1386)&gt;6,1,0)</f>
        <v>0</v>
      </c>
      <c r="I1386" s="1" t="n">
        <f aca="false">IF(AND(F1386="Wire",E1386&gt;=1000,MOD(E1386,1000)=0),1,0)</f>
        <v>0</v>
      </c>
      <c r="J1386" s="1" t="n">
        <f aca="false">IF(AND(F1386="ATM",E1386&gt;2000,D1386&lt;=4),1,0)</f>
        <v>0</v>
      </c>
      <c r="K1386" s="1" t="n">
        <f aca="false">IF(COUNTIF('SQL Findings'!$A$4:$A$18,B1386)&gt;0,1,0)</f>
        <v>0</v>
      </c>
      <c r="L1386" s="1" t="n">
        <f aca="false">SUM(H1386:K1386)</f>
        <v>0</v>
      </c>
      <c r="M1386" s="1" t="str">
        <f aca="false">IF(L1386&gt;=2,"High",IF(L1386=1,"Medium","Low"))</f>
        <v>Low</v>
      </c>
    </row>
    <row r="1387" customFormat="false" ht="15" hidden="false" customHeight="true" outlineLevel="0" collapsed="false">
      <c r="A1387" s="1" t="str">
        <f aca="false">Transactions!A1387</f>
        <v>TXN500034</v>
      </c>
      <c r="B1387" s="1" t="str">
        <f aca="false">Transactions!B1387</f>
        <v>ACC1001</v>
      </c>
      <c r="C1387" s="1" t="str">
        <f aca="false">Transactions!I1387</f>
        <v>2026-03-26</v>
      </c>
      <c r="D1387" s="1" t="n">
        <f aca="false">Transactions!J1387</f>
        <v>10</v>
      </c>
      <c r="E1387" s="1" t="n">
        <f aca="false">Transactions!D1387</f>
        <v>25.74</v>
      </c>
      <c r="F1387" s="1" t="str">
        <f aca="false">Transactions!H1387</f>
        <v>Online</v>
      </c>
      <c r="G1387" s="1" t="str">
        <f aca="false">Transactions!G1387</f>
        <v>Wire Transfer</v>
      </c>
      <c r="H1387" s="1" t="n">
        <f aca="false">IF(COUNTIFS($B$2:$B$1489,B1387,$C$2:$C$1489,C1387,$D$2:$D$1489,D1387)&gt;6,1,0)</f>
        <v>0</v>
      </c>
      <c r="I1387" s="1" t="n">
        <f aca="false">IF(AND(F1387="Wire",E1387&gt;=1000,MOD(E1387,1000)=0),1,0)</f>
        <v>0</v>
      </c>
      <c r="J1387" s="1" t="n">
        <f aca="false">IF(AND(F1387="ATM",E1387&gt;2000,D1387&lt;=4),1,0)</f>
        <v>0</v>
      </c>
      <c r="K1387" s="1" t="n">
        <f aca="false">IF(COUNTIF('SQL Findings'!$A$4:$A$18,B1387)&gt;0,1,0)</f>
        <v>1</v>
      </c>
      <c r="L1387" s="1" t="n">
        <f aca="false">SUM(H1387:K1387)</f>
        <v>1</v>
      </c>
      <c r="M1387" s="1" t="str">
        <f aca="false">IF(L1387&gt;=2,"High",IF(L1387=1,"Medium","Low"))</f>
        <v>Medium</v>
      </c>
    </row>
    <row r="1388" customFormat="false" ht="15" hidden="false" customHeight="true" outlineLevel="0" collapsed="false">
      <c r="A1388" s="1" t="str">
        <f aca="false">Transactions!A1388</f>
        <v>TXN500280</v>
      </c>
      <c r="B1388" s="1" t="str">
        <f aca="false">Transactions!B1388</f>
        <v>ACC1012</v>
      </c>
      <c r="C1388" s="1" t="str">
        <f aca="false">Transactions!I1388</f>
        <v>2026-03-26</v>
      </c>
      <c r="D1388" s="1" t="n">
        <f aca="false">Transactions!J1388</f>
        <v>10</v>
      </c>
      <c r="E1388" s="1" t="n">
        <f aca="false">Transactions!D1388</f>
        <v>47.14</v>
      </c>
      <c r="F1388" s="1" t="str">
        <f aca="false">Transactions!H1388</f>
        <v>Online</v>
      </c>
      <c r="G1388" s="1" t="str">
        <f aca="false">Transactions!G1388</f>
        <v>Online Marketplace</v>
      </c>
      <c r="H1388" s="1" t="n">
        <f aca="false">IF(COUNTIFS($B$2:$B$1489,B1388,$C$2:$C$1489,C1388,$D$2:$D$1489,D1388)&gt;6,1,0)</f>
        <v>0</v>
      </c>
      <c r="I1388" s="1" t="n">
        <f aca="false">IF(AND(F1388="Wire",E1388&gt;=1000,MOD(E1388,1000)=0),1,0)</f>
        <v>0</v>
      </c>
      <c r="J1388" s="1" t="n">
        <f aca="false">IF(AND(F1388="ATM",E1388&gt;2000,D1388&lt;=4),1,0)</f>
        <v>0</v>
      </c>
      <c r="K1388" s="1" t="n">
        <f aca="false">IF(COUNTIF('SQL Findings'!$A$4:$A$18,B1388)&gt;0,1,0)</f>
        <v>0</v>
      </c>
      <c r="L1388" s="1" t="n">
        <f aca="false">SUM(H1388:K1388)</f>
        <v>0</v>
      </c>
      <c r="M1388" s="1" t="str">
        <f aca="false">IF(L1388&gt;=2,"High",IF(L1388=1,"Medium","Low"))</f>
        <v>Low</v>
      </c>
    </row>
    <row r="1389" customFormat="false" ht="15" hidden="false" customHeight="true" outlineLevel="0" collapsed="false">
      <c r="A1389" s="1" t="str">
        <f aca="false">Transactions!A1389</f>
        <v>TXN500489</v>
      </c>
      <c r="B1389" s="1" t="str">
        <f aca="false">Transactions!B1389</f>
        <v>ACC1021</v>
      </c>
      <c r="C1389" s="1" t="str">
        <f aca="false">Transactions!I1389</f>
        <v>2026-03-26</v>
      </c>
      <c r="D1389" s="1" t="n">
        <f aca="false">Transactions!J1389</f>
        <v>10</v>
      </c>
      <c r="E1389" s="1" t="n">
        <f aca="false">Transactions!D1389</f>
        <v>304.43</v>
      </c>
      <c r="F1389" s="1" t="str">
        <f aca="false">Transactions!H1389</f>
        <v>POS</v>
      </c>
      <c r="G1389" s="1" t="str">
        <f aca="false">Transactions!G1389</f>
        <v>Retail</v>
      </c>
      <c r="H1389" s="1" t="n">
        <f aca="false">IF(COUNTIFS($B$2:$B$1489,B1389,$C$2:$C$1489,C1389,$D$2:$D$1489,D1389)&gt;6,1,0)</f>
        <v>0</v>
      </c>
      <c r="I1389" s="1" t="n">
        <f aca="false">IF(AND(F1389="Wire",E1389&gt;=1000,MOD(E1389,1000)=0),1,0)</f>
        <v>0</v>
      </c>
      <c r="J1389" s="1" t="n">
        <f aca="false">IF(AND(F1389="ATM",E1389&gt;2000,D1389&lt;=4),1,0)</f>
        <v>0</v>
      </c>
      <c r="K1389" s="1" t="n">
        <f aca="false">IF(COUNTIF('SQL Findings'!$A$4:$A$18,B1389)&gt;0,1,0)</f>
        <v>0</v>
      </c>
      <c r="L1389" s="1" t="n">
        <f aca="false">SUM(H1389:K1389)</f>
        <v>0</v>
      </c>
      <c r="M1389" s="1" t="str">
        <f aca="false">IF(L1389&gt;=2,"High",IF(L1389=1,"Medium","Low"))</f>
        <v>Low</v>
      </c>
    </row>
    <row r="1390" customFormat="false" ht="15" hidden="false" customHeight="true" outlineLevel="0" collapsed="false">
      <c r="A1390" s="1" t="str">
        <f aca="false">Transactions!A1390</f>
        <v>TXN500024</v>
      </c>
      <c r="B1390" s="1" t="str">
        <f aca="false">Transactions!B1390</f>
        <v>ACC1001</v>
      </c>
      <c r="C1390" s="1" t="str">
        <f aca="false">Transactions!I1390</f>
        <v>2026-03-26</v>
      </c>
      <c r="D1390" s="1" t="n">
        <f aca="false">Transactions!J1390</f>
        <v>11</v>
      </c>
      <c r="E1390" s="1" t="n">
        <f aca="false">Transactions!D1390</f>
        <v>18.5</v>
      </c>
      <c r="F1390" s="1" t="str">
        <f aca="false">Transactions!H1390</f>
        <v>Online</v>
      </c>
      <c r="G1390" s="1" t="str">
        <f aca="false">Transactions!G1390</f>
        <v>Travel</v>
      </c>
      <c r="H1390" s="1" t="n">
        <f aca="false">IF(COUNTIFS($B$2:$B$1489,B1390,$C$2:$C$1489,C1390,$D$2:$D$1489,D1390)&gt;6,1,0)</f>
        <v>0</v>
      </c>
      <c r="I1390" s="1" t="n">
        <f aca="false">IF(AND(F1390="Wire",E1390&gt;=1000,MOD(E1390,1000)=0),1,0)</f>
        <v>0</v>
      </c>
      <c r="J1390" s="1" t="n">
        <f aca="false">IF(AND(F1390="ATM",E1390&gt;2000,D1390&lt;=4),1,0)</f>
        <v>0</v>
      </c>
      <c r="K1390" s="1" t="n">
        <f aca="false">IF(COUNTIF('SQL Findings'!$A$4:$A$18,B1390)&gt;0,1,0)</f>
        <v>1</v>
      </c>
      <c r="L1390" s="1" t="n">
        <f aca="false">SUM(H1390:K1390)</f>
        <v>1</v>
      </c>
      <c r="M1390" s="1" t="str">
        <f aca="false">IF(L1390&gt;=2,"High",IF(L1390=1,"Medium","Low"))</f>
        <v>Medium</v>
      </c>
    </row>
    <row r="1391" customFormat="false" ht="15" hidden="false" customHeight="true" outlineLevel="0" collapsed="false">
      <c r="A1391" s="1" t="str">
        <f aca="false">Transactions!A1391</f>
        <v>TXN501459</v>
      </c>
      <c r="B1391" s="1" t="str">
        <f aca="false">Transactions!B1391</f>
        <v>ACC1006</v>
      </c>
      <c r="C1391" s="1" t="str">
        <f aca="false">Transactions!I1391</f>
        <v>2026-03-26</v>
      </c>
      <c r="D1391" s="1" t="n">
        <f aca="false">Transactions!J1391</f>
        <v>12</v>
      </c>
      <c r="E1391" s="1" t="n">
        <f aca="false">Transactions!D1391</f>
        <v>3000</v>
      </c>
      <c r="F1391" s="1" t="str">
        <f aca="false">Transactions!H1391</f>
        <v>Wire</v>
      </c>
      <c r="G1391" s="1" t="str">
        <f aca="false">Transactions!G1391</f>
        <v>Wire Transfer</v>
      </c>
      <c r="H1391" s="1" t="n">
        <f aca="false">IF(COUNTIFS($B$2:$B$1489,B1391,$C$2:$C$1489,C1391,$D$2:$D$1489,D1391)&gt;6,1,0)</f>
        <v>0</v>
      </c>
      <c r="I1391" s="1" t="n">
        <f aca="false">IF(AND(F1391="Wire",E1391&gt;=1000,MOD(E1391,1000)=0),1,0)</f>
        <v>1</v>
      </c>
      <c r="J1391" s="1" t="n">
        <f aca="false">IF(AND(F1391="ATM",E1391&gt;2000,D1391&lt;=4),1,0)</f>
        <v>0</v>
      </c>
      <c r="K1391" s="1" t="n">
        <f aca="false">IF(COUNTIF('SQL Findings'!$A$4:$A$18,B1391)&gt;0,1,0)</f>
        <v>0</v>
      </c>
      <c r="L1391" s="1" t="n">
        <f aca="false">SUM(H1391:K1391)</f>
        <v>1</v>
      </c>
      <c r="M1391" s="1" t="str">
        <f aca="false">IF(L1391&gt;=2,"High",IF(L1391=1,"Medium","Low"))</f>
        <v>Medium</v>
      </c>
    </row>
    <row r="1392" customFormat="false" ht="15" hidden="false" customHeight="true" outlineLevel="0" collapsed="false">
      <c r="A1392" s="1" t="str">
        <f aca="false">Transactions!A1392</f>
        <v>TXN500142</v>
      </c>
      <c r="B1392" s="1" t="str">
        <f aca="false">Transactions!B1392</f>
        <v>ACC1006</v>
      </c>
      <c r="C1392" s="1" t="str">
        <f aca="false">Transactions!I1392</f>
        <v>2026-03-26</v>
      </c>
      <c r="D1392" s="1" t="n">
        <f aca="false">Transactions!J1392</f>
        <v>13</v>
      </c>
      <c r="E1392" s="1" t="n">
        <f aca="false">Transactions!D1392</f>
        <v>216.25</v>
      </c>
      <c r="F1392" s="1" t="str">
        <f aca="false">Transactions!H1392</f>
        <v>Online</v>
      </c>
      <c r="G1392" s="1" t="str">
        <f aca="false">Transactions!G1392</f>
        <v>Cash Withdrawal</v>
      </c>
      <c r="H1392" s="1" t="n">
        <f aca="false">IF(COUNTIFS($B$2:$B$1489,B1392,$C$2:$C$1489,C1392,$D$2:$D$1489,D1392)&gt;6,1,0)</f>
        <v>0</v>
      </c>
      <c r="I1392" s="1" t="n">
        <f aca="false">IF(AND(F1392="Wire",E1392&gt;=1000,MOD(E1392,1000)=0),1,0)</f>
        <v>0</v>
      </c>
      <c r="J1392" s="1" t="n">
        <f aca="false">IF(AND(F1392="ATM",E1392&gt;2000,D1392&lt;=4),1,0)</f>
        <v>0</v>
      </c>
      <c r="K1392" s="1" t="n">
        <f aca="false">IF(COUNTIF('SQL Findings'!$A$4:$A$18,B1392)&gt;0,1,0)</f>
        <v>0</v>
      </c>
      <c r="L1392" s="1" t="n">
        <f aca="false">SUM(H1392:K1392)</f>
        <v>0</v>
      </c>
      <c r="M1392" s="1" t="str">
        <f aca="false">IF(L1392&gt;=2,"High",IF(L1392=1,"Medium","Low"))</f>
        <v>Low</v>
      </c>
    </row>
    <row r="1393" customFormat="false" ht="15" hidden="false" customHeight="true" outlineLevel="0" collapsed="false">
      <c r="A1393" s="1" t="str">
        <f aca="false">Transactions!A1393</f>
        <v>TXN500891</v>
      </c>
      <c r="B1393" s="1" t="str">
        <f aca="false">Transactions!B1393</f>
        <v>ACC1038</v>
      </c>
      <c r="C1393" s="1" t="str">
        <f aca="false">Transactions!I1393</f>
        <v>2026-03-26</v>
      </c>
      <c r="D1393" s="1" t="n">
        <f aca="false">Transactions!J1393</f>
        <v>13</v>
      </c>
      <c r="E1393" s="1" t="n">
        <f aca="false">Transactions!D1393</f>
        <v>139.55</v>
      </c>
      <c r="F1393" s="1" t="str">
        <f aca="false">Transactions!H1393</f>
        <v>Online</v>
      </c>
      <c r="G1393" s="1" t="str">
        <f aca="false">Transactions!G1393</f>
        <v>Travel</v>
      </c>
      <c r="H1393" s="1" t="n">
        <f aca="false">IF(COUNTIFS($B$2:$B$1489,B1393,$C$2:$C$1489,C1393,$D$2:$D$1489,D1393)&gt;6,1,0)</f>
        <v>0</v>
      </c>
      <c r="I1393" s="1" t="n">
        <f aca="false">IF(AND(F1393="Wire",E1393&gt;=1000,MOD(E1393,1000)=0),1,0)</f>
        <v>0</v>
      </c>
      <c r="J1393" s="1" t="n">
        <f aca="false">IF(AND(F1393="ATM",E1393&gt;2000,D1393&lt;=4),1,0)</f>
        <v>0</v>
      </c>
      <c r="K1393" s="1" t="n">
        <f aca="false">IF(COUNTIF('SQL Findings'!$A$4:$A$18,B1393)&gt;0,1,0)</f>
        <v>0</v>
      </c>
      <c r="L1393" s="1" t="n">
        <f aca="false">SUM(H1393:K1393)</f>
        <v>0</v>
      </c>
      <c r="M1393" s="1" t="str">
        <f aca="false">IF(L1393&gt;=2,"High",IF(L1393=1,"Medium","Low"))</f>
        <v>Low</v>
      </c>
    </row>
    <row r="1394" customFormat="false" ht="15" hidden="false" customHeight="true" outlineLevel="0" collapsed="false">
      <c r="A1394" s="1" t="str">
        <f aca="false">Transactions!A1394</f>
        <v>TXN500394</v>
      </c>
      <c r="B1394" s="1" t="str">
        <f aca="false">Transactions!B1394</f>
        <v>ACC1017</v>
      </c>
      <c r="C1394" s="1" t="str">
        <f aca="false">Transactions!I1394</f>
        <v>2026-03-26</v>
      </c>
      <c r="D1394" s="1" t="n">
        <f aca="false">Transactions!J1394</f>
        <v>13</v>
      </c>
      <c r="E1394" s="1" t="n">
        <f aca="false">Transactions!D1394</f>
        <v>346.65</v>
      </c>
      <c r="F1394" s="1" t="str">
        <f aca="false">Transactions!H1394</f>
        <v>ATM</v>
      </c>
      <c r="G1394" s="1" t="str">
        <f aca="false">Transactions!G1394</f>
        <v>Cash Withdrawal</v>
      </c>
      <c r="H1394" s="1" t="n">
        <f aca="false">IF(COUNTIFS($B$2:$B$1489,B1394,$C$2:$C$1489,C1394,$D$2:$D$1489,D1394)&gt;6,1,0)</f>
        <v>0</v>
      </c>
      <c r="I1394" s="1" t="n">
        <f aca="false">IF(AND(F1394="Wire",E1394&gt;=1000,MOD(E1394,1000)=0),1,0)</f>
        <v>0</v>
      </c>
      <c r="J1394" s="1" t="n">
        <f aca="false">IF(AND(F1394="ATM",E1394&gt;2000,D1394&lt;=4),1,0)</f>
        <v>0</v>
      </c>
      <c r="K1394" s="1" t="n">
        <f aca="false">IF(COUNTIF('SQL Findings'!$A$4:$A$18,B1394)&gt;0,1,0)</f>
        <v>0</v>
      </c>
      <c r="L1394" s="1" t="n">
        <f aca="false">SUM(H1394:K1394)</f>
        <v>0</v>
      </c>
      <c r="M1394" s="1" t="str">
        <f aca="false">IF(L1394&gt;=2,"High",IF(L1394=1,"Medium","Low"))</f>
        <v>Low</v>
      </c>
    </row>
    <row r="1395" customFormat="false" ht="15" hidden="false" customHeight="true" outlineLevel="0" collapsed="false">
      <c r="A1395" s="1" t="str">
        <f aca="false">Transactions!A1395</f>
        <v>TXN501305</v>
      </c>
      <c r="B1395" s="1" t="str">
        <f aca="false">Transactions!B1395</f>
        <v>ACC1057</v>
      </c>
      <c r="C1395" s="1" t="str">
        <f aca="false">Transactions!I1395</f>
        <v>2026-03-26</v>
      </c>
      <c r="D1395" s="1" t="n">
        <f aca="false">Transactions!J1395</f>
        <v>14</v>
      </c>
      <c r="E1395" s="1" t="n">
        <f aca="false">Transactions!D1395</f>
        <v>108.08</v>
      </c>
      <c r="F1395" s="1" t="str">
        <f aca="false">Transactions!H1395</f>
        <v>POS</v>
      </c>
      <c r="G1395" s="1" t="str">
        <f aca="false">Transactions!G1395</f>
        <v>Online Marketplace</v>
      </c>
      <c r="H1395" s="1" t="n">
        <f aca="false">IF(COUNTIFS($B$2:$B$1489,B1395,$C$2:$C$1489,C1395,$D$2:$D$1489,D1395)&gt;6,1,0)</f>
        <v>0</v>
      </c>
      <c r="I1395" s="1" t="n">
        <f aca="false">IF(AND(F1395="Wire",E1395&gt;=1000,MOD(E1395,1000)=0),1,0)</f>
        <v>0</v>
      </c>
      <c r="J1395" s="1" t="n">
        <f aca="false">IF(AND(F1395="ATM",E1395&gt;2000,D1395&lt;=4),1,0)</f>
        <v>0</v>
      </c>
      <c r="K1395" s="1" t="n">
        <f aca="false">IF(COUNTIF('SQL Findings'!$A$4:$A$18,B1395)&gt;0,1,0)</f>
        <v>1</v>
      </c>
      <c r="L1395" s="1" t="n">
        <f aca="false">SUM(H1395:K1395)</f>
        <v>1</v>
      </c>
      <c r="M1395" s="1" t="str">
        <f aca="false">IF(L1395&gt;=2,"High",IF(L1395=1,"Medium","Low"))</f>
        <v>Medium</v>
      </c>
    </row>
    <row r="1396" customFormat="false" ht="15" hidden="false" customHeight="true" outlineLevel="0" collapsed="false">
      <c r="A1396" s="1" t="str">
        <f aca="false">Transactions!A1396</f>
        <v>TXN500351</v>
      </c>
      <c r="B1396" s="1" t="str">
        <f aca="false">Transactions!B1396</f>
        <v>ACC1015</v>
      </c>
      <c r="C1396" s="1" t="str">
        <f aca="false">Transactions!I1396</f>
        <v>2026-03-26</v>
      </c>
      <c r="D1396" s="1" t="n">
        <f aca="false">Transactions!J1396</f>
        <v>14</v>
      </c>
      <c r="E1396" s="1" t="n">
        <f aca="false">Transactions!D1396</f>
        <v>88.22</v>
      </c>
      <c r="F1396" s="1" t="str">
        <f aca="false">Transactions!H1396</f>
        <v>POS</v>
      </c>
      <c r="G1396" s="1" t="str">
        <f aca="false">Transactions!G1396</f>
        <v>Cash Withdrawal</v>
      </c>
      <c r="H1396" s="1" t="n">
        <f aca="false">IF(COUNTIFS($B$2:$B$1489,B1396,$C$2:$C$1489,C1396,$D$2:$D$1489,D1396)&gt;6,1,0)</f>
        <v>0</v>
      </c>
      <c r="I1396" s="1" t="n">
        <f aca="false">IF(AND(F1396="Wire",E1396&gt;=1000,MOD(E1396,1000)=0),1,0)</f>
        <v>0</v>
      </c>
      <c r="J1396" s="1" t="n">
        <f aca="false">IF(AND(F1396="ATM",E1396&gt;2000,D1396&lt;=4),1,0)</f>
        <v>0</v>
      </c>
      <c r="K1396" s="1" t="n">
        <f aca="false">IF(COUNTIF('SQL Findings'!$A$4:$A$18,B1396)&gt;0,1,0)</f>
        <v>1</v>
      </c>
      <c r="L1396" s="1" t="n">
        <f aca="false">SUM(H1396:K1396)</f>
        <v>1</v>
      </c>
      <c r="M1396" s="1" t="str">
        <f aca="false">IF(L1396&gt;=2,"High",IF(L1396=1,"Medium","Low"))</f>
        <v>Medium</v>
      </c>
    </row>
    <row r="1397" customFormat="false" ht="15" hidden="false" customHeight="true" outlineLevel="0" collapsed="false">
      <c r="A1397" s="1" t="str">
        <f aca="false">Transactions!A1397</f>
        <v>TXN500870</v>
      </c>
      <c r="B1397" s="1" t="str">
        <f aca="false">Transactions!B1397</f>
        <v>ACC1037</v>
      </c>
      <c r="C1397" s="1" t="str">
        <f aca="false">Transactions!I1397</f>
        <v>2026-03-26</v>
      </c>
      <c r="D1397" s="1" t="n">
        <f aca="false">Transactions!J1397</f>
        <v>15</v>
      </c>
      <c r="E1397" s="1" t="n">
        <f aca="false">Transactions!D1397</f>
        <v>407.15</v>
      </c>
      <c r="F1397" s="1" t="str">
        <f aca="false">Transactions!H1397</f>
        <v>ATM</v>
      </c>
      <c r="G1397" s="1" t="str">
        <f aca="false">Transactions!G1397</f>
        <v>Cash Withdrawal</v>
      </c>
      <c r="H1397" s="1" t="n">
        <f aca="false">IF(COUNTIFS($B$2:$B$1489,B1397,$C$2:$C$1489,C1397,$D$2:$D$1489,D1397)&gt;6,1,0)</f>
        <v>0</v>
      </c>
      <c r="I1397" s="1" t="n">
        <f aca="false">IF(AND(F1397="Wire",E1397&gt;=1000,MOD(E1397,1000)=0),1,0)</f>
        <v>0</v>
      </c>
      <c r="J1397" s="1" t="n">
        <f aca="false">IF(AND(F1397="ATM",E1397&gt;2000,D1397&lt;=4),1,0)</f>
        <v>0</v>
      </c>
      <c r="K1397" s="1" t="n">
        <f aca="false">IF(COUNTIF('SQL Findings'!$A$4:$A$18,B1397)&gt;0,1,0)</f>
        <v>1</v>
      </c>
      <c r="L1397" s="1" t="n">
        <f aca="false">SUM(H1397:K1397)</f>
        <v>1</v>
      </c>
      <c r="M1397" s="1" t="str">
        <f aca="false">IF(L1397&gt;=2,"High",IF(L1397=1,"Medium","Low"))</f>
        <v>Medium</v>
      </c>
    </row>
    <row r="1398" customFormat="false" ht="15" hidden="false" customHeight="true" outlineLevel="0" collapsed="false">
      <c r="A1398" s="1" t="str">
        <f aca="false">Transactions!A1398</f>
        <v>TXN500196</v>
      </c>
      <c r="B1398" s="1" t="str">
        <f aca="false">Transactions!B1398</f>
        <v>ACC1008</v>
      </c>
      <c r="C1398" s="1" t="str">
        <f aca="false">Transactions!I1398</f>
        <v>2026-03-26</v>
      </c>
      <c r="D1398" s="1" t="n">
        <f aca="false">Transactions!J1398</f>
        <v>16</v>
      </c>
      <c r="E1398" s="1" t="n">
        <f aca="false">Transactions!D1398</f>
        <v>94.33</v>
      </c>
      <c r="F1398" s="1" t="str">
        <f aca="false">Transactions!H1398</f>
        <v>Online</v>
      </c>
      <c r="G1398" s="1" t="str">
        <f aca="false">Transactions!G1398</f>
        <v>Travel</v>
      </c>
      <c r="H1398" s="1" t="n">
        <f aca="false">IF(COUNTIFS($B$2:$B$1489,B1398,$C$2:$C$1489,C1398,$D$2:$D$1489,D1398)&gt;6,1,0)</f>
        <v>0</v>
      </c>
      <c r="I1398" s="1" t="n">
        <f aca="false">IF(AND(F1398="Wire",E1398&gt;=1000,MOD(E1398,1000)=0),1,0)</f>
        <v>0</v>
      </c>
      <c r="J1398" s="1" t="n">
        <f aca="false">IF(AND(F1398="ATM",E1398&gt;2000,D1398&lt;=4),1,0)</f>
        <v>0</v>
      </c>
      <c r="K1398" s="1" t="n">
        <f aca="false">IF(COUNTIF('SQL Findings'!$A$4:$A$18,B1398)&gt;0,1,0)</f>
        <v>0</v>
      </c>
      <c r="L1398" s="1" t="n">
        <f aca="false">SUM(H1398:K1398)</f>
        <v>0</v>
      </c>
      <c r="M1398" s="1" t="str">
        <f aca="false">IF(L1398&gt;=2,"High",IF(L1398=1,"Medium","Low"))</f>
        <v>Low</v>
      </c>
    </row>
    <row r="1399" customFormat="false" ht="15" hidden="false" customHeight="true" outlineLevel="0" collapsed="false">
      <c r="A1399" s="1" t="str">
        <f aca="false">Transactions!A1399</f>
        <v>TXN500992</v>
      </c>
      <c r="B1399" s="1" t="str">
        <f aca="false">Transactions!B1399</f>
        <v>ACC1043</v>
      </c>
      <c r="C1399" s="1" t="str">
        <f aca="false">Transactions!I1399</f>
        <v>2026-03-26</v>
      </c>
      <c r="D1399" s="1" t="n">
        <f aca="false">Transactions!J1399</f>
        <v>17</v>
      </c>
      <c r="E1399" s="1" t="n">
        <f aca="false">Transactions!D1399</f>
        <v>10.62</v>
      </c>
      <c r="F1399" s="1" t="str">
        <f aca="false">Transactions!H1399</f>
        <v>Online</v>
      </c>
      <c r="G1399" s="1" t="str">
        <f aca="false">Transactions!G1399</f>
        <v>Dining</v>
      </c>
      <c r="H1399" s="1" t="n">
        <f aca="false">IF(COUNTIFS($B$2:$B$1489,B1399,$C$2:$C$1489,C1399,$D$2:$D$1489,D1399)&gt;6,1,0)</f>
        <v>0</v>
      </c>
      <c r="I1399" s="1" t="n">
        <f aca="false">IF(AND(F1399="Wire",E1399&gt;=1000,MOD(E1399,1000)=0),1,0)</f>
        <v>0</v>
      </c>
      <c r="J1399" s="1" t="n">
        <f aca="false">IF(AND(F1399="ATM",E1399&gt;2000,D1399&lt;=4),1,0)</f>
        <v>0</v>
      </c>
      <c r="K1399" s="1" t="n">
        <f aca="false">IF(COUNTIF('SQL Findings'!$A$4:$A$18,B1399)&gt;0,1,0)</f>
        <v>0</v>
      </c>
      <c r="L1399" s="1" t="n">
        <f aca="false">SUM(H1399:K1399)</f>
        <v>0</v>
      </c>
      <c r="M1399" s="1" t="str">
        <f aca="false">IF(L1399&gt;=2,"High",IF(L1399=1,"Medium","Low"))</f>
        <v>Low</v>
      </c>
    </row>
    <row r="1400" customFormat="false" ht="15" hidden="false" customHeight="true" outlineLevel="0" collapsed="false">
      <c r="A1400" s="1" t="str">
        <f aca="false">Transactions!A1400</f>
        <v>TXN501234</v>
      </c>
      <c r="B1400" s="1" t="str">
        <f aca="false">Transactions!B1400</f>
        <v>ACC1054</v>
      </c>
      <c r="C1400" s="1" t="str">
        <f aca="false">Transactions!I1400</f>
        <v>2026-03-26</v>
      </c>
      <c r="D1400" s="1" t="n">
        <f aca="false">Transactions!J1400</f>
        <v>17</v>
      </c>
      <c r="E1400" s="1" t="n">
        <f aca="false">Transactions!D1400</f>
        <v>679.76</v>
      </c>
      <c r="F1400" s="1" t="str">
        <f aca="false">Transactions!H1400</f>
        <v>POS</v>
      </c>
      <c r="G1400" s="1" t="str">
        <f aca="false">Transactions!G1400</f>
        <v>Travel</v>
      </c>
      <c r="H1400" s="1" t="n">
        <f aca="false">IF(COUNTIFS($B$2:$B$1489,B1400,$C$2:$C$1489,C1400,$D$2:$D$1489,D1400)&gt;6,1,0)</f>
        <v>0</v>
      </c>
      <c r="I1400" s="1" t="n">
        <f aca="false">IF(AND(F1400="Wire",E1400&gt;=1000,MOD(E1400,1000)=0),1,0)</f>
        <v>0</v>
      </c>
      <c r="J1400" s="1" t="n">
        <f aca="false">IF(AND(F1400="ATM",E1400&gt;2000,D1400&lt;=4),1,0)</f>
        <v>0</v>
      </c>
      <c r="K1400" s="1" t="n">
        <f aca="false">IF(COUNTIF('SQL Findings'!$A$4:$A$18,B1400)&gt;0,1,0)</f>
        <v>0</v>
      </c>
      <c r="L1400" s="1" t="n">
        <f aca="false">SUM(H1400:K1400)</f>
        <v>0</v>
      </c>
      <c r="M1400" s="1" t="str">
        <f aca="false">IF(L1400&gt;=2,"High",IF(L1400=1,"Medium","Low"))</f>
        <v>Low</v>
      </c>
    </row>
    <row r="1401" customFormat="false" ht="15" hidden="false" customHeight="true" outlineLevel="0" collapsed="false">
      <c r="A1401" s="1" t="str">
        <f aca="false">Transactions!A1401</f>
        <v>TXN500272</v>
      </c>
      <c r="B1401" s="1" t="str">
        <f aca="false">Transactions!B1401</f>
        <v>ACC1011</v>
      </c>
      <c r="C1401" s="1" t="str">
        <f aca="false">Transactions!I1401</f>
        <v>2026-03-26</v>
      </c>
      <c r="D1401" s="1" t="n">
        <f aca="false">Transactions!J1401</f>
        <v>17</v>
      </c>
      <c r="E1401" s="1" t="n">
        <f aca="false">Transactions!D1401</f>
        <v>18.32</v>
      </c>
      <c r="F1401" s="1" t="str">
        <f aca="false">Transactions!H1401</f>
        <v>POS</v>
      </c>
      <c r="G1401" s="1" t="str">
        <f aca="false">Transactions!G1401</f>
        <v>Retail</v>
      </c>
      <c r="H1401" s="1" t="n">
        <f aca="false">IF(COUNTIFS($B$2:$B$1489,B1401,$C$2:$C$1489,C1401,$D$2:$D$1489,D1401)&gt;6,1,0)</f>
        <v>0</v>
      </c>
      <c r="I1401" s="1" t="n">
        <f aca="false">IF(AND(F1401="Wire",E1401&gt;=1000,MOD(E1401,1000)=0),1,0)</f>
        <v>0</v>
      </c>
      <c r="J1401" s="1" t="n">
        <f aca="false">IF(AND(F1401="ATM",E1401&gt;2000,D1401&lt;=4),1,0)</f>
        <v>0</v>
      </c>
      <c r="K1401" s="1" t="n">
        <f aca="false">IF(COUNTIF('SQL Findings'!$A$4:$A$18,B1401)&gt;0,1,0)</f>
        <v>0</v>
      </c>
      <c r="L1401" s="1" t="n">
        <f aca="false">SUM(H1401:K1401)</f>
        <v>0</v>
      </c>
      <c r="M1401" s="1" t="str">
        <f aca="false">IF(L1401&gt;=2,"High",IF(L1401=1,"Medium","Low"))</f>
        <v>Low</v>
      </c>
    </row>
    <row r="1402" customFormat="false" ht="15" hidden="false" customHeight="true" outlineLevel="0" collapsed="false">
      <c r="A1402" s="1" t="str">
        <f aca="false">Transactions!A1402</f>
        <v>TXN500314</v>
      </c>
      <c r="B1402" s="1" t="str">
        <f aca="false">Transactions!B1402</f>
        <v>ACC1014</v>
      </c>
      <c r="C1402" s="1" t="str">
        <f aca="false">Transactions!I1402</f>
        <v>2026-03-26</v>
      </c>
      <c r="D1402" s="1" t="n">
        <f aca="false">Transactions!J1402</f>
        <v>22</v>
      </c>
      <c r="E1402" s="1" t="n">
        <f aca="false">Transactions!D1402</f>
        <v>138.68</v>
      </c>
      <c r="F1402" s="1" t="str">
        <f aca="false">Transactions!H1402</f>
        <v>Online</v>
      </c>
      <c r="G1402" s="1" t="str">
        <f aca="false">Transactions!G1402</f>
        <v>Travel</v>
      </c>
      <c r="H1402" s="1" t="n">
        <f aca="false">IF(COUNTIFS($B$2:$B$1489,B1402,$C$2:$C$1489,C1402,$D$2:$D$1489,D1402)&gt;6,1,0)</f>
        <v>0</v>
      </c>
      <c r="I1402" s="1" t="n">
        <f aca="false">IF(AND(F1402="Wire",E1402&gt;=1000,MOD(E1402,1000)=0),1,0)</f>
        <v>0</v>
      </c>
      <c r="J1402" s="1" t="n">
        <f aca="false">IF(AND(F1402="ATM",E1402&gt;2000,D1402&lt;=4),1,0)</f>
        <v>0</v>
      </c>
      <c r="K1402" s="1" t="n">
        <f aca="false">IF(COUNTIF('SQL Findings'!$A$4:$A$18,B1402)&gt;0,1,0)</f>
        <v>1</v>
      </c>
      <c r="L1402" s="1" t="n">
        <f aca="false">SUM(H1402:K1402)</f>
        <v>1</v>
      </c>
      <c r="M1402" s="1" t="str">
        <f aca="false">IF(L1402&gt;=2,"High",IF(L1402=1,"Medium","Low"))</f>
        <v>Medium</v>
      </c>
    </row>
    <row r="1403" customFormat="false" ht="15" hidden="false" customHeight="true" outlineLevel="0" collapsed="false">
      <c r="A1403" s="1" t="str">
        <f aca="false">Transactions!A1403</f>
        <v>TXN500211</v>
      </c>
      <c r="B1403" s="1" t="str">
        <f aca="false">Transactions!B1403</f>
        <v>ACC1009</v>
      </c>
      <c r="C1403" s="1" t="str">
        <f aca="false">Transactions!I1403</f>
        <v>2026-03-27</v>
      </c>
      <c r="D1403" s="1" t="n">
        <f aca="false">Transactions!J1403</f>
        <v>0</v>
      </c>
      <c r="E1403" s="1" t="n">
        <f aca="false">Transactions!D1403</f>
        <v>111.48</v>
      </c>
      <c r="F1403" s="1" t="str">
        <f aca="false">Transactions!H1403</f>
        <v>Online</v>
      </c>
      <c r="G1403" s="1" t="str">
        <f aca="false">Transactions!G1403</f>
        <v>Online Marketplace</v>
      </c>
      <c r="H1403" s="1" t="n">
        <f aca="false">IF(COUNTIFS($B$2:$B$1489,B1403,$C$2:$C$1489,C1403,$D$2:$D$1489,D1403)&gt;6,1,0)</f>
        <v>0</v>
      </c>
      <c r="I1403" s="1" t="n">
        <f aca="false">IF(AND(F1403="Wire",E1403&gt;=1000,MOD(E1403,1000)=0),1,0)</f>
        <v>0</v>
      </c>
      <c r="J1403" s="1" t="n">
        <f aca="false">IF(AND(F1403="ATM",E1403&gt;2000,D1403&lt;=4),1,0)</f>
        <v>0</v>
      </c>
      <c r="K1403" s="1" t="n">
        <f aca="false">IF(COUNTIF('SQL Findings'!$A$4:$A$18,B1403)&gt;0,1,0)</f>
        <v>1</v>
      </c>
      <c r="L1403" s="1" t="n">
        <f aca="false">SUM(H1403:K1403)</f>
        <v>1</v>
      </c>
      <c r="M1403" s="1" t="str">
        <f aca="false">IF(L1403&gt;=2,"High",IF(L1403=1,"Medium","Low"))</f>
        <v>Medium</v>
      </c>
    </row>
    <row r="1404" customFormat="false" ht="15" hidden="false" customHeight="true" outlineLevel="0" collapsed="false">
      <c r="A1404" s="1" t="str">
        <f aca="false">Transactions!A1404</f>
        <v>TXN500906</v>
      </c>
      <c r="B1404" s="1" t="str">
        <f aca="false">Transactions!B1404</f>
        <v>ACC1039</v>
      </c>
      <c r="C1404" s="1" t="str">
        <f aca="false">Transactions!I1404</f>
        <v>2026-03-27</v>
      </c>
      <c r="D1404" s="1" t="n">
        <f aca="false">Transactions!J1404</f>
        <v>2</v>
      </c>
      <c r="E1404" s="1" t="n">
        <f aca="false">Transactions!D1404</f>
        <v>69.53</v>
      </c>
      <c r="F1404" s="1" t="str">
        <f aca="false">Transactions!H1404</f>
        <v>Online</v>
      </c>
      <c r="G1404" s="1" t="str">
        <f aca="false">Transactions!G1404</f>
        <v>Travel</v>
      </c>
      <c r="H1404" s="1" t="n">
        <f aca="false">IF(COUNTIFS($B$2:$B$1489,B1404,$C$2:$C$1489,C1404,$D$2:$D$1489,D1404)&gt;6,1,0)</f>
        <v>0</v>
      </c>
      <c r="I1404" s="1" t="n">
        <f aca="false">IF(AND(F1404="Wire",E1404&gt;=1000,MOD(E1404,1000)=0),1,0)</f>
        <v>0</v>
      </c>
      <c r="J1404" s="1" t="n">
        <f aca="false">IF(AND(F1404="ATM",E1404&gt;2000,D1404&lt;=4),1,0)</f>
        <v>0</v>
      </c>
      <c r="K1404" s="1" t="n">
        <f aca="false">IF(COUNTIF('SQL Findings'!$A$4:$A$18,B1404)&gt;0,1,0)</f>
        <v>0</v>
      </c>
      <c r="L1404" s="1" t="n">
        <f aca="false">SUM(H1404:K1404)</f>
        <v>0</v>
      </c>
      <c r="M1404" s="1" t="str">
        <f aca="false">IF(L1404&gt;=2,"High",IF(L1404=1,"Medium","Low"))</f>
        <v>Low</v>
      </c>
    </row>
    <row r="1405" customFormat="false" ht="15" hidden="false" customHeight="true" outlineLevel="0" collapsed="false">
      <c r="A1405" s="1" t="str">
        <f aca="false">Transactions!A1405</f>
        <v>TXN500911</v>
      </c>
      <c r="B1405" s="1" t="str">
        <f aca="false">Transactions!B1405</f>
        <v>ACC1039</v>
      </c>
      <c r="C1405" s="1" t="str">
        <f aca="false">Transactions!I1405</f>
        <v>2026-03-27</v>
      </c>
      <c r="D1405" s="1" t="n">
        <f aca="false">Transactions!J1405</f>
        <v>2</v>
      </c>
      <c r="E1405" s="1" t="n">
        <f aca="false">Transactions!D1405</f>
        <v>50.55</v>
      </c>
      <c r="F1405" s="1" t="str">
        <f aca="false">Transactions!H1405</f>
        <v>Online</v>
      </c>
      <c r="G1405" s="1" t="str">
        <f aca="false">Transactions!G1405</f>
        <v>Wire Transfer</v>
      </c>
      <c r="H1405" s="1" t="n">
        <f aca="false">IF(COUNTIFS($B$2:$B$1489,B1405,$C$2:$C$1489,C1405,$D$2:$D$1489,D1405)&gt;6,1,0)</f>
        <v>0</v>
      </c>
      <c r="I1405" s="1" t="n">
        <f aca="false">IF(AND(F1405="Wire",E1405&gt;=1000,MOD(E1405,1000)=0),1,0)</f>
        <v>0</v>
      </c>
      <c r="J1405" s="1" t="n">
        <f aca="false">IF(AND(F1405="ATM",E1405&gt;2000,D1405&lt;=4),1,0)</f>
        <v>0</v>
      </c>
      <c r="K1405" s="1" t="n">
        <f aca="false">IF(COUNTIF('SQL Findings'!$A$4:$A$18,B1405)&gt;0,1,0)</f>
        <v>0</v>
      </c>
      <c r="L1405" s="1" t="n">
        <f aca="false">SUM(H1405:K1405)</f>
        <v>0</v>
      </c>
      <c r="M1405" s="1" t="str">
        <f aca="false">IF(L1405&gt;=2,"High",IF(L1405=1,"Medium","Low"))</f>
        <v>Low</v>
      </c>
    </row>
    <row r="1406" customFormat="false" ht="15" hidden="false" customHeight="true" outlineLevel="0" collapsed="false">
      <c r="A1406" s="1" t="str">
        <f aca="false">Transactions!A1406</f>
        <v>TXN501283</v>
      </c>
      <c r="B1406" s="1" t="str">
        <f aca="false">Transactions!B1406</f>
        <v>ACC1056</v>
      </c>
      <c r="C1406" s="1" t="str">
        <f aca="false">Transactions!I1406</f>
        <v>2026-03-27</v>
      </c>
      <c r="D1406" s="1" t="n">
        <f aca="false">Transactions!J1406</f>
        <v>5</v>
      </c>
      <c r="E1406" s="1" t="n">
        <f aca="false">Transactions!D1406</f>
        <v>126.13</v>
      </c>
      <c r="F1406" s="1" t="str">
        <f aca="false">Transactions!H1406</f>
        <v>Online</v>
      </c>
      <c r="G1406" s="1" t="str">
        <f aca="false">Transactions!G1406</f>
        <v>Travel</v>
      </c>
      <c r="H1406" s="1" t="n">
        <f aca="false">IF(COUNTIFS($B$2:$B$1489,B1406,$C$2:$C$1489,C1406,$D$2:$D$1489,D1406)&gt;6,1,0)</f>
        <v>0</v>
      </c>
      <c r="I1406" s="1" t="n">
        <f aca="false">IF(AND(F1406="Wire",E1406&gt;=1000,MOD(E1406,1000)=0),1,0)</f>
        <v>0</v>
      </c>
      <c r="J1406" s="1" t="n">
        <f aca="false">IF(AND(F1406="ATM",E1406&gt;2000,D1406&lt;=4),1,0)</f>
        <v>0</v>
      </c>
      <c r="K1406" s="1" t="n">
        <f aca="false">IF(COUNTIF('SQL Findings'!$A$4:$A$18,B1406)&gt;0,1,0)</f>
        <v>0</v>
      </c>
      <c r="L1406" s="1" t="n">
        <f aca="false">SUM(H1406:K1406)</f>
        <v>0</v>
      </c>
      <c r="M1406" s="1" t="str">
        <f aca="false">IF(L1406&gt;=2,"High",IF(L1406=1,"Medium","Low"))</f>
        <v>Low</v>
      </c>
    </row>
    <row r="1407" customFormat="false" ht="15" hidden="false" customHeight="true" outlineLevel="0" collapsed="false">
      <c r="A1407" s="1" t="str">
        <f aca="false">Transactions!A1407</f>
        <v>TXN500976</v>
      </c>
      <c r="B1407" s="1" t="str">
        <f aca="false">Transactions!B1407</f>
        <v>ACC1042</v>
      </c>
      <c r="C1407" s="1" t="str">
        <f aca="false">Transactions!I1407</f>
        <v>2026-03-27</v>
      </c>
      <c r="D1407" s="1" t="n">
        <f aca="false">Transactions!J1407</f>
        <v>7</v>
      </c>
      <c r="E1407" s="1" t="n">
        <f aca="false">Transactions!D1407</f>
        <v>12.18</v>
      </c>
      <c r="F1407" s="1" t="str">
        <f aca="false">Transactions!H1407</f>
        <v>Online</v>
      </c>
      <c r="G1407" s="1" t="str">
        <f aca="false">Transactions!G1407</f>
        <v>Cash Withdrawal</v>
      </c>
      <c r="H1407" s="1" t="n">
        <f aca="false">IF(COUNTIFS($B$2:$B$1489,B1407,$C$2:$C$1489,C1407,$D$2:$D$1489,D1407)&gt;6,1,0)</f>
        <v>0</v>
      </c>
      <c r="I1407" s="1" t="n">
        <f aca="false">IF(AND(F1407="Wire",E1407&gt;=1000,MOD(E1407,1000)=0),1,0)</f>
        <v>0</v>
      </c>
      <c r="J1407" s="1" t="n">
        <f aca="false">IF(AND(F1407="ATM",E1407&gt;2000,D1407&lt;=4),1,0)</f>
        <v>0</v>
      </c>
      <c r="K1407" s="1" t="n">
        <f aca="false">IF(COUNTIF('SQL Findings'!$A$4:$A$18,B1407)&gt;0,1,0)</f>
        <v>1</v>
      </c>
      <c r="L1407" s="1" t="n">
        <f aca="false">SUM(H1407:K1407)</f>
        <v>1</v>
      </c>
      <c r="M1407" s="1" t="str">
        <f aca="false">IF(L1407&gt;=2,"High",IF(L1407=1,"Medium","Low"))</f>
        <v>Medium</v>
      </c>
    </row>
    <row r="1408" customFormat="false" ht="15" hidden="false" customHeight="true" outlineLevel="0" collapsed="false">
      <c r="A1408" s="1" t="str">
        <f aca="false">Transactions!A1408</f>
        <v>TXN500283</v>
      </c>
      <c r="B1408" s="1" t="str">
        <f aca="false">Transactions!B1408</f>
        <v>ACC1012</v>
      </c>
      <c r="C1408" s="1" t="str">
        <f aca="false">Transactions!I1408</f>
        <v>2026-03-27</v>
      </c>
      <c r="D1408" s="1" t="n">
        <f aca="false">Transactions!J1408</f>
        <v>8</v>
      </c>
      <c r="E1408" s="1" t="n">
        <f aca="false">Transactions!D1408</f>
        <v>277.94</v>
      </c>
      <c r="F1408" s="1" t="str">
        <f aca="false">Transactions!H1408</f>
        <v>ATM</v>
      </c>
      <c r="G1408" s="1" t="str">
        <f aca="false">Transactions!G1408</f>
        <v>Wire Transfer</v>
      </c>
      <c r="H1408" s="1" t="n">
        <f aca="false">IF(COUNTIFS($B$2:$B$1489,B1408,$C$2:$C$1489,C1408,$D$2:$D$1489,D1408)&gt;6,1,0)</f>
        <v>0</v>
      </c>
      <c r="I1408" s="1" t="n">
        <f aca="false">IF(AND(F1408="Wire",E1408&gt;=1000,MOD(E1408,1000)=0),1,0)</f>
        <v>0</v>
      </c>
      <c r="J1408" s="1" t="n">
        <f aca="false">IF(AND(F1408="ATM",E1408&gt;2000,D1408&lt;=4),1,0)</f>
        <v>0</v>
      </c>
      <c r="K1408" s="1" t="n">
        <f aca="false">IF(COUNTIF('SQL Findings'!$A$4:$A$18,B1408)&gt;0,1,0)</f>
        <v>0</v>
      </c>
      <c r="L1408" s="1" t="n">
        <f aca="false">SUM(H1408:K1408)</f>
        <v>0</v>
      </c>
      <c r="M1408" s="1" t="str">
        <f aca="false">IF(L1408&gt;=2,"High",IF(L1408=1,"Medium","Low"))</f>
        <v>Low</v>
      </c>
    </row>
    <row r="1409" customFormat="false" ht="15" hidden="false" customHeight="true" outlineLevel="0" collapsed="false">
      <c r="A1409" s="1" t="str">
        <f aca="false">Transactions!A1409</f>
        <v>TXN500765</v>
      </c>
      <c r="B1409" s="1" t="str">
        <f aca="false">Transactions!B1409</f>
        <v>ACC1033</v>
      </c>
      <c r="C1409" s="1" t="str">
        <f aca="false">Transactions!I1409</f>
        <v>2026-03-27</v>
      </c>
      <c r="D1409" s="1" t="n">
        <f aca="false">Transactions!J1409</f>
        <v>9</v>
      </c>
      <c r="E1409" s="1" t="n">
        <f aca="false">Transactions!D1409</f>
        <v>187.61</v>
      </c>
      <c r="F1409" s="1" t="str">
        <f aca="false">Transactions!H1409</f>
        <v>ATM</v>
      </c>
      <c r="G1409" s="1" t="str">
        <f aca="false">Transactions!G1409</f>
        <v>Wire Transfer</v>
      </c>
      <c r="H1409" s="1" t="n">
        <f aca="false">IF(COUNTIFS($B$2:$B$1489,B1409,$C$2:$C$1489,C1409,$D$2:$D$1489,D1409)&gt;6,1,0)</f>
        <v>0</v>
      </c>
      <c r="I1409" s="1" t="n">
        <f aca="false">IF(AND(F1409="Wire",E1409&gt;=1000,MOD(E1409,1000)=0),1,0)</f>
        <v>0</v>
      </c>
      <c r="J1409" s="1" t="n">
        <f aca="false">IF(AND(F1409="ATM",E1409&gt;2000,D1409&lt;=4),1,0)</f>
        <v>0</v>
      </c>
      <c r="K1409" s="1" t="n">
        <f aca="false">IF(COUNTIF('SQL Findings'!$A$4:$A$18,B1409)&gt;0,1,0)</f>
        <v>0</v>
      </c>
      <c r="L1409" s="1" t="n">
        <f aca="false">SUM(H1409:K1409)</f>
        <v>0</v>
      </c>
      <c r="M1409" s="1" t="str">
        <f aca="false">IF(L1409&gt;=2,"High",IF(L1409=1,"Medium","Low"))</f>
        <v>Low</v>
      </c>
    </row>
    <row r="1410" customFormat="false" ht="15" hidden="false" customHeight="true" outlineLevel="0" collapsed="false">
      <c r="A1410" s="1" t="str">
        <f aca="false">Transactions!A1410</f>
        <v>TXN500319</v>
      </c>
      <c r="B1410" s="1" t="str">
        <f aca="false">Transactions!B1410</f>
        <v>ACC1014</v>
      </c>
      <c r="C1410" s="1" t="str">
        <f aca="false">Transactions!I1410</f>
        <v>2026-03-27</v>
      </c>
      <c r="D1410" s="1" t="n">
        <f aca="false">Transactions!J1410</f>
        <v>10</v>
      </c>
      <c r="E1410" s="1" t="n">
        <f aca="false">Transactions!D1410</f>
        <v>89.28</v>
      </c>
      <c r="F1410" s="1" t="str">
        <f aca="false">Transactions!H1410</f>
        <v>Online</v>
      </c>
      <c r="G1410" s="1" t="str">
        <f aca="false">Transactions!G1410</f>
        <v>Retail</v>
      </c>
      <c r="H1410" s="1" t="n">
        <f aca="false">IF(COUNTIFS($B$2:$B$1489,B1410,$C$2:$C$1489,C1410,$D$2:$D$1489,D1410)&gt;6,1,0)</f>
        <v>0</v>
      </c>
      <c r="I1410" s="1" t="n">
        <f aca="false">IF(AND(F1410="Wire",E1410&gt;=1000,MOD(E1410,1000)=0),1,0)</f>
        <v>0</v>
      </c>
      <c r="J1410" s="1" t="n">
        <f aca="false">IF(AND(F1410="ATM",E1410&gt;2000,D1410&lt;=4),1,0)</f>
        <v>0</v>
      </c>
      <c r="K1410" s="1" t="n">
        <f aca="false">IF(COUNTIF('SQL Findings'!$A$4:$A$18,B1410)&gt;0,1,0)</f>
        <v>1</v>
      </c>
      <c r="L1410" s="1" t="n">
        <f aca="false">SUM(H1410:K1410)</f>
        <v>1</v>
      </c>
      <c r="M1410" s="1" t="str">
        <f aca="false">IF(L1410&gt;=2,"High",IF(L1410=1,"Medium","Low"))</f>
        <v>Medium</v>
      </c>
    </row>
    <row r="1411" customFormat="false" ht="15" hidden="false" customHeight="true" outlineLevel="0" collapsed="false">
      <c r="A1411" s="1" t="str">
        <f aca="false">Transactions!A1411</f>
        <v>TXN500736</v>
      </c>
      <c r="B1411" s="1" t="str">
        <f aca="false">Transactions!B1411</f>
        <v>ACC1031</v>
      </c>
      <c r="C1411" s="1" t="str">
        <f aca="false">Transactions!I1411</f>
        <v>2026-03-27</v>
      </c>
      <c r="D1411" s="1" t="n">
        <f aca="false">Transactions!J1411</f>
        <v>13</v>
      </c>
      <c r="E1411" s="1" t="n">
        <f aca="false">Transactions!D1411</f>
        <v>102.04</v>
      </c>
      <c r="F1411" s="1" t="str">
        <f aca="false">Transactions!H1411</f>
        <v>Online</v>
      </c>
      <c r="G1411" s="1" t="str">
        <f aca="false">Transactions!G1411</f>
        <v>Wire Transfer</v>
      </c>
      <c r="H1411" s="1" t="n">
        <f aca="false">IF(COUNTIFS($B$2:$B$1489,B1411,$C$2:$C$1489,C1411,$D$2:$D$1489,D1411)&gt;6,1,0)</f>
        <v>0</v>
      </c>
      <c r="I1411" s="1" t="n">
        <f aca="false">IF(AND(F1411="Wire",E1411&gt;=1000,MOD(E1411,1000)=0),1,0)</f>
        <v>0</v>
      </c>
      <c r="J1411" s="1" t="n">
        <f aca="false">IF(AND(F1411="ATM",E1411&gt;2000,D1411&lt;=4),1,0)</f>
        <v>0</v>
      </c>
      <c r="K1411" s="1" t="n">
        <f aca="false">IF(COUNTIF('SQL Findings'!$A$4:$A$18,B1411)&gt;0,1,0)</f>
        <v>0</v>
      </c>
      <c r="L1411" s="1" t="n">
        <f aca="false">SUM(H1411:K1411)</f>
        <v>0</v>
      </c>
      <c r="M1411" s="1" t="str">
        <f aca="false">IF(L1411&gt;=2,"High",IF(L1411=1,"Medium","Low"))</f>
        <v>Low</v>
      </c>
    </row>
    <row r="1412" customFormat="false" ht="15" hidden="false" customHeight="true" outlineLevel="0" collapsed="false">
      <c r="A1412" s="1" t="str">
        <f aca="false">Transactions!A1412</f>
        <v>TXN500367</v>
      </c>
      <c r="B1412" s="1" t="str">
        <f aca="false">Transactions!B1412</f>
        <v>ACC1016</v>
      </c>
      <c r="C1412" s="1" t="str">
        <f aca="false">Transactions!I1412</f>
        <v>2026-03-27</v>
      </c>
      <c r="D1412" s="1" t="n">
        <f aca="false">Transactions!J1412</f>
        <v>14</v>
      </c>
      <c r="E1412" s="1" t="n">
        <f aca="false">Transactions!D1412</f>
        <v>81.59</v>
      </c>
      <c r="F1412" s="1" t="str">
        <f aca="false">Transactions!H1412</f>
        <v>POS</v>
      </c>
      <c r="G1412" s="1" t="str">
        <f aca="false">Transactions!G1412</f>
        <v>Travel</v>
      </c>
      <c r="H1412" s="1" t="n">
        <f aca="false">IF(COUNTIFS($B$2:$B$1489,B1412,$C$2:$C$1489,C1412,$D$2:$D$1489,D1412)&gt;6,1,0)</f>
        <v>0</v>
      </c>
      <c r="I1412" s="1" t="n">
        <f aca="false">IF(AND(F1412="Wire",E1412&gt;=1000,MOD(E1412,1000)=0),1,0)</f>
        <v>0</v>
      </c>
      <c r="J1412" s="1" t="n">
        <f aca="false">IF(AND(F1412="ATM",E1412&gt;2000,D1412&lt;=4),1,0)</f>
        <v>0</v>
      </c>
      <c r="K1412" s="1" t="n">
        <f aca="false">IF(COUNTIF('SQL Findings'!$A$4:$A$18,B1412)&gt;0,1,0)</f>
        <v>0</v>
      </c>
      <c r="L1412" s="1" t="n">
        <f aca="false">SUM(H1412:K1412)</f>
        <v>0</v>
      </c>
      <c r="M1412" s="1" t="str">
        <f aca="false">IF(L1412&gt;=2,"High",IF(L1412=1,"Medium","Low"))</f>
        <v>Low</v>
      </c>
    </row>
    <row r="1413" customFormat="false" ht="15" hidden="false" customHeight="true" outlineLevel="0" collapsed="false">
      <c r="A1413" s="1" t="str">
        <f aca="false">Transactions!A1413</f>
        <v>TXN500051</v>
      </c>
      <c r="B1413" s="1" t="str">
        <f aca="false">Transactions!B1413</f>
        <v>ACC1001</v>
      </c>
      <c r="C1413" s="1" t="str">
        <f aca="false">Transactions!I1413</f>
        <v>2026-03-27</v>
      </c>
      <c r="D1413" s="1" t="n">
        <f aca="false">Transactions!J1413</f>
        <v>15</v>
      </c>
      <c r="E1413" s="1" t="n">
        <f aca="false">Transactions!D1413</f>
        <v>89.27</v>
      </c>
      <c r="F1413" s="1" t="str">
        <f aca="false">Transactions!H1413</f>
        <v>Online</v>
      </c>
      <c r="G1413" s="1" t="str">
        <f aca="false">Transactions!G1413</f>
        <v>Utilities</v>
      </c>
      <c r="H1413" s="1" t="n">
        <f aca="false">IF(COUNTIFS($B$2:$B$1489,B1413,$C$2:$C$1489,C1413,$D$2:$D$1489,D1413)&gt;6,1,0)</f>
        <v>0</v>
      </c>
      <c r="I1413" s="1" t="n">
        <f aca="false">IF(AND(F1413="Wire",E1413&gt;=1000,MOD(E1413,1000)=0),1,0)</f>
        <v>0</v>
      </c>
      <c r="J1413" s="1" t="n">
        <f aca="false">IF(AND(F1413="ATM",E1413&gt;2000,D1413&lt;=4),1,0)</f>
        <v>0</v>
      </c>
      <c r="K1413" s="1" t="n">
        <f aca="false">IF(COUNTIF('SQL Findings'!$A$4:$A$18,B1413)&gt;0,1,0)</f>
        <v>1</v>
      </c>
      <c r="L1413" s="1" t="n">
        <f aca="false">SUM(H1413:K1413)</f>
        <v>1</v>
      </c>
      <c r="M1413" s="1" t="str">
        <f aca="false">IF(L1413&gt;=2,"High",IF(L1413=1,"Medium","Low"))</f>
        <v>Medium</v>
      </c>
    </row>
    <row r="1414" customFormat="false" ht="15" hidden="false" customHeight="true" outlineLevel="0" collapsed="false">
      <c r="A1414" s="1" t="str">
        <f aca="false">Transactions!A1414</f>
        <v>TXN500318</v>
      </c>
      <c r="B1414" s="1" t="str">
        <f aca="false">Transactions!B1414</f>
        <v>ACC1014</v>
      </c>
      <c r="C1414" s="1" t="str">
        <f aca="false">Transactions!I1414</f>
        <v>2026-03-27</v>
      </c>
      <c r="D1414" s="1" t="n">
        <f aca="false">Transactions!J1414</f>
        <v>15</v>
      </c>
      <c r="E1414" s="1" t="n">
        <f aca="false">Transactions!D1414</f>
        <v>50.44</v>
      </c>
      <c r="F1414" s="1" t="str">
        <f aca="false">Transactions!H1414</f>
        <v>ATM</v>
      </c>
      <c r="G1414" s="1" t="str">
        <f aca="false">Transactions!G1414</f>
        <v>Electronics</v>
      </c>
      <c r="H1414" s="1" t="n">
        <f aca="false">IF(COUNTIFS($B$2:$B$1489,B1414,$C$2:$C$1489,C1414,$D$2:$D$1489,D1414)&gt;6,1,0)</f>
        <v>0</v>
      </c>
      <c r="I1414" s="1" t="n">
        <f aca="false">IF(AND(F1414="Wire",E1414&gt;=1000,MOD(E1414,1000)=0),1,0)</f>
        <v>0</v>
      </c>
      <c r="J1414" s="1" t="n">
        <f aca="false">IF(AND(F1414="ATM",E1414&gt;2000,D1414&lt;=4),1,0)</f>
        <v>0</v>
      </c>
      <c r="K1414" s="1" t="n">
        <f aca="false">IF(COUNTIF('SQL Findings'!$A$4:$A$18,B1414)&gt;0,1,0)</f>
        <v>1</v>
      </c>
      <c r="L1414" s="1" t="n">
        <f aca="false">SUM(H1414:K1414)</f>
        <v>1</v>
      </c>
      <c r="M1414" s="1" t="str">
        <f aca="false">IF(L1414&gt;=2,"High",IF(L1414=1,"Medium","Low"))</f>
        <v>Medium</v>
      </c>
    </row>
    <row r="1415" customFormat="false" ht="15" hidden="false" customHeight="true" outlineLevel="0" collapsed="false">
      <c r="A1415" s="1" t="str">
        <f aca="false">Transactions!A1415</f>
        <v>TXN501292</v>
      </c>
      <c r="B1415" s="1" t="str">
        <f aca="false">Transactions!B1415</f>
        <v>ACC1056</v>
      </c>
      <c r="C1415" s="1" t="str">
        <f aca="false">Transactions!I1415</f>
        <v>2026-03-27</v>
      </c>
      <c r="D1415" s="1" t="n">
        <f aca="false">Transactions!J1415</f>
        <v>16</v>
      </c>
      <c r="E1415" s="1" t="n">
        <f aca="false">Transactions!D1415</f>
        <v>628.73</v>
      </c>
      <c r="F1415" s="1" t="str">
        <f aca="false">Transactions!H1415</f>
        <v>ATM</v>
      </c>
      <c r="G1415" s="1" t="str">
        <f aca="false">Transactions!G1415</f>
        <v>Online Marketplace</v>
      </c>
      <c r="H1415" s="1" t="n">
        <f aca="false">IF(COUNTIFS($B$2:$B$1489,B1415,$C$2:$C$1489,C1415,$D$2:$D$1489,D1415)&gt;6,1,0)</f>
        <v>0</v>
      </c>
      <c r="I1415" s="1" t="n">
        <f aca="false">IF(AND(F1415="Wire",E1415&gt;=1000,MOD(E1415,1000)=0),1,0)</f>
        <v>0</v>
      </c>
      <c r="J1415" s="1" t="n">
        <f aca="false">IF(AND(F1415="ATM",E1415&gt;2000,D1415&lt;=4),1,0)</f>
        <v>0</v>
      </c>
      <c r="K1415" s="1" t="n">
        <f aca="false">IF(COUNTIF('SQL Findings'!$A$4:$A$18,B1415)&gt;0,1,0)</f>
        <v>0</v>
      </c>
      <c r="L1415" s="1" t="n">
        <f aca="false">SUM(H1415:K1415)</f>
        <v>0</v>
      </c>
      <c r="M1415" s="1" t="str">
        <f aca="false">IF(L1415&gt;=2,"High",IF(L1415=1,"Medium","Low"))</f>
        <v>Low</v>
      </c>
    </row>
    <row r="1416" customFormat="false" ht="15" hidden="false" customHeight="true" outlineLevel="0" collapsed="false">
      <c r="A1416" s="1" t="str">
        <f aca="false">Transactions!A1416</f>
        <v>TXN500634</v>
      </c>
      <c r="B1416" s="1" t="str">
        <f aca="false">Transactions!B1416</f>
        <v>ACC1027</v>
      </c>
      <c r="C1416" s="1" t="str">
        <f aca="false">Transactions!I1416</f>
        <v>2026-03-27</v>
      </c>
      <c r="D1416" s="1" t="n">
        <f aca="false">Transactions!J1416</f>
        <v>19</v>
      </c>
      <c r="E1416" s="1" t="n">
        <f aca="false">Transactions!D1416</f>
        <v>45.41</v>
      </c>
      <c r="F1416" s="1" t="str">
        <f aca="false">Transactions!H1416</f>
        <v>Online</v>
      </c>
      <c r="G1416" s="1" t="str">
        <f aca="false">Transactions!G1416</f>
        <v>Retail</v>
      </c>
      <c r="H1416" s="1" t="n">
        <f aca="false">IF(COUNTIFS($B$2:$B$1489,B1416,$C$2:$C$1489,C1416,$D$2:$D$1489,D1416)&gt;6,1,0)</f>
        <v>0</v>
      </c>
      <c r="I1416" s="1" t="n">
        <f aca="false">IF(AND(F1416="Wire",E1416&gt;=1000,MOD(E1416,1000)=0),1,0)</f>
        <v>0</v>
      </c>
      <c r="J1416" s="1" t="n">
        <f aca="false">IF(AND(F1416="ATM",E1416&gt;2000,D1416&lt;=4),1,0)</f>
        <v>0</v>
      </c>
      <c r="K1416" s="1" t="n">
        <f aca="false">IF(COUNTIF('SQL Findings'!$A$4:$A$18,B1416)&gt;0,1,0)</f>
        <v>0</v>
      </c>
      <c r="L1416" s="1" t="n">
        <f aca="false">SUM(H1416:K1416)</f>
        <v>0</v>
      </c>
      <c r="M1416" s="1" t="str">
        <f aca="false">IF(L1416&gt;=2,"High",IF(L1416=1,"Medium","Low"))</f>
        <v>Low</v>
      </c>
    </row>
    <row r="1417" customFormat="false" ht="15" hidden="false" customHeight="true" outlineLevel="0" collapsed="false">
      <c r="A1417" s="1" t="str">
        <f aca="false">Transactions!A1417</f>
        <v>TXN501245</v>
      </c>
      <c r="B1417" s="1" t="str">
        <f aca="false">Transactions!B1417</f>
        <v>ACC1054</v>
      </c>
      <c r="C1417" s="1" t="str">
        <f aca="false">Transactions!I1417</f>
        <v>2026-03-28</v>
      </c>
      <c r="D1417" s="1" t="n">
        <f aca="false">Transactions!J1417</f>
        <v>8</v>
      </c>
      <c r="E1417" s="1" t="n">
        <f aca="false">Transactions!D1417</f>
        <v>37.18</v>
      </c>
      <c r="F1417" s="1" t="str">
        <f aca="false">Transactions!H1417</f>
        <v>Online</v>
      </c>
      <c r="G1417" s="1" t="str">
        <f aca="false">Transactions!G1417</f>
        <v>Travel</v>
      </c>
      <c r="H1417" s="1" t="n">
        <f aca="false">IF(COUNTIFS($B$2:$B$1489,B1417,$C$2:$C$1489,C1417,$D$2:$D$1489,D1417)&gt;6,1,0)</f>
        <v>0</v>
      </c>
      <c r="I1417" s="1" t="n">
        <f aca="false">IF(AND(F1417="Wire",E1417&gt;=1000,MOD(E1417,1000)=0),1,0)</f>
        <v>0</v>
      </c>
      <c r="J1417" s="1" t="n">
        <f aca="false">IF(AND(F1417="ATM",E1417&gt;2000,D1417&lt;=4),1,0)</f>
        <v>0</v>
      </c>
      <c r="K1417" s="1" t="n">
        <f aca="false">IF(COUNTIF('SQL Findings'!$A$4:$A$18,B1417)&gt;0,1,0)</f>
        <v>0</v>
      </c>
      <c r="L1417" s="1" t="n">
        <f aca="false">SUM(H1417:K1417)</f>
        <v>0</v>
      </c>
      <c r="M1417" s="1" t="str">
        <f aca="false">IF(L1417&gt;=2,"High",IF(L1417=1,"Medium","Low"))</f>
        <v>Low</v>
      </c>
    </row>
    <row r="1418" customFormat="false" ht="15" hidden="false" customHeight="true" outlineLevel="0" collapsed="false">
      <c r="A1418" s="1" t="str">
        <f aca="false">Transactions!A1418</f>
        <v>TXN501266</v>
      </c>
      <c r="B1418" s="1" t="str">
        <f aca="false">Transactions!B1418</f>
        <v>ACC1055</v>
      </c>
      <c r="C1418" s="1" t="str">
        <f aca="false">Transactions!I1418</f>
        <v>2026-03-28</v>
      </c>
      <c r="D1418" s="1" t="n">
        <f aca="false">Transactions!J1418</f>
        <v>9</v>
      </c>
      <c r="E1418" s="1" t="n">
        <f aca="false">Transactions!D1418</f>
        <v>18.68</v>
      </c>
      <c r="F1418" s="1" t="str">
        <f aca="false">Transactions!H1418</f>
        <v>POS</v>
      </c>
      <c r="G1418" s="1" t="str">
        <f aca="false">Transactions!G1418</f>
        <v>Retail</v>
      </c>
      <c r="H1418" s="1" t="n">
        <f aca="false">IF(COUNTIFS($B$2:$B$1489,B1418,$C$2:$C$1489,C1418,$D$2:$D$1489,D1418)&gt;6,1,0)</f>
        <v>0</v>
      </c>
      <c r="I1418" s="1" t="n">
        <f aca="false">IF(AND(F1418="Wire",E1418&gt;=1000,MOD(E1418,1000)=0),1,0)</f>
        <v>0</v>
      </c>
      <c r="J1418" s="1" t="n">
        <f aca="false">IF(AND(F1418="ATM",E1418&gt;2000,D1418&lt;=4),1,0)</f>
        <v>0</v>
      </c>
      <c r="K1418" s="1" t="n">
        <f aca="false">IF(COUNTIF('SQL Findings'!$A$4:$A$18,B1418)&gt;0,1,0)</f>
        <v>1</v>
      </c>
      <c r="L1418" s="1" t="n">
        <f aca="false">SUM(H1418:K1418)</f>
        <v>1</v>
      </c>
      <c r="M1418" s="1" t="str">
        <f aca="false">IF(L1418&gt;=2,"High",IF(L1418=1,"Medium","Low"))</f>
        <v>Medium</v>
      </c>
    </row>
    <row r="1419" customFormat="false" ht="15" hidden="false" customHeight="true" outlineLevel="0" collapsed="false">
      <c r="A1419" s="1" t="str">
        <f aca="false">Transactions!A1419</f>
        <v>TXN500621</v>
      </c>
      <c r="B1419" s="1" t="str">
        <f aca="false">Transactions!B1419</f>
        <v>ACC1027</v>
      </c>
      <c r="C1419" s="1" t="str">
        <f aca="false">Transactions!I1419</f>
        <v>2026-03-28</v>
      </c>
      <c r="D1419" s="1" t="n">
        <f aca="false">Transactions!J1419</f>
        <v>10</v>
      </c>
      <c r="E1419" s="1" t="n">
        <f aca="false">Transactions!D1419</f>
        <v>32.74</v>
      </c>
      <c r="F1419" s="1" t="str">
        <f aca="false">Transactions!H1419</f>
        <v>ATM</v>
      </c>
      <c r="G1419" s="1" t="str">
        <f aca="false">Transactions!G1419</f>
        <v>Utilities</v>
      </c>
      <c r="H1419" s="1" t="n">
        <f aca="false">IF(COUNTIFS($B$2:$B$1489,B1419,$C$2:$C$1489,C1419,$D$2:$D$1489,D1419)&gt;6,1,0)</f>
        <v>0</v>
      </c>
      <c r="I1419" s="1" t="n">
        <f aca="false">IF(AND(F1419="Wire",E1419&gt;=1000,MOD(E1419,1000)=0),1,0)</f>
        <v>0</v>
      </c>
      <c r="J1419" s="1" t="n">
        <f aca="false">IF(AND(F1419="ATM",E1419&gt;2000,D1419&lt;=4),1,0)</f>
        <v>0</v>
      </c>
      <c r="K1419" s="1" t="n">
        <f aca="false">IF(COUNTIF('SQL Findings'!$A$4:$A$18,B1419)&gt;0,1,0)</f>
        <v>0</v>
      </c>
      <c r="L1419" s="1" t="n">
        <f aca="false">SUM(H1419:K1419)</f>
        <v>0</v>
      </c>
      <c r="M1419" s="1" t="str">
        <f aca="false">IF(L1419&gt;=2,"High",IF(L1419=1,"Medium","Low"))</f>
        <v>Low</v>
      </c>
    </row>
    <row r="1420" customFormat="false" ht="15" hidden="false" customHeight="true" outlineLevel="0" collapsed="false">
      <c r="A1420" s="1" t="str">
        <f aca="false">Transactions!A1420</f>
        <v>TXN500497</v>
      </c>
      <c r="B1420" s="1" t="str">
        <f aca="false">Transactions!B1420</f>
        <v>ACC1022</v>
      </c>
      <c r="C1420" s="1" t="str">
        <f aca="false">Transactions!I1420</f>
        <v>2026-03-28</v>
      </c>
      <c r="D1420" s="1" t="n">
        <f aca="false">Transactions!J1420</f>
        <v>10</v>
      </c>
      <c r="E1420" s="1" t="n">
        <f aca="false">Transactions!D1420</f>
        <v>26.22</v>
      </c>
      <c r="F1420" s="1" t="str">
        <f aca="false">Transactions!H1420</f>
        <v>Online</v>
      </c>
      <c r="G1420" s="1" t="str">
        <f aca="false">Transactions!G1420</f>
        <v>Retail</v>
      </c>
      <c r="H1420" s="1" t="n">
        <f aca="false">IF(COUNTIFS($B$2:$B$1489,B1420,$C$2:$C$1489,C1420,$D$2:$D$1489,D1420)&gt;6,1,0)</f>
        <v>0</v>
      </c>
      <c r="I1420" s="1" t="n">
        <f aca="false">IF(AND(F1420="Wire",E1420&gt;=1000,MOD(E1420,1000)=0),1,0)</f>
        <v>0</v>
      </c>
      <c r="J1420" s="1" t="n">
        <f aca="false">IF(AND(F1420="ATM",E1420&gt;2000,D1420&lt;=4),1,0)</f>
        <v>0</v>
      </c>
      <c r="K1420" s="1" t="n">
        <f aca="false">IF(COUNTIF('SQL Findings'!$A$4:$A$18,B1420)&gt;0,1,0)</f>
        <v>0</v>
      </c>
      <c r="L1420" s="1" t="n">
        <f aca="false">SUM(H1420:K1420)</f>
        <v>0</v>
      </c>
      <c r="M1420" s="1" t="str">
        <f aca="false">IF(L1420&gt;=2,"High",IF(L1420=1,"Medium","Low"))</f>
        <v>Low</v>
      </c>
    </row>
    <row r="1421" customFormat="false" ht="15" hidden="false" customHeight="true" outlineLevel="0" collapsed="false">
      <c r="A1421" s="1" t="str">
        <f aca="false">Transactions!A1421</f>
        <v>TXN500987</v>
      </c>
      <c r="B1421" s="1" t="str">
        <f aca="false">Transactions!B1421</f>
        <v>ACC1043</v>
      </c>
      <c r="C1421" s="1" t="str">
        <f aca="false">Transactions!I1421</f>
        <v>2026-03-28</v>
      </c>
      <c r="D1421" s="1" t="n">
        <f aca="false">Transactions!J1421</f>
        <v>11</v>
      </c>
      <c r="E1421" s="1" t="n">
        <f aca="false">Transactions!D1421</f>
        <v>258.03</v>
      </c>
      <c r="F1421" s="1" t="str">
        <f aca="false">Transactions!H1421</f>
        <v>ATM</v>
      </c>
      <c r="G1421" s="1" t="str">
        <f aca="false">Transactions!G1421</f>
        <v>Travel</v>
      </c>
      <c r="H1421" s="1" t="n">
        <f aca="false">IF(COUNTIFS($B$2:$B$1489,B1421,$C$2:$C$1489,C1421,$D$2:$D$1489,D1421)&gt;6,1,0)</f>
        <v>0</v>
      </c>
      <c r="I1421" s="1" t="n">
        <f aca="false">IF(AND(F1421="Wire",E1421&gt;=1000,MOD(E1421,1000)=0),1,0)</f>
        <v>0</v>
      </c>
      <c r="J1421" s="1" t="n">
        <f aca="false">IF(AND(F1421="ATM",E1421&gt;2000,D1421&lt;=4),1,0)</f>
        <v>0</v>
      </c>
      <c r="K1421" s="1" t="n">
        <f aca="false">IF(COUNTIF('SQL Findings'!$A$4:$A$18,B1421)&gt;0,1,0)</f>
        <v>0</v>
      </c>
      <c r="L1421" s="1" t="n">
        <f aca="false">SUM(H1421:K1421)</f>
        <v>0</v>
      </c>
      <c r="M1421" s="1" t="str">
        <f aca="false">IF(L1421&gt;=2,"High",IF(L1421=1,"Medium","Low"))</f>
        <v>Low</v>
      </c>
    </row>
    <row r="1422" customFormat="false" ht="15" hidden="false" customHeight="true" outlineLevel="0" collapsed="false">
      <c r="A1422" s="1" t="str">
        <f aca="false">Transactions!A1422</f>
        <v>TXN500571</v>
      </c>
      <c r="B1422" s="1" t="str">
        <f aca="false">Transactions!B1422</f>
        <v>ACC1025</v>
      </c>
      <c r="C1422" s="1" t="str">
        <f aca="false">Transactions!I1422</f>
        <v>2026-03-28</v>
      </c>
      <c r="D1422" s="1" t="n">
        <f aca="false">Transactions!J1422</f>
        <v>11</v>
      </c>
      <c r="E1422" s="1" t="n">
        <f aca="false">Transactions!D1422</f>
        <v>67.8</v>
      </c>
      <c r="F1422" s="1" t="str">
        <f aca="false">Transactions!H1422</f>
        <v>POS</v>
      </c>
      <c r="G1422" s="1" t="str">
        <f aca="false">Transactions!G1422</f>
        <v>Utilities</v>
      </c>
      <c r="H1422" s="1" t="n">
        <f aca="false">IF(COUNTIFS($B$2:$B$1489,B1422,$C$2:$C$1489,C1422,$D$2:$D$1489,D1422)&gt;6,1,0)</f>
        <v>0</v>
      </c>
      <c r="I1422" s="1" t="n">
        <f aca="false">IF(AND(F1422="Wire",E1422&gt;=1000,MOD(E1422,1000)=0),1,0)</f>
        <v>0</v>
      </c>
      <c r="J1422" s="1" t="n">
        <f aca="false">IF(AND(F1422="ATM",E1422&gt;2000,D1422&lt;=4),1,0)</f>
        <v>0</v>
      </c>
      <c r="K1422" s="1" t="n">
        <f aca="false">IF(COUNTIF('SQL Findings'!$A$4:$A$18,B1422)&gt;0,1,0)</f>
        <v>0</v>
      </c>
      <c r="L1422" s="1" t="n">
        <f aca="false">SUM(H1422:K1422)</f>
        <v>0</v>
      </c>
      <c r="M1422" s="1" t="str">
        <f aca="false">IF(L1422&gt;=2,"High",IF(L1422=1,"Medium","Low"))</f>
        <v>Low</v>
      </c>
    </row>
    <row r="1423" customFormat="false" ht="15" hidden="false" customHeight="true" outlineLevel="0" collapsed="false">
      <c r="A1423" s="1" t="str">
        <f aca="false">Transactions!A1423</f>
        <v>TXN500212</v>
      </c>
      <c r="B1423" s="1" t="str">
        <f aca="false">Transactions!B1423</f>
        <v>ACC1009</v>
      </c>
      <c r="C1423" s="1" t="str">
        <f aca="false">Transactions!I1423</f>
        <v>2026-03-28</v>
      </c>
      <c r="D1423" s="1" t="n">
        <f aca="false">Transactions!J1423</f>
        <v>12</v>
      </c>
      <c r="E1423" s="1" t="n">
        <f aca="false">Transactions!D1423</f>
        <v>185.31</v>
      </c>
      <c r="F1423" s="1" t="str">
        <f aca="false">Transactions!H1423</f>
        <v>Online</v>
      </c>
      <c r="G1423" s="1" t="str">
        <f aca="false">Transactions!G1423</f>
        <v>Online Marketplace</v>
      </c>
      <c r="H1423" s="1" t="n">
        <f aca="false">IF(COUNTIFS($B$2:$B$1489,B1423,$C$2:$C$1489,C1423,$D$2:$D$1489,D1423)&gt;6,1,0)</f>
        <v>0</v>
      </c>
      <c r="I1423" s="1" t="n">
        <f aca="false">IF(AND(F1423="Wire",E1423&gt;=1000,MOD(E1423,1000)=0),1,0)</f>
        <v>0</v>
      </c>
      <c r="J1423" s="1" t="n">
        <f aca="false">IF(AND(F1423="ATM",E1423&gt;2000,D1423&lt;=4),1,0)</f>
        <v>0</v>
      </c>
      <c r="K1423" s="1" t="n">
        <f aca="false">IF(COUNTIF('SQL Findings'!$A$4:$A$18,B1423)&gt;0,1,0)</f>
        <v>1</v>
      </c>
      <c r="L1423" s="1" t="n">
        <f aca="false">SUM(H1423:K1423)</f>
        <v>1</v>
      </c>
      <c r="M1423" s="1" t="str">
        <f aca="false">IF(L1423&gt;=2,"High",IF(L1423=1,"Medium","Low"))</f>
        <v>Medium</v>
      </c>
    </row>
    <row r="1424" customFormat="false" ht="15" hidden="false" customHeight="true" outlineLevel="0" collapsed="false">
      <c r="A1424" s="1" t="str">
        <f aca="false">Transactions!A1424</f>
        <v>TXN500868</v>
      </c>
      <c r="B1424" s="1" t="str">
        <f aca="false">Transactions!B1424</f>
        <v>ACC1037</v>
      </c>
      <c r="C1424" s="1" t="str">
        <f aca="false">Transactions!I1424</f>
        <v>2026-03-28</v>
      </c>
      <c r="D1424" s="1" t="n">
        <f aca="false">Transactions!J1424</f>
        <v>12</v>
      </c>
      <c r="E1424" s="1" t="n">
        <f aca="false">Transactions!D1424</f>
        <v>90.11</v>
      </c>
      <c r="F1424" s="1" t="str">
        <f aca="false">Transactions!H1424</f>
        <v>ATM</v>
      </c>
      <c r="G1424" s="1" t="str">
        <f aca="false">Transactions!G1424</f>
        <v>Dining</v>
      </c>
      <c r="H1424" s="1" t="n">
        <f aca="false">IF(COUNTIFS($B$2:$B$1489,B1424,$C$2:$C$1489,C1424,$D$2:$D$1489,D1424)&gt;6,1,0)</f>
        <v>0</v>
      </c>
      <c r="I1424" s="1" t="n">
        <f aca="false">IF(AND(F1424="Wire",E1424&gt;=1000,MOD(E1424,1000)=0),1,0)</f>
        <v>0</v>
      </c>
      <c r="J1424" s="1" t="n">
        <f aca="false">IF(AND(F1424="ATM",E1424&gt;2000,D1424&lt;=4),1,0)</f>
        <v>0</v>
      </c>
      <c r="K1424" s="1" t="n">
        <f aca="false">IF(COUNTIF('SQL Findings'!$A$4:$A$18,B1424)&gt;0,1,0)</f>
        <v>1</v>
      </c>
      <c r="L1424" s="1" t="n">
        <f aca="false">SUM(H1424:K1424)</f>
        <v>1</v>
      </c>
      <c r="M1424" s="1" t="str">
        <f aca="false">IF(L1424&gt;=2,"High",IF(L1424=1,"Medium","Low"))</f>
        <v>Medium</v>
      </c>
    </row>
    <row r="1425" customFormat="false" ht="15" hidden="false" customHeight="true" outlineLevel="0" collapsed="false">
      <c r="A1425" s="1" t="str">
        <f aca="false">Transactions!A1425</f>
        <v>TXN500890</v>
      </c>
      <c r="B1425" s="1" t="str">
        <f aca="false">Transactions!B1425</f>
        <v>ACC1038</v>
      </c>
      <c r="C1425" s="1" t="str">
        <f aca="false">Transactions!I1425</f>
        <v>2026-03-28</v>
      </c>
      <c r="D1425" s="1" t="n">
        <f aca="false">Transactions!J1425</f>
        <v>13</v>
      </c>
      <c r="E1425" s="1" t="n">
        <f aca="false">Transactions!D1425</f>
        <v>180.88</v>
      </c>
      <c r="F1425" s="1" t="str">
        <f aca="false">Transactions!H1425</f>
        <v>Online</v>
      </c>
      <c r="G1425" s="1" t="str">
        <f aca="false">Transactions!G1425</f>
        <v>Online Marketplace</v>
      </c>
      <c r="H1425" s="1" t="n">
        <f aca="false">IF(COUNTIFS($B$2:$B$1489,B1425,$C$2:$C$1489,C1425,$D$2:$D$1489,D1425)&gt;6,1,0)</f>
        <v>0</v>
      </c>
      <c r="I1425" s="1" t="n">
        <f aca="false">IF(AND(F1425="Wire",E1425&gt;=1000,MOD(E1425,1000)=0),1,0)</f>
        <v>0</v>
      </c>
      <c r="J1425" s="1" t="n">
        <f aca="false">IF(AND(F1425="ATM",E1425&gt;2000,D1425&lt;=4),1,0)</f>
        <v>0</v>
      </c>
      <c r="K1425" s="1" t="n">
        <f aca="false">IF(COUNTIF('SQL Findings'!$A$4:$A$18,B1425)&gt;0,1,0)</f>
        <v>0</v>
      </c>
      <c r="L1425" s="1" t="n">
        <f aca="false">SUM(H1425:K1425)</f>
        <v>0</v>
      </c>
      <c r="M1425" s="1" t="str">
        <f aca="false">IF(L1425&gt;=2,"High",IF(L1425=1,"Medium","Low"))</f>
        <v>Low</v>
      </c>
    </row>
    <row r="1426" customFormat="false" ht="15" hidden="false" customHeight="true" outlineLevel="0" collapsed="false">
      <c r="A1426" s="1" t="str">
        <f aca="false">Transactions!A1426</f>
        <v>TXN500312</v>
      </c>
      <c r="B1426" s="1" t="str">
        <f aca="false">Transactions!B1426</f>
        <v>ACC1013</v>
      </c>
      <c r="C1426" s="1" t="str">
        <f aca="false">Transactions!I1426</f>
        <v>2026-03-28</v>
      </c>
      <c r="D1426" s="1" t="n">
        <f aca="false">Transactions!J1426</f>
        <v>13</v>
      </c>
      <c r="E1426" s="1" t="n">
        <f aca="false">Transactions!D1426</f>
        <v>179.27</v>
      </c>
      <c r="F1426" s="1" t="str">
        <f aca="false">Transactions!H1426</f>
        <v>POS</v>
      </c>
      <c r="G1426" s="1" t="str">
        <f aca="false">Transactions!G1426</f>
        <v>Cash Withdrawal</v>
      </c>
      <c r="H1426" s="1" t="n">
        <f aca="false">IF(COUNTIFS($B$2:$B$1489,B1426,$C$2:$C$1489,C1426,$D$2:$D$1489,D1426)&gt;6,1,0)</f>
        <v>0</v>
      </c>
      <c r="I1426" s="1" t="n">
        <f aca="false">IF(AND(F1426="Wire",E1426&gt;=1000,MOD(E1426,1000)=0),1,0)</f>
        <v>0</v>
      </c>
      <c r="J1426" s="1" t="n">
        <f aca="false">IF(AND(F1426="ATM",E1426&gt;2000,D1426&lt;=4),1,0)</f>
        <v>0</v>
      </c>
      <c r="K1426" s="1" t="n">
        <f aca="false">IF(COUNTIF('SQL Findings'!$A$4:$A$18,B1426)&gt;0,1,0)</f>
        <v>0</v>
      </c>
      <c r="L1426" s="1" t="n">
        <f aca="false">SUM(H1426:K1426)</f>
        <v>0</v>
      </c>
      <c r="M1426" s="1" t="str">
        <f aca="false">IF(L1426&gt;=2,"High",IF(L1426=1,"Medium","Low"))</f>
        <v>Low</v>
      </c>
    </row>
    <row r="1427" customFormat="false" ht="15" hidden="false" customHeight="true" outlineLevel="0" collapsed="false">
      <c r="A1427" s="1" t="str">
        <f aca="false">Transactions!A1427</f>
        <v>TXN501471</v>
      </c>
      <c r="B1427" s="1" t="str">
        <f aca="false">Transactions!B1427</f>
        <v>ACC1048</v>
      </c>
      <c r="C1427" s="1" t="str">
        <f aca="false">Transactions!I1427</f>
        <v>2026-03-28</v>
      </c>
      <c r="D1427" s="1" t="n">
        <f aca="false">Transactions!J1427</f>
        <v>14</v>
      </c>
      <c r="E1427" s="1" t="n">
        <f aca="false">Transactions!D1427</f>
        <v>2000</v>
      </c>
      <c r="F1427" s="1" t="str">
        <f aca="false">Transactions!H1427</f>
        <v>Wire</v>
      </c>
      <c r="G1427" s="1" t="str">
        <f aca="false">Transactions!G1427</f>
        <v>Wire Transfer</v>
      </c>
      <c r="H1427" s="1" t="n">
        <f aca="false">IF(COUNTIFS($B$2:$B$1489,B1427,$C$2:$C$1489,C1427,$D$2:$D$1489,D1427)&gt;6,1,0)</f>
        <v>0</v>
      </c>
      <c r="I1427" s="1" t="n">
        <f aca="false">IF(AND(F1427="Wire",E1427&gt;=1000,MOD(E1427,1000)=0),1,0)</f>
        <v>1</v>
      </c>
      <c r="J1427" s="1" t="n">
        <f aca="false">IF(AND(F1427="ATM",E1427&gt;2000,D1427&lt;=4),1,0)</f>
        <v>0</v>
      </c>
      <c r="K1427" s="1" t="n">
        <f aca="false">IF(COUNTIF('SQL Findings'!$A$4:$A$18,B1427)&gt;0,1,0)</f>
        <v>0</v>
      </c>
      <c r="L1427" s="1" t="n">
        <f aca="false">SUM(H1427:K1427)</f>
        <v>1</v>
      </c>
      <c r="M1427" s="1" t="str">
        <f aca="false">IF(L1427&gt;=2,"High",IF(L1427=1,"Medium","Low"))</f>
        <v>Medium</v>
      </c>
    </row>
    <row r="1428" customFormat="false" ht="15" hidden="false" customHeight="true" outlineLevel="0" collapsed="false">
      <c r="A1428" s="1" t="str">
        <f aca="false">Transactions!A1428</f>
        <v>TXN500871</v>
      </c>
      <c r="B1428" s="1" t="str">
        <f aca="false">Transactions!B1428</f>
        <v>ACC1037</v>
      </c>
      <c r="C1428" s="1" t="str">
        <f aca="false">Transactions!I1428</f>
        <v>2026-03-28</v>
      </c>
      <c r="D1428" s="1" t="n">
        <f aca="false">Transactions!J1428</f>
        <v>14</v>
      </c>
      <c r="E1428" s="1" t="n">
        <f aca="false">Transactions!D1428</f>
        <v>56.87</v>
      </c>
      <c r="F1428" s="1" t="str">
        <f aca="false">Transactions!H1428</f>
        <v>POS</v>
      </c>
      <c r="G1428" s="1" t="str">
        <f aca="false">Transactions!G1428</f>
        <v>Retail</v>
      </c>
      <c r="H1428" s="1" t="n">
        <f aca="false">IF(COUNTIFS($B$2:$B$1489,B1428,$C$2:$C$1489,C1428,$D$2:$D$1489,D1428)&gt;6,1,0)</f>
        <v>0</v>
      </c>
      <c r="I1428" s="1" t="n">
        <f aca="false">IF(AND(F1428="Wire",E1428&gt;=1000,MOD(E1428,1000)=0),1,0)</f>
        <v>0</v>
      </c>
      <c r="J1428" s="1" t="n">
        <f aca="false">IF(AND(F1428="ATM",E1428&gt;2000,D1428&lt;=4),1,0)</f>
        <v>0</v>
      </c>
      <c r="K1428" s="1" t="n">
        <f aca="false">IF(COUNTIF('SQL Findings'!$A$4:$A$18,B1428)&gt;0,1,0)</f>
        <v>1</v>
      </c>
      <c r="L1428" s="1" t="n">
        <f aca="false">SUM(H1428:K1428)</f>
        <v>1</v>
      </c>
      <c r="M1428" s="1" t="str">
        <f aca="false">IF(L1428&gt;=2,"High",IF(L1428=1,"Medium","Low"))</f>
        <v>Medium</v>
      </c>
    </row>
    <row r="1429" customFormat="false" ht="15" hidden="false" customHeight="true" outlineLevel="0" collapsed="false">
      <c r="A1429" s="1" t="str">
        <f aca="false">Transactions!A1429</f>
        <v>TXN500491</v>
      </c>
      <c r="B1429" s="1" t="str">
        <f aca="false">Transactions!B1429</f>
        <v>ACC1022</v>
      </c>
      <c r="C1429" s="1" t="str">
        <f aca="false">Transactions!I1429</f>
        <v>2026-03-28</v>
      </c>
      <c r="D1429" s="1" t="n">
        <f aca="false">Transactions!J1429</f>
        <v>15</v>
      </c>
      <c r="E1429" s="1" t="n">
        <f aca="false">Transactions!D1429</f>
        <v>66.21</v>
      </c>
      <c r="F1429" s="1" t="str">
        <f aca="false">Transactions!H1429</f>
        <v>ATM</v>
      </c>
      <c r="G1429" s="1" t="str">
        <f aca="false">Transactions!G1429</f>
        <v>Dining</v>
      </c>
      <c r="H1429" s="1" t="n">
        <f aca="false">IF(COUNTIFS($B$2:$B$1489,B1429,$C$2:$C$1489,C1429,$D$2:$D$1489,D1429)&gt;6,1,0)</f>
        <v>0</v>
      </c>
      <c r="I1429" s="1" t="n">
        <f aca="false">IF(AND(F1429="Wire",E1429&gt;=1000,MOD(E1429,1000)=0),1,0)</f>
        <v>0</v>
      </c>
      <c r="J1429" s="1" t="n">
        <f aca="false">IF(AND(F1429="ATM",E1429&gt;2000,D1429&lt;=4),1,0)</f>
        <v>0</v>
      </c>
      <c r="K1429" s="1" t="n">
        <f aca="false">IF(COUNTIF('SQL Findings'!$A$4:$A$18,B1429)&gt;0,1,0)</f>
        <v>0</v>
      </c>
      <c r="L1429" s="1" t="n">
        <f aca="false">SUM(H1429:K1429)</f>
        <v>0</v>
      </c>
      <c r="M1429" s="1" t="str">
        <f aca="false">IF(L1429&gt;=2,"High",IF(L1429=1,"Medium","Low"))</f>
        <v>Low</v>
      </c>
    </row>
    <row r="1430" customFormat="false" ht="15" hidden="false" customHeight="true" outlineLevel="0" collapsed="false">
      <c r="A1430" s="1" t="str">
        <f aca="false">Transactions!A1430</f>
        <v>TXN500672</v>
      </c>
      <c r="B1430" s="1" t="str">
        <f aca="false">Transactions!B1430</f>
        <v>ACC1029</v>
      </c>
      <c r="C1430" s="1" t="str">
        <f aca="false">Transactions!I1430</f>
        <v>2026-03-28</v>
      </c>
      <c r="D1430" s="1" t="n">
        <f aca="false">Transactions!J1430</f>
        <v>15</v>
      </c>
      <c r="E1430" s="1" t="n">
        <f aca="false">Transactions!D1430</f>
        <v>10.32</v>
      </c>
      <c r="F1430" s="1" t="str">
        <f aca="false">Transactions!H1430</f>
        <v>POS</v>
      </c>
      <c r="G1430" s="1" t="str">
        <f aca="false">Transactions!G1430</f>
        <v>Retail</v>
      </c>
      <c r="H1430" s="1" t="n">
        <f aca="false">IF(COUNTIFS($B$2:$B$1489,B1430,$C$2:$C$1489,C1430,$D$2:$D$1489,D1430)&gt;6,1,0)</f>
        <v>0</v>
      </c>
      <c r="I1430" s="1" t="n">
        <f aca="false">IF(AND(F1430="Wire",E1430&gt;=1000,MOD(E1430,1000)=0),1,0)</f>
        <v>0</v>
      </c>
      <c r="J1430" s="1" t="n">
        <f aca="false">IF(AND(F1430="ATM",E1430&gt;2000,D1430&lt;=4),1,0)</f>
        <v>0</v>
      </c>
      <c r="K1430" s="1" t="n">
        <f aca="false">IF(COUNTIF('SQL Findings'!$A$4:$A$18,B1430)&gt;0,1,0)</f>
        <v>0</v>
      </c>
      <c r="L1430" s="1" t="n">
        <f aca="false">SUM(H1430:K1430)</f>
        <v>0</v>
      </c>
      <c r="M1430" s="1" t="str">
        <f aca="false">IF(L1430&gt;=2,"High",IF(L1430=1,"Medium","Low"))</f>
        <v>Low</v>
      </c>
    </row>
    <row r="1431" customFormat="false" ht="15" hidden="false" customHeight="true" outlineLevel="0" collapsed="false">
      <c r="A1431" s="1" t="str">
        <f aca="false">Transactions!A1431</f>
        <v>TXN500230</v>
      </c>
      <c r="B1431" s="1" t="str">
        <f aca="false">Transactions!B1431</f>
        <v>ACC1010</v>
      </c>
      <c r="C1431" s="1" t="str">
        <f aca="false">Transactions!I1431</f>
        <v>2026-03-28</v>
      </c>
      <c r="D1431" s="1" t="n">
        <f aca="false">Transactions!J1431</f>
        <v>15</v>
      </c>
      <c r="E1431" s="1" t="n">
        <f aca="false">Transactions!D1431</f>
        <v>122.93</v>
      </c>
      <c r="F1431" s="1" t="str">
        <f aca="false">Transactions!H1431</f>
        <v>ATM</v>
      </c>
      <c r="G1431" s="1" t="str">
        <f aca="false">Transactions!G1431</f>
        <v>Wire Transfer</v>
      </c>
      <c r="H1431" s="1" t="n">
        <f aca="false">IF(COUNTIFS($B$2:$B$1489,B1431,$C$2:$C$1489,C1431,$D$2:$D$1489,D1431)&gt;6,1,0)</f>
        <v>0</v>
      </c>
      <c r="I1431" s="1" t="n">
        <f aca="false">IF(AND(F1431="Wire",E1431&gt;=1000,MOD(E1431,1000)=0),1,0)</f>
        <v>0</v>
      </c>
      <c r="J1431" s="1" t="n">
        <f aca="false">IF(AND(F1431="ATM",E1431&gt;2000,D1431&lt;=4),1,0)</f>
        <v>0</v>
      </c>
      <c r="K1431" s="1" t="n">
        <f aca="false">IF(COUNTIF('SQL Findings'!$A$4:$A$18,B1431)&gt;0,1,0)</f>
        <v>0</v>
      </c>
      <c r="L1431" s="1" t="n">
        <f aca="false">SUM(H1431:K1431)</f>
        <v>0</v>
      </c>
      <c r="M1431" s="1" t="str">
        <f aca="false">IF(L1431&gt;=2,"High",IF(L1431=1,"Medium","Low"))</f>
        <v>Low</v>
      </c>
    </row>
    <row r="1432" customFormat="false" ht="15" hidden="false" customHeight="true" outlineLevel="0" collapsed="false">
      <c r="A1432" s="1" t="str">
        <f aca="false">Transactions!A1432</f>
        <v>TXN501359</v>
      </c>
      <c r="B1432" s="1" t="str">
        <f aca="false">Transactions!B1432</f>
        <v>ACC1059</v>
      </c>
      <c r="C1432" s="1" t="str">
        <f aca="false">Transactions!I1432</f>
        <v>2026-03-28</v>
      </c>
      <c r="D1432" s="1" t="n">
        <f aca="false">Transactions!J1432</f>
        <v>15</v>
      </c>
      <c r="E1432" s="1" t="n">
        <f aca="false">Transactions!D1432</f>
        <v>17.62</v>
      </c>
      <c r="F1432" s="1" t="str">
        <f aca="false">Transactions!H1432</f>
        <v>ATM</v>
      </c>
      <c r="G1432" s="1" t="str">
        <f aca="false">Transactions!G1432</f>
        <v>Dining</v>
      </c>
      <c r="H1432" s="1" t="n">
        <f aca="false">IF(COUNTIFS($B$2:$B$1489,B1432,$C$2:$C$1489,C1432,$D$2:$D$1489,D1432)&gt;6,1,0)</f>
        <v>0</v>
      </c>
      <c r="I1432" s="1" t="n">
        <f aca="false">IF(AND(F1432="Wire",E1432&gt;=1000,MOD(E1432,1000)=0),1,0)</f>
        <v>0</v>
      </c>
      <c r="J1432" s="1" t="n">
        <f aca="false">IF(AND(F1432="ATM",E1432&gt;2000,D1432&lt;=4),1,0)</f>
        <v>0</v>
      </c>
      <c r="K1432" s="1" t="n">
        <f aca="false">IF(COUNTIF('SQL Findings'!$A$4:$A$18,B1432)&gt;0,1,0)</f>
        <v>0</v>
      </c>
      <c r="L1432" s="1" t="n">
        <f aca="false">SUM(H1432:K1432)</f>
        <v>0</v>
      </c>
      <c r="M1432" s="1" t="str">
        <f aca="false">IF(L1432&gt;=2,"High",IF(L1432=1,"Medium","Low"))</f>
        <v>Low</v>
      </c>
    </row>
    <row r="1433" customFormat="false" ht="15" hidden="false" customHeight="true" outlineLevel="0" collapsed="false">
      <c r="A1433" s="1" t="str">
        <f aca="false">Transactions!A1433</f>
        <v>TXN500962</v>
      </c>
      <c r="B1433" s="1" t="str">
        <f aca="false">Transactions!B1433</f>
        <v>ACC1042</v>
      </c>
      <c r="C1433" s="1" t="str">
        <f aca="false">Transactions!I1433</f>
        <v>2026-03-28</v>
      </c>
      <c r="D1433" s="1" t="n">
        <f aca="false">Transactions!J1433</f>
        <v>15</v>
      </c>
      <c r="E1433" s="1" t="n">
        <f aca="false">Transactions!D1433</f>
        <v>220.57</v>
      </c>
      <c r="F1433" s="1" t="str">
        <f aca="false">Transactions!H1433</f>
        <v>Online</v>
      </c>
      <c r="G1433" s="1" t="str">
        <f aca="false">Transactions!G1433</f>
        <v>Online Marketplace</v>
      </c>
      <c r="H1433" s="1" t="n">
        <f aca="false">IF(COUNTIFS($B$2:$B$1489,B1433,$C$2:$C$1489,C1433,$D$2:$D$1489,D1433)&gt;6,1,0)</f>
        <v>0</v>
      </c>
      <c r="I1433" s="1" t="n">
        <f aca="false">IF(AND(F1433="Wire",E1433&gt;=1000,MOD(E1433,1000)=0),1,0)</f>
        <v>0</v>
      </c>
      <c r="J1433" s="1" t="n">
        <f aca="false">IF(AND(F1433="ATM",E1433&gt;2000,D1433&lt;=4),1,0)</f>
        <v>0</v>
      </c>
      <c r="K1433" s="1" t="n">
        <f aca="false">IF(COUNTIF('SQL Findings'!$A$4:$A$18,B1433)&gt;0,1,0)</f>
        <v>1</v>
      </c>
      <c r="L1433" s="1" t="n">
        <f aca="false">SUM(H1433:K1433)</f>
        <v>1</v>
      </c>
      <c r="M1433" s="1" t="str">
        <f aca="false">IF(L1433&gt;=2,"High",IF(L1433=1,"Medium","Low"))</f>
        <v>Medium</v>
      </c>
    </row>
    <row r="1434" customFormat="false" ht="15" hidden="false" customHeight="true" outlineLevel="0" collapsed="false">
      <c r="A1434" s="1" t="str">
        <f aca="false">Transactions!A1434</f>
        <v>TXN500459</v>
      </c>
      <c r="B1434" s="1" t="str">
        <f aca="false">Transactions!B1434</f>
        <v>ACC1020</v>
      </c>
      <c r="C1434" s="1" t="str">
        <f aca="false">Transactions!I1434</f>
        <v>2026-03-28</v>
      </c>
      <c r="D1434" s="1" t="n">
        <f aca="false">Transactions!J1434</f>
        <v>16</v>
      </c>
      <c r="E1434" s="1" t="n">
        <f aca="false">Transactions!D1434</f>
        <v>40.52</v>
      </c>
      <c r="F1434" s="1" t="str">
        <f aca="false">Transactions!H1434</f>
        <v>Online</v>
      </c>
      <c r="G1434" s="1" t="str">
        <f aca="false">Transactions!G1434</f>
        <v>Wire Transfer</v>
      </c>
      <c r="H1434" s="1" t="n">
        <f aca="false">IF(COUNTIFS($B$2:$B$1489,B1434,$C$2:$C$1489,C1434,$D$2:$D$1489,D1434)&gt;6,1,0)</f>
        <v>0</v>
      </c>
      <c r="I1434" s="1" t="n">
        <f aca="false">IF(AND(F1434="Wire",E1434&gt;=1000,MOD(E1434,1000)=0),1,0)</f>
        <v>0</v>
      </c>
      <c r="J1434" s="1" t="n">
        <f aca="false">IF(AND(F1434="ATM",E1434&gt;2000,D1434&lt;=4),1,0)</f>
        <v>0</v>
      </c>
      <c r="K1434" s="1" t="n">
        <f aca="false">IF(COUNTIF('SQL Findings'!$A$4:$A$18,B1434)&gt;0,1,0)</f>
        <v>0</v>
      </c>
      <c r="L1434" s="1" t="n">
        <f aca="false">SUM(H1434:K1434)</f>
        <v>0</v>
      </c>
      <c r="M1434" s="1" t="str">
        <f aca="false">IF(L1434&gt;=2,"High",IF(L1434=1,"Medium","Low"))</f>
        <v>Low</v>
      </c>
    </row>
    <row r="1435" customFormat="false" ht="15" hidden="false" customHeight="true" outlineLevel="0" collapsed="false">
      <c r="A1435" s="1" t="str">
        <f aca="false">Transactions!A1435</f>
        <v>TXN500170</v>
      </c>
      <c r="B1435" s="1" t="str">
        <f aca="false">Transactions!B1435</f>
        <v>ACC1007</v>
      </c>
      <c r="C1435" s="1" t="str">
        <f aca="false">Transactions!I1435</f>
        <v>2026-03-28</v>
      </c>
      <c r="D1435" s="1" t="n">
        <f aca="false">Transactions!J1435</f>
        <v>17</v>
      </c>
      <c r="E1435" s="1" t="n">
        <f aca="false">Transactions!D1435</f>
        <v>33.84</v>
      </c>
      <c r="F1435" s="1" t="str">
        <f aca="false">Transactions!H1435</f>
        <v>ATM</v>
      </c>
      <c r="G1435" s="1" t="str">
        <f aca="false">Transactions!G1435</f>
        <v>Retail</v>
      </c>
      <c r="H1435" s="1" t="n">
        <f aca="false">IF(COUNTIFS($B$2:$B$1489,B1435,$C$2:$C$1489,C1435,$D$2:$D$1489,D1435)&gt;6,1,0)</f>
        <v>0</v>
      </c>
      <c r="I1435" s="1" t="n">
        <f aca="false">IF(AND(F1435="Wire",E1435&gt;=1000,MOD(E1435,1000)=0),1,0)</f>
        <v>0</v>
      </c>
      <c r="J1435" s="1" t="n">
        <f aca="false">IF(AND(F1435="ATM",E1435&gt;2000,D1435&lt;=4),1,0)</f>
        <v>0</v>
      </c>
      <c r="K1435" s="1" t="n">
        <f aca="false">IF(COUNTIF('SQL Findings'!$A$4:$A$18,B1435)&gt;0,1,0)</f>
        <v>0</v>
      </c>
      <c r="L1435" s="1" t="n">
        <f aca="false">SUM(H1435:K1435)</f>
        <v>0</v>
      </c>
      <c r="M1435" s="1" t="str">
        <f aca="false">IF(L1435&gt;=2,"High",IF(L1435=1,"Medium","Low"))</f>
        <v>Low</v>
      </c>
    </row>
    <row r="1436" customFormat="false" ht="15" hidden="false" customHeight="true" outlineLevel="0" collapsed="false">
      <c r="A1436" s="1" t="str">
        <f aca="false">Transactions!A1436</f>
        <v>TXN500125</v>
      </c>
      <c r="B1436" s="1" t="str">
        <f aca="false">Transactions!B1436</f>
        <v>ACC1005</v>
      </c>
      <c r="C1436" s="1" t="str">
        <f aca="false">Transactions!I1436</f>
        <v>2026-03-28</v>
      </c>
      <c r="D1436" s="1" t="n">
        <f aca="false">Transactions!J1436</f>
        <v>19</v>
      </c>
      <c r="E1436" s="1" t="n">
        <f aca="false">Transactions!D1436</f>
        <v>113.09</v>
      </c>
      <c r="F1436" s="1" t="str">
        <f aca="false">Transactions!H1436</f>
        <v>ATM</v>
      </c>
      <c r="G1436" s="1" t="str">
        <f aca="false">Transactions!G1436</f>
        <v>Wire Transfer</v>
      </c>
      <c r="H1436" s="1" t="n">
        <f aca="false">IF(COUNTIFS($B$2:$B$1489,B1436,$C$2:$C$1489,C1436,$D$2:$D$1489,D1436)&gt;6,1,0)</f>
        <v>0</v>
      </c>
      <c r="I1436" s="1" t="n">
        <f aca="false">IF(AND(F1436="Wire",E1436&gt;=1000,MOD(E1436,1000)=0),1,0)</f>
        <v>0</v>
      </c>
      <c r="J1436" s="1" t="n">
        <f aca="false">IF(AND(F1436="ATM",E1436&gt;2000,D1436&lt;=4),1,0)</f>
        <v>0</v>
      </c>
      <c r="K1436" s="1" t="n">
        <f aca="false">IF(COUNTIF('SQL Findings'!$A$4:$A$18,B1436)&gt;0,1,0)</f>
        <v>0</v>
      </c>
      <c r="L1436" s="1" t="n">
        <f aca="false">SUM(H1436:K1436)</f>
        <v>0</v>
      </c>
      <c r="M1436" s="1" t="str">
        <f aca="false">IF(L1436&gt;=2,"High",IF(L1436=1,"Medium","Low"))</f>
        <v>Low</v>
      </c>
    </row>
    <row r="1437" customFormat="false" ht="15" hidden="false" customHeight="true" outlineLevel="0" collapsed="false">
      <c r="A1437" s="1" t="str">
        <f aca="false">Transactions!A1437</f>
        <v>TXN500228</v>
      </c>
      <c r="B1437" s="1" t="str">
        <f aca="false">Transactions!B1437</f>
        <v>ACC1009</v>
      </c>
      <c r="C1437" s="1" t="str">
        <f aca="false">Transactions!I1437</f>
        <v>2026-03-28</v>
      </c>
      <c r="D1437" s="1" t="n">
        <f aca="false">Transactions!J1437</f>
        <v>23</v>
      </c>
      <c r="E1437" s="1" t="n">
        <f aca="false">Transactions!D1437</f>
        <v>25.28</v>
      </c>
      <c r="F1437" s="1" t="str">
        <f aca="false">Transactions!H1437</f>
        <v>POS</v>
      </c>
      <c r="G1437" s="1" t="str">
        <f aca="false">Transactions!G1437</f>
        <v>Cash Withdrawal</v>
      </c>
      <c r="H1437" s="1" t="n">
        <f aca="false">IF(COUNTIFS($B$2:$B$1489,B1437,$C$2:$C$1489,C1437,$D$2:$D$1489,D1437)&gt;6,1,0)</f>
        <v>0</v>
      </c>
      <c r="I1437" s="1" t="n">
        <f aca="false">IF(AND(F1437="Wire",E1437&gt;=1000,MOD(E1437,1000)=0),1,0)</f>
        <v>0</v>
      </c>
      <c r="J1437" s="1" t="n">
        <f aca="false">IF(AND(F1437="ATM",E1437&gt;2000,D1437&lt;=4),1,0)</f>
        <v>0</v>
      </c>
      <c r="K1437" s="1" t="n">
        <f aca="false">IF(COUNTIF('SQL Findings'!$A$4:$A$18,B1437)&gt;0,1,0)</f>
        <v>1</v>
      </c>
      <c r="L1437" s="1" t="n">
        <f aca="false">SUM(H1437:K1437)</f>
        <v>1</v>
      </c>
      <c r="M1437" s="1" t="str">
        <f aca="false">IF(L1437&gt;=2,"High",IF(L1437=1,"Medium","Low"))</f>
        <v>Medium</v>
      </c>
    </row>
    <row r="1438" customFormat="false" ht="15" hidden="false" customHeight="true" outlineLevel="0" collapsed="false">
      <c r="A1438" s="1" t="str">
        <f aca="false">Transactions!A1438</f>
        <v>TXN501212</v>
      </c>
      <c r="B1438" s="1" t="str">
        <f aca="false">Transactions!B1438</f>
        <v>ACC1053</v>
      </c>
      <c r="C1438" s="1" t="str">
        <f aca="false">Transactions!I1438</f>
        <v>2026-03-29</v>
      </c>
      <c r="D1438" s="1" t="n">
        <f aca="false">Transactions!J1438</f>
        <v>1</v>
      </c>
      <c r="E1438" s="1" t="n">
        <f aca="false">Transactions!D1438</f>
        <v>35.74</v>
      </c>
      <c r="F1438" s="1" t="str">
        <f aca="false">Transactions!H1438</f>
        <v>POS</v>
      </c>
      <c r="G1438" s="1" t="str">
        <f aca="false">Transactions!G1438</f>
        <v>Online Marketplace</v>
      </c>
      <c r="H1438" s="1" t="n">
        <f aca="false">IF(COUNTIFS($B$2:$B$1489,B1438,$C$2:$C$1489,C1438,$D$2:$D$1489,D1438)&gt;6,1,0)</f>
        <v>0</v>
      </c>
      <c r="I1438" s="1" t="n">
        <f aca="false">IF(AND(F1438="Wire",E1438&gt;=1000,MOD(E1438,1000)=0),1,0)</f>
        <v>0</v>
      </c>
      <c r="J1438" s="1" t="n">
        <f aca="false">IF(AND(F1438="ATM",E1438&gt;2000,D1438&lt;=4),1,0)</f>
        <v>0</v>
      </c>
      <c r="K1438" s="1" t="n">
        <f aca="false">IF(COUNTIF('SQL Findings'!$A$4:$A$18,B1438)&gt;0,1,0)</f>
        <v>0</v>
      </c>
      <c r="L1438" s="1" t="n">
        <f aca="false">SUM(H1438:K1438)</f>
        <v>0</v>
      </c>
      <c r="M1438" s="1" t="str">
        <f aca="false">IF(L1438&gt;=2,"High",IF(L1438=1,"Medium","Low"))</f>
        <v>Low</v>
      </c>
    </row>
    <row r="1439" customFormat="false" ht="15" hidden="false" customHeight="true" outlineLevel="0" collapsed="false">
      <c r="A1439" s="1" t="str">
        <f aca="false">Transactions!A1439</f>
        <v>TXN500428</v>
      </c>
      <c r="B1439" s="1" t="str">
        <f aca="false">Transactions!B1439</f>
        <v>ACC1019</v>
      </c>
      <c r="C1439" s="1" t="str">
        <f aca="false">Transactions!I1439</f>
        <v>2026-03-29</v>
      </c>
      <c r="D1439" s="1" t="n">
        <f aca="false">Transactions!J1439</f>
        <v>7</v>
      </c>
      <c r="E1439" s="1" t="n">
        <f aca="false">Transactions!D1439</f>
        <v>123.65</v>
      </c>
      <c r="F1439" s="1" t="str">
        <f aca="false">Transactions!H1439</f>
        <v>POS</v>
      </c>
      <c r="G1439" s="1" t="str">
        <f aca="false">Transactions!G1439</f>
        <v>Electronics</v>
      </c>
      <c r="H1439" s="1" t="n">
        <f aca="false">IF(COUNTIFS($B$2:$B$1489,B1439,$C$2:$C$1489,C1439,$D$2:$D$1489,D1439)&gt;6,1,0)</f>
        <v>0</v>
      </c>
      <c r="I1439" s="1" t="n">
        <f aca="false">IF(AND(F1439="Wire",E1439&gt;=1000,MOD(E1439,1000)=0),1,0)</f>
        <v>0</v>
      </c>
      <c r="J1439" s="1" t="n">
        <f aca="false">IF(AND(F1439="ATM",E1439&gt;2000,D1439&lt;=4),1,0)</f>
        <v>0</v>
      </c>
      <c r="K1439" s="1" t="n">
        <f aca="false">IF(COUNTIF('SQL Findings'!$A$4:$A$18,B1439)&gt;0,1,0)</f>
        <v>0</v>
      </c>
      <c r="L1439" s="1" t="n">
        <f aca="false">SUM(H1439:K1439)</f>
        <v>0</v>
      </c>
      <c r="M1439" s="1" t="str">
        <f aca="false">IF(L1439&gt;=2,"High",IF(L1439=1,"Medium","Low"))</f>
        <v>Low</v>
      </c>
    </row>
    <row r="1440" customFormat="false" ht="15" hidden="false" customHeight="true" outlineLevel="0" collapsed="false">
      <c r="A1440" s="1" t="str">
        <f aca="false">Transactions!A1440</f>
        <v>TXN500474</v>
      </c>
      <c r="B1440" s="1" t="str">
        <f aca="false">Transactions!B1440</f>
        <v>ACC1021</v>
      </c>
      <c r="C1440" s="1" t="str">
        <f aca="false">Transactions!I1440</f>
        <v>2026-03-29</v>
      </c>
      <c r="D1440" s="1" t="n">
        <f aca="false">Transactions!J1440</f>
        <v>7</v>
      </c>
      <c r="E1440" s="1" t="n">
        <f aca="false">Transactions!D1440</f>
        <v>228.19</v>
      </c>
      <c r="F1440" s="1" t="str">
        <f aca="false">Transactions!H1440</f>
        <v>POS</v>
      </c>
      <c r="G1440" s="1" t="str">
        <f aca="false">Transactions!G1440</f>
        <v>Online Marketplace</v>
      </c>
      <c r="H1440" s="1" t="n">
        <f aca="false">IF(COUNTIFS($B$2:$B$1489,B1440,$C$2:$C$1489,C1440,$D$2:$D$1489,D1440)&gt;6,1,0)</f>
        <v>0</v>
      </c>
      <c r="I1440" s="1" t="n">
        <f aca="false">IF(AND(F1440="Wire",E1440&gt;=1000,MOD(E1440,1000)=0),1,0)</f>
        <v>0</v>
      </c>
      <c r="J1440" s="1" t="n">
        <f aca="false">IF(AND(F1440="ATM",E1440&gt;2000,D1440&lt;=4),1,0)</f>
        <v>0</v>
      </c>
      <c r="K1440" s="1" t="n">
        <f aca="false">IF(COUNTIF('SQL Findings'!$A$4:$A$18,B1440)&gt;0,1,0)</f>
        <v>0</v>
      </c>
      <c r="L1440" s="1" t="n">
        <f aca="false">SUM(H1440:K1440)</f>
        <v>0</v>
      </c>
      <c r="M1440" s="1" t="str">
        <f aca="false">IF(L1440&gt;=2,"High",IF(L1440=1,"Medium","Low"))</f>
        <v>Low</v>
      </c>
    </row>
    <row r="1441" customFormat="false" ht="15" hidden="false" customHeight="true" outlineLevel="0" collapsed="false">
      <c r="A1441" s="1" t="str">
        <f aca="false">Transactions!A1441</f>
        <v>TXN500944</v>
      </c>
      <c r="B1441" s="1" t="str">
        <f aca="false">Transactions!B1441</f>
        <v>ACC1041</v>
      </c>
      <c r="C1441" s="1" t="str">
        <f aca="false">Transactions!I1441</f>
        <v>2026-03-29</v>
      </c>
      <c r="D1441" s="1" t="n">
        <f aca="false">Transactions!J1441</f>
        <v>8</v>
      </c>
      <c r="E1441" s="1" t="n">
        <f aca="false">Transactions!D1441</f>
        <v>60.99</v>
      </c>
      <c r="F1441" s="1" t="str">
        <f aca="false">Transactions!H1441</f>
        <v>Online</v>
      </c>
      <c r="G1441" s="1" t="str">
        <f aca="false">Transactions!G1441</f>
        <v>Utilities</v>
      </c>
      <c r="H1441" s="1" t="n">
        <f aca="false">IF(COUNTIFS($B$2:$B$1489,B1441,$C$2:$C$1489,C1441,$D$2:$D$1489,D1441)&gt;6,1,0)</f>
        <v>0</v>
      </c>
      <c r="I1441" s="1" t="n">
        <f aca="false">IF(AND(F1441="Wire",E1441&gt;=1000,MOD(E1441,1000)=0),1,0)</f>
        <v>0</v>
      </c>
      <c r="J1441" s="1" t="n">
        <f aca="false">IF(AND(F1441="ATM",E1441&gt;2000,D1441&lt;=4),1,0)</f>
        <v>0</v>
      </c>
      <c r="K1441" s="1" t="n">
        <f aca="false">IF(COUNTIF('SQL Findings'!$A$4:$A$18,B1441)&gt;0,1,0)</f>
        <v>1</v>
      </c>
      <c r="L1441" s="1" t="n">
        <f aca="false">SUM(H1441:K1441)</f>
        <v>1</v>
      </c>
      <c r="M1441" s="1" t="str">
        <f aca="false">IF(L1441&gt;=2,"High",IF(L1441=1,"Medium","Low"))</f>
        <v>Medium</v>
      </c>
    </row>
    <row r="1442" customFormat="false" ht="15" hidden="false" customHeight="true" outlineLevel="0" collapsed="false">
      <c r="A1442" s="1" t="str">
        <f aca="false">Transactions!A1442</f>
        <v>TXN500907</v>
      </c>
      <c r="B1442" s="1" t="str">
        <f aca="false">Transactions!B1442</f>
        <v>ACC1039</v>
      </c>
      <c r="C1442" s="1" t="str">
        <f aca="false">Transactions!I1442</f>
        <v>2026-03-29</v>
      </c>
      <c r="D1442" s="1" t="n">
        <f aca="false">Transactions!J1442</f>
        <v>8</v>
      </c>
      <c r="E1442" s="1" t="n">
        <f aca="false">Transactions!D1442</f>
        <v>19.61</v>
      </c>
      <c r="F1442" s="1" t="str">
        <f aca="false">Transactions!H1442</f>
        <v>ATM</v>
      </c>
      <c r="G1442" s="1" t="str">
        <f aca="false">Transactions!G1442</f>
        <v>Retail</v>
      </c>
      <c r="H1442" s="1" t="n">
        <f aca="false">IF(COUNTIFS($B$2:$B$1489,B1442,$C$2:$C$1489,C1442,$D$2:$D$1489,D1442)&gt;6,1,0)</f>
        <v>0</v>
      </c>
      <c r="I1442" s="1" t="n">
        <f aca="false">IF(AND(F1442="Wire",E1442&gt;=1000,MOD(E1442,1000)=0),1,0)</f>
        <v>0</v>
      </c>
      <c r="J1442" s="1" t="n">
        <f aca="false">IF(AND(F1442="ATM",E1442&gt;2000,D1442&lt;=4),1,0)</f>
        <v>0</v>
      </c>
      <c r="K1442" s="1" t="n">
        <f aca="false">IF(COUNTIF('SQL Findings'!$A$4:$A$18,B1442)&gt;0,1,0)</f>
        <v>0</v>
      </c>
      <c r="L1442" s="1" t="n">
        <f aca="false">SUM(H1442:K1442)</f>
        <v>0</v>
      </c>
      <c r="M1442" s="1" t="str">
        <f aca="false">IF(L1442&gt;=2,"High",IF(L1442=1,"Medium","Low"))</f>
        <v>Low</v>
      </c>
    </row>
    <row r="1443" customFormat="false" ht="15" hidden="false" customHeight="true" outlineLevel="0" collapsed="false">
      <c r="A1443" s="1" t="str">
        <f aca="false">Transactions!A1443</f>
        <v>TXN500996</v>
      </c>
      <c r="B1443" s="1" t="str">
        <f aca="false">Transactions!B1443</f>
        <v>ACC1043</v>
      </c>
      <c r="C1443" s="1" t="str">
        <f aca="false">Transactions!I1443</f>
        <v>2026-03-29</v>
      </c>
      <c r="D1443" s="1" t="n">
        <f aca="false">Transactions!J1443</f>
        <v>9</v>
      </c>
      <c r="E1443" s="1" t="n">
        <f aca="false">Transactions!D1443</f>
        <v>51.78</v>
      </c>
      <c r="F1443" s="1" t="str">
        <f aca="false">Transactions!H1443</f>
        <v>POS</v>
      </c>
      <c r="G1443" s="1" t="str">
        <f aca="false">Transactions!G1443</f>
        <v>Electronics</v>
      </c>
      <c r="H1443" s="1" t="n">
        <f aca="false">IF(COUNTIFS($B$2:$B$1489,B1443,$C$2:$C$1489,C1443,$D$2:$D$1489,D1443)&gt;6,1,0)</f>
        <v>0</v>
      </c>
      <c r="I1443" s="1" t="n">
        <f aca="false">IF(AND(F1443="Wire",E1443&gt;=1000,MOD(E1443,1000)=0),1,0)</f>
        <v>0</v>
      </c>
      <c r="J1443" s="1" t="n">
        <f aca="false">IF(AND(F1443="ATM",E1443&gt;2000,D1443&lt;=4),1,0)</f>
        <v>0</v>
      </c>
      <c r="K1443" s="1" t="n">
        <f aca="false">IF(COUNTIF('SQL Findings'!$A$4:$A$18,B1443)&gt;0,1,0)</f>
        <v>0</v>
      </c>
      <c r="L1443" s="1" t="n">
        <f aca="false">SUM(H1443:K1443)</f>
        <v>0</v>
      </c>
      <c r="M1443" s="1" t="str">
        <f aca="false">IF(L1443&gt;=2,"High",IF(L1443=1,"Medium","Low"))</f>
        <v>Low</v>
      </c>
    </row>
    <row r="1444" customFormat="false" ht="15" hidden="false" customHeight="true" outlineLevel="0" collapsed="false">
      <c r="A1444" s="1" t="str">
        <f aca="false">Transactions!A1444</f>
        <v>TXN500912</v>
      </c>
      <c r="B1444" s="1" t="str">
        <f aca="false">Transactions!B1444</f>
        <v>ACC1039</v>
      </c>
      <c r="C1444" s="1" t="str">
        <f aca="false">Transactions!I1444</f>
        <v>2026-03-29</v>
      </c>
      <c r="D1444" s="1" t="n">
        <f aca="false">Transactions!J1444</f>
        <v>9</v>
      </c>
      <c r="E1444" s="1" t="n">
        <f aca="false">Transactions!D1444</f>
        <v>81.23</v>
      </c>
      <c r="F1444" s="1" t="str">
        <f aca="false">Transactions!H1444</f>
        <v>POS</v>
      </c>
      <c r="G1444" s="1" t="str">
        <f aca="false">Transactions!G1444</f>
        <v>Retail</v>
      </c>
      <c r="H1444" s="1" t="n">
        <f aca="false">IF(COUNTIFS($B$2:$B$1489,B1444,$C$2:$C$1489,C1444,$D$2:$D$1489,D1444)&gt;6,1,0)</f>
        <v>0</v>
      </c>
      <c r="I1444" s="1" t="n">
        <f aca="false">IF(AND(F1444="Wire",E1444&gt;=1000,MOD(E1444,1000)=0),1,0)</f>
        <v>0</v>
      </c>
      <c r="J1444" s="1" t="n">
        <f aca="false">IF(AND(F1444="ATM",E1444&gt;2000,D1444&lt;=4),1,0)</f>
        <v>0</v>
      </c>
      <c r="K1444" s="1" t="n">
        <f aca="false">IF(COUNTIF('SQL Findings'!$A$4:$A$18,B1444)&gt;0,1,0)</f>
        <v>0</v>
      </c>
      <c r="L1444" s="1" t="n">
        <f aca="false">SUM(H1444:K1444)</f>
        <v>0</v>
      </c>
      <c r="M1444" s="1" t="str">
        <f aca="false">IF(L1444&gt;=2,"High",IF(L1444=1,"Medium","Low"))</f>
        <v>Low</v>
      </c>
    </row>
    <row r="1445" customFormat="false" ht="15" hidden="false" customHeight="true" outlineLevel="0" collapsed="false">
      <c r="A1445" s="1" t="str">
        <f aca="false">Transactions!A1445</f>
        <v>TXN501180</v>
      </c>
      <c r="B1445" s="1" t="str">
        <f aca="false">Transactions!B1445</f>
        <v>ACC1052</v>
      </c>
      <c r="C1445" s="1" t="str">
        <f aca="false">Transactions!I1445</f>
        <v>2026-03-29</v>
      </c>
      <c r="D1445" s="1" t="n">
        <f aca="false">Transactions!J1445</f>
        <v>9</v>
      </c>
      <c r="E1445" s="1" t="n">
        <f aca="false">Transactions!D1445</f>
        <v>24.7</v>
      </c>
      <c r="F1445" s="1" t="str">
        <f aca="false">Transactions!H1445</f>
        <v>POS</v>
      </c>
      <c r="G1445" s="1" t="str">
        <f aca="false">Transactions!G1445</f>
        <v>Electronics</v>
      </c>
      <c r="H1445" s="1" t="n">
        <f aca="false">IF(COUNTIFS($B$2:$B$1489,B1445,$C$2:$C$1489,C1445,$D$2:$D$1489,D1445)&gt;6,1,0)</f>
        <v>0</v>
      </c>
      <c r="I1445" s="1" t="n">
        <f aca="false">IF(AND(F1445="Wire",E1445&gt;=1000,MOD(E1445,1000)=0),1,0)</f>
        <v>0</v>
      </c>
      <c r="J1445" s="1" t="n">
        <f aca="false">IF(AND(F1445="ATM",E1445&gt;2000,D1445&lt;=4),1,0)</f>
        <v>0</v>
      </c>
      <c r="K1445" s="1" t="n">
        <f aca="false">IF(COUNTIF('SQL Findings'!$A$4:$A$18,B1445)&gt;0,1,0)</f>
        <v>0</v>
      </c>
      <c r="L1445" s="1" t="n">
        <f aca="false">SUM(H1445:K1445)</f>
        <v>0</v>
      </c>
      <c r="M1445" s="1" t="str">
        <f aca="false">IF(L1445&gt;=2,"High",IF(L1445=1,"Medium","Low"))</f>
        <v>Low</v>
      </c>
    </row>
    <row r="1446" customFormat="false" ht="15" hidden="false" customHeight="true" outlineLevel="0" collapsed="false">
      <c r="A1446" s="1" t="str">
        <f aca="false">Transactions!A1446</f>
        <v>TXN500399</v>
      </c>
      <c r="B1446" s="1" t="str">
        <f aca="false">Transactions!B1446</f>
        <v>ACC1017</v>
      </c>
      <c r="C1446" s="1" t="str">
        <f aca="false">Transactions!I1446</f>
        <v>2026-03-29</v>
      </c>
      <c r="D1446" s="1" t="n">
        <f aca="false">Transactions!J1446</f>
        <v>10</v>
      </c>
      <c r="E1446" s="1" t="n">
        <f aca="false">Transactions!D1446</f>
        <v>60.15</v>
      </c>
      <c r="F1446" s="1" t="str">
        <f aca="false">Transactions!H1446</f>
        <v>ATM</v>
      </c>
      <c r="G1446" s="1" t="str">
        <f aca="false">Transactions!G1446</f>
        <v>Electronics</v>
      </c>
      <c r="H1446" s="1" t="n">
        <f aca="false">IF(COUNTIFS($B$2:$B$1489,B1446,$C$2:$C$1489,C1446,$D$2:$D$1489,D1446)&gt;6,1,0)</f>
        <v>0</v>
      </c>
      <c r="I1446" s="1" t="n">
        <f aca="false">IF(AND(F1446="Wire",E1446&gt;=1000,MOD(E1446,1000)=0),1,0)</f>
        <v>0</v>
      </c>
      <c r="J1446" s="1" t="n">
        <f aca="false">IF(AND(F1446="ATM",E1446&gt;2000,D1446&lt;=4),1,0)</f>
        <v>0</v>
      </c>
      <c r="K1446" s="1" t="n">
        <f aca="false">IF(COUNTIF('SQL Findings'!$A$4:$A$18,B1446)&gt;0,1,0)</f>
        <v>0</v>
      </c>
      <c r="L1446" s="1" t="n">
        <f aca="false">SUM(H1446:K1446)</f>
        <v>0</v>
      </c>
      <c r="M1446" s="1" t="str">
        <f aca="false">IF(L1446&gt;=2,"High",IF(L1446=1,"Medium","Low"))</f>
        <v>Low</v>
      </c>
    </row>
    <row r="1447" customFormat="false" ht="15" hidden="false" customHeight="true" outlineLevel="0" collapsed="false">
      <c r="A1447" s="1" t="str">
        <f aca="false">Transactions!A1447</f>
        <v>TXN500547</v>
      </c>
      <c r="B1447" s="1" t="str">
        <f aca="false">Transactions!B1447</f>
        <v>ACC1024</v>
      </c>
      <c r="C1447" s="1" t="str">
        <f aca="false">Transactions!I1447</f>
        <v>2026-03-29</v>
      </c>
      <c r="D1447" s="1" t="n">
        <f aca="false">Transactions!J1447</f>
        <v>13</v>
      </c>
      <c r="E1447" s="1" t="n">
        <f aca="false">Transactions!D1447</f>
        <v>112.1</v>
      </c>
      <c r="F1447" s="1" t="str">
        <f aca="false">Transactions!H1447</f>
        <v>ATM</v>
      </c>
      <c r="G1447" s="1" t="str">
        <f aca="false">Transactions!G1447</f>
        <v>Electronics</v>
      </c>
      <c r="H1447" s="1" t="n">
        <f aca="false">IF(COUNTIFS($B$2:$B$1489,B1447,$C$2:$C$1489,C1447,$D$2:$D$1489,D1447)&gt;6,1,0)</f>
        <v>0</v>
      </c>
      <c r="I1447" s="1" t="n">
        <f aca="false">IF(AND(F1447="Wire",E1447&gt;=1000,MOD(E1447,1000)=0),1,0)</f>
        <v>0</v>
      </c>
      <c r="J1447" s="1" t="n">
        <f aca="false">IF(AND(F1447="ATM",E1447&gt;2000,D1447&lt;=4),1,0)</f>
        <v>0</v>
      </c>
      <c r="K1447" s="1" t="n">
        <f aca="false">IF(COUNTIF('SQL Findings'!$A$4:$A$18,B1447)&gt;0,1,0)</f>
        <v>1</v>
      </c>
      <c r="L1447" s="1" t="n">
        <f aca="false">SUM(H1447:K1447)</f>
        <v>1</v>
      </c>
      <c r="M1447" s="1" t="str">
        <f aca="false">IF(L1447&gt;=2,"High",IF(L1447=1,"Medium","Low"))</f>
        <v>Medium</v>
      </c>
    </row>
    <row r="1448" customFormat="false" ht="15" hidden="false" customHeight="true" outlineLevel="0" collapsed="false">
      <c r="A1448" s="1" t="str">
        <f aca="false">Transactions!A1448</f>
        <v>TXN500003</v>
      </c>
      <c r="B1448" s="1" t="str">
        <f aca="false">Transactions!B1448</f>
        <v>ACC1000</v>
      </c>
      <c r="C1448" s="1" t="str">
        <f aca="false">Transactions!I1448</f>
        <v>2026-03-29</v>
      </c>
      <c r="D1448" s="1" t="n">
        <f aca="false">Transactions!J1448</f>
        <v>14</v>
      </c>
      <c r="E1448" s="1" t="n">
        <f aca="false">Transactions!D1448</f>
        <v>119.45</v>
      </c>
      <c r="F1448" s="1" t="str">
        <f aca="false">Transactions!H1448</f>
        <v>ATM</v>
      </c>
      <c r="G1448" s="1" t="str">
        <f aca="false">Transactions!G1448</f>
        <v>Travel</v>
      </c>
      <c r="H1448" s="1" t="n">
        <f aca="false">IF(COUNTIFS($B$2:$B$1489,B1448,$C$2:$C$1489,C1448,$D$2:$D$1489,D1448)&gt;6,1,0)</f>
        <v>0</v>
      </c>
      <c r="I1448" s="1" t="n">
        <f aca="false">IF(AND(F1448="Wire",E1448&gt;=1000,MOD(E1448,1000)=0),1,0)</f>
        <v>0</v>
      </c>
      <c r="J1448" s="1" t="n">
        <f aca="false">IF(AND(F1448="ATM",E1448&gt;2000,D1448&lt;=4),1,0)</f>
        <v>0</v>
      </c>
      <c r="K1448" s="1" t="n">
        <f aca="false">IF(COUNTIF('SQL Findings'!$A$4:$A$18,B1448)&gt;0,1,0)</f>
        <v>1</v>
      </c>
      <c r="L1448" s="1" t="n">
        <f aca="false">SUM(H1448:K1448)</f>
        <v>1</v>
      </c>
      <c r="M1448" s="1" t="str">
        <f aca="false">IF(L1448&gt;=2,"High",IF(L1448=1,"Medium","Low"))</f>
        <v>Medium</v>
      </c>
    </row>
    <row r="1449" customFormat="false" ht="15" hidden="false" customHeight="true" outlineLevel="0" collapsed="false">
      <c r="A1449" s="1" t="str">
        <f aca="false">Transactions!A1449</f>
        <v>TXN500629</v>
      </c>
      <c r="B1449" s="1" t="str">
        <f aca="false">Transactions!B1449</f>
        <v>ACC1027</v>
      </c>
      <c r="C1449" s="1" t="str">
        <f aca="false">Transactions!I1449</f>
        <v>2026-03-29</v>
      </c>
      <c r="D1449" s="1" t="n">
        <f aca="false">Transactions!J1449</f>
        <v>16</v>
      </c>
      <c r="E1449" s="1" t="n">
        <f aca="false">Transactions!D1449</f>
        <v>70.12</v>
      </c>
      <c r="F1449" s="1" t="str">
        <f aca="false">Transactions!H1449</f>
        <v>ATM</v>
      </c>
      <c r="G1449" s="1" t="str">
        <f aca="false">Transactions!G1449</f>
        <v>Electronics</v>
      </c>
      <c r="H1449" s="1" t="n">
        <f aca="false">IF(COUNTIFS($B$2:$B$1489,B1449,$C$2:$C$1489,C1449,$D$2:$D$1489,D1449)&gt;6,1,0)</f>
        <v>0</v>
      </c>
      <c r="I1449" s="1" t="n">
        <f aca="false">IF(AND(F1449="Wire",E1449&gt;=1000,MOD(E1449,1000)=0),1,0)</f>
        <v>0</v>
      </c>
      <c r="J1449" s="1" t="n">
        <f aca="false">IF(AND(F1449="ATM",E1449&gt;2000,D1449&lt;=4),1,0)</f>
        <v>0</v>
      </c>
      <c r="K1449" s="1" t="n">
        <f aca="false">IF(COUNTIF('SQL Findings'!$A$4:$A$18,B1449)&gt;0,1,0)</f>
        <v>0</v>
      </c>
      <c r="L1449" s="1" t="n">
        <f aca="false">SUM(H1449:K1449)</f>
        <v>0</v>
      </c>
      <c r="M1449" s="1" t="str">
        <f aca="false">IF(L1449&gt;=2,"High",IF(L1449=1,"Medium","Low"))</f>
        <v>Low</v>
      </c>
    </row>
    <row r="1450" customFormat="false" ht="15" hidden="false" customHeight="true" outlineLevel="0" collapsed="false">
      <c r="A1450" s="1" t="str">
        <f aca="false">Transactions!A1450</f>
        <v>TXN500208</v>
      </c>
      <c r="B1450" s="1" t="str">
        <f aca="false">Transactions!B1450</f>
        <v>ACC1008</v>
      </c>
      <c r="C1450" s="1" t="str">
        <f aca="false">Transactions!I1450</f>
        <v>2026-03-29</v>
      </c>
      <c r="D1450" s="1" t="n">
        <f aca="false">Transactions!J1450</f>
        <v>16</v>
      </c>
      <c r="E1450" s="1" t="n">
        <f aca="false">Transactions!D1450</f>
        <v>105.89</v>
      </c>
      <c r="F1450" s="1" t="str">
        <f aca="false">Transactions!H1450</f>
        <v>POS</v>
      </c>
      <c r="G1450" s="1" t="str">
        <f aca="false">Transactions!G1450</f>
        <v>Travel</v>
      </c>
      <c r="H1450" s="1" t="n">
        <f aca="false">IF(COUNTIFS($B$2:$B$1489,B1450,$C$2:$C$1489,C1450,$D$2:$D$1489,D1450)&gt;6,1,0)</f>
        <v>0</v>
      </c>
      <c r="I1450" s="1" t="n">
        <f aca="false">IF(AND(F1450="Wire",E1450&gt;=1000,MOD(E1450,1000)=0),1,0)</f>
        <v>0</v>
      </c>
      <c r="J1450" s="1" t="n">
        <f aca="false">IF(AND(F1450="ATM",E1450&gt;2000,D1450&lt;=4),1,0)</f>
        <v>0</v>
      </c>
      <c r="K1450" s="1" t="n">
        <f aca="false">IF(COUNTIF('SQL Findings'!$A$4:$A$18,B1450)&gt;0,1,0)</f>
        <v>0</v>
      </c>
      <c r="L1450" s="1" t="n">
        <f aca="false">SUM(H1450:K1450)</f>
        <v>0</v>
      </c>
      <c r="M1450" s="1" t="str">
        <f aca="false">IF(L1450&gt;=2,"High",IF(L1450=1,"Medium","Low"))</f>
        <v>Low</v>
      </c>
    </row>
    <row r="1451" customFormat="false" ht="15" hidden="false" customHeight="true" outlineLevel="0" collapsed="false">
      <c r="A1451" s="1" t="str">
        <f aca="false">Transactions!A1451</f>
        <v>TXN500470</v>
      </c>
      <c r="B1451" s="1" t="str">
        <f aca="false">Transactions!B1451</f>
        <v>ACC1021</v>
      </c>
      <c r="C1451" s="1" t="str">
        <f aca="false">Transactions!I1451</f>
        <v>2026-03-29</v>
      </c>
      <c r="D1451" s="1" t="n">
        <f aca="false">Transactions!J1451</f>
        <v>16</v>
      </c>
      <c r="E1451" s="1" t="n">
        <f aca="false">Transactions!D1451</f>
        <v>39.72</v>
      </c>
      <c r="F1451" s="1" t="str">
        <f aca="false">Transactions!H1451</f>
        <v>ATM</v>
      </c>
      <c r="G1451" s="1" t="str">
        <f aca="false">Transactions!G1451</f>
        <v>Electronics</v>
      </c>
      <c r="H1451" s="1" t="n">
        <f aca="false">IF(COUNTIFS($B$2:$B$1489,B1451,$C$2:$C$1489,C1451,$D$2:$D$1489,D1451)&gt;6,1,0)</f>
        <v>0</v>
      </c>
      <c r="I1451" s="1" t="n">
        <f aca="false">IF(AND(F1451="Wire",E1451&gt;=1000,MOD(E1451,1000)=0),1,0)</f>
        <v>0</v>
      </c>
      <c r="J1451" s="1" t="n">
        <f aca="false">IF(AND(F1451="ATM",E1451&gt;2000,D1451&lt;=4),1,0)</f>
        <v>0</v>
      </c>
      <c r="K1451" s="1" t="n">
        <f aca="false">IF(COUNTIF('SQL Findings'!$A$4:$A$18,B1451)&gt;0,1,0)</f>
        <v>0</v>
      </c>
      <c r="L1451" s="1" t="n">
        <f aca="false">SUM(H1451:K1451)</f>
        <v>0</v>
      </c>
      <c r="M1451" s="1" t="str">
        <f aca="false">IF(L1451&gt;=2,"High",IF(L1451=1,"Medium","Low"))</f>
        <v>Low</v>
      </c>
    </row>
    <row r="1452" customFormat="false" ht="15" hidden="false" customHeight="true" outlineLevel="0" collapsed="false">
      <c r="A1452" s="1" t="str">
        <f aca="false">Transactions!A1452</f>
        <v>TXN501043</v>
      </c>
      <c r="B1452" s="1" t="str">
        <f aca="false">Transactions!B1452</f>
        <v>ACC1045</v>
      </c>
      <c r="C1452" s="1" t="str">
        <f aca="false">Transactions!I1452</f>
        <v>2026-03-29</v>
      </c>
      <c r="D1452" s="1" t="n">
        <f aca="false">Transactions!J1452</f>
        <v>20</v>
      </c>
      <c r="E1452" s="1" t="n">
        <f aca="false">Transactions!D1452</f>
        <v>176.06</v>
      </c>
      <c r="F1452" s="1" t="str">
        <f aca="false">Transactions!H1452</f>
        <v>ATM</v>
      </c>
      <c r="G1452" s="1" t="str">
        <f aca="false">Transactions!G1452</f>
        <v>Online Marketplace</v>
      </c>
      <c r="H1452" s="1" t="n">
        <f aca="false">IF(COUNTIFS($B$2:$B$1489,B1452,$C$2:$C$1489,C1452,$D$2:$D$1489,D1452)&gt;6,1,0)</f>
        <v>0</v>
      </c>
      <c r="I1452" s="1" t="n">
        <f aca="false">IF(AND(F1452="Wire",E1452&gt;=1000,MOD(E1452,1000)=0),1,0)</f>
        <v>0</v>
      </c>
      <c r="J1452" s="1" t="n">
        <f aca="false">IF(AND(F1452="ATM",E1452&gt;2000,D1452&lt;=4),1,0)</f>
        <v>0</v>
      </c>
      <c r="K1452" s="1" t="n">
        <f aca="false">IF(COUNTIF('SQL Findings'!$A$4:$A$18,B1452)&gt;0,1,0)</f>
        <v>0</v>
      </c>
      <c r="L1452" s="1" t="n">
        <f aca="false">SUM(H1452:K1452)</f>
        <v>0</v>
      </c>
      <c r="M1452" s="1" t="str">
        <f aca="false">IF(L1452&gt;=2,"High",IF(L1452=1,"Medium","Low"))</f>
        <v>Low</v>
      </c>
    </row>
    <row r="1453" customFormat="false" ht="15" hidden="false" customHeight="true" outlineLevel="0" collapsed="false">
      <c r="A1453" s="1" t="str">
        <f aca="false">Transactions!A1453</f>
        <v>TXN501112</v>
      </c>
      <c r="B1453" s="1" t="str">
        <f aca="false">Transactions!B1453</f>
        <v>ACC1048</v>
      </c>
      <c r="C1453" s="1" t="str">
        <f aca="false">Transactions!I1453</f>
        <v>2026-03-29</v>
      </c>
      <c r="D1453" s="1" t="n">
        <f aca="false">Transactions!J1453</f>
        <v>22</v>
      </c>
      <c r="E1453" s="1" t="n">
        <f aca="false">Transactions!D1453</f>
        <v>81.1</v>
      </c>
      <c r="F1453" s="1" t="str">
        <f aca="false">Transactions!H1453</f>
        <v>POS</v>
      </c>
      <c r="G1453" s="1" t="str">
        <f aca="false">Transactions!G1453</f>
        <v>Cash Withdrawal</v>
      </c>
      <c r="H1453" s="1" t="n">
        <f aca="false">IF(COUNTIFS($B$2:$B$1489,B1453,$C$2:$C$1489,C1453,$D$2:$D$1489,D1453)&gt;6,1,0)</f>
        <v>0</v>
      </c>
      <c r="I1453" s="1" t="n">
        <f aca="false">IF(AND(F1453="Wire",E1453&gt;=1000,MOD(E1453,1000)=0),1,0)</f>
        <v>0</v>
      </c>
      <c r="J1453" s="1" t="n">
        <f aca="false">IF(AND(F1453="ATM",E1453&gt;2000,D1453&lt;=4),1,0)</f>
        <v>0</v>
      </c>
      <c r="K1453" s="1" t="n">
        <f aca="false">IF(COUNTIF('SQL Findings'!$A$4:$A$18,B1453)&gt;0,1,0)</f>
        <v>0</v>
      </c>
      <c r="L1453" s="1" t="n">
        <f aca="false">SUM(H1453:K1453)</f>
        <v>0</v>
      </c>
      <c r="M1453" s="1" t="str">
        <f aca="false">IF(L1453&gt;=2,"High",IF(L1453=1,"Medium","Low"))</f>
        <v>Low</v>
      </c>
    </row>
    <row r="1454" customFormat="false" ht="15" hidden="false" customHeight="true" outlineLevel="0" collapsed="false">
      <c r="A1454" s="1" t="str">
        <f aca="false">Transactions!A1454</f>
        <v>TXN500797</v>
      </c>
      <c r="B1454" s="1" t="str">
        <f aca="false">Transactions!B1454</f>
        <v>ACC1034</v>
      </c>
      <c r="C1454" s="1" t="str">
        <f aca="false">Transactions!I1454</f>
        <v>2026-03-30</v>
      </c>
      <c r="D1454" s="1" t="n">
        <f aca="false">Transactions!J1454</f>
        <v>4</v>
      </c>
      <c r="E1454" s="1" t="n">
        <f aca="false">Transactions!D1454</f>
        <v>64.35</v>
      </c>
      <c r="F1454" s="1" t="str">
        <f aca="false">Transactions!H1454</f>
        <v>POS</v>
      </c>
      <c r="G1454" s="1" t="str">
        <f aca="false">Transactions!G1454</f>
        <v>Wire Transfer</v>
      </c>
      <c r="H1454" s="1" t="n">
        <f aca="false">IF(COUNTIFS($B$2:$B$1489,B1454,$C$2:$C$1489,C1454,$D$2:$D$1489,D1454)&gt;6,1,0)</f>
        <v>0</v>
      </c>
      <c r="I1454" s="1" t="n">
        <f aca="false">IF(AND(F1454="Wire",E1454&gt;=1000,MOD(E1454,1000)=0),1,0)</f>
        <v>0</v>
      </c>
      <c r="J1454" s="1" t="n">
        <f aca="false">IF(AND(F1454="ATM",E1454&gt;2000,D1454&lt;=4),1,0)</f>
        <v>0</v>
      </c>
      <c r="K1454" s="1" t="n">
        <f aca="false">IF(COUNTIF('SQL Findings'!$A$4:$A$18,B1454)&gt;0,1,0)</f>
        <v>0</v>
      </c>
      <c r="L1454" s="1" t="n">
        <f aca="false">SUM(H1454:K1454)</f>
        <v>0</v>
      </c>
      <c r="M1454" s="1" t="str">
        <f aca="false">IF(L1454&gt;=2,"High",IF(L1454=1,"Medium","Low"))</f>
        <v>Low</v>
      </c>
    </row>
    <row r="1455" customFormat="false" ht="15" hidden="false" customHeight="true" outlineLevel="0" collapsed="false">
      <c r="A1455" s="1" t="str">
        <f aca="false">Transactions!A1455</f>
        <v>TXN500639</v>
      </c>
      <c r="B1455" s="1" t="str">
        <f aca="false">Transactions!B1455</f>
        <v>ACC1028</v>
      </c>
      <c r="C1455" s="1" t="str">
        <f aca="false">Transactions!I1455</f>
        <v>2026-03-30</v>
      </c>
      <c r="D1455" s="1" t="n">
        <f aca="false">Transactions!J1455</f>
        <v>6</v>
      </c>
      <c r="E1455" s="1" t="n">
        <f aca="false">Transactions!D1455</f>
        <v>20.89</v>
      </c>
      <c r="F1455" s="1" t="str">
        <f aca="false">Transactions!H1455</f>
        <v>Online</v>
      </c>
      <c r="G1455" s="1" t="str">
        <f aca="false">Transactions!G1455</f>
        <v>Dining</v>
      </c>
      <c r="H1455" s="1" t="n">
        <f aca="false">IF(COUNTIFS($B$2:$B$1489,B1455,$C$2:$C$1489,C1455,$D$2:$D$1489,D1455)&gt;6,1,0)</f>
        <v>0</v>
      </c>
      <c r="I1455" s="1" t="n">
        <f aca="false">IF(AND(F1455="Wire",E1455&gt;=1000,MOD(E1455,1000)=0),1,0)</f>
        <v>0</v>
      </c>
      <c r="J1455" s="1" t="n">
        <f aca="false">IF(AND(F1455="ATM",E1455&gt;2000,D1455&lt;=4),1,0)</f>
        <v>0</v>
      </c>
      <c r="K1455" s="1" t="n">
        <f aca="false">IF(COUNTIF('SQL Findings'!$A$4:$A$18,B1455)&gt;0,1,0)</f>
        <v>0</v>
      </c>
      <c r="L1455" s="1" t="n">
        <f aca="false">SUM(H1455:K1455)</f>
        <v>0</v>
      </c>
      <c r="M1455" s="1" t="str">
        <f aca="false">IF(L1455&gt;=2,"High",IF(L1455=1,"Medium","Low"))</f>
        <v>Low</v>
      </c>
    </row>
    <row r="1456" customFormat="false" ht="15" hidden="false" customHeight="true" outlineLevel="0" collapsed="false">
      <c r="A1456" s="1" t="str">
        <f aca="false">Transactions!A1456</f>
        <v>TXN500026</v>
      </c>
      <c r="B1456" s="1" t="str">
        <f aca="false">Transactions!B1456</f>
        <v>ACC1001</v>
      </c>
      <c r="C1456" s="1" t="str">
        <f aca="false">Transactions!I1456</f>
        <v>2026-03-30</v>
      </c>
      <c r="D1456" s="1" t="n">
        <f aca="false">Transactions!J1456</f>
        <v>7</v>
      </c>
      <c r="E1456" s="1" t="n">
        <f aca="false">Transactions!D1456</f>
        <v>73.69</v>
      </c>
      <c r="F1456" s="1" t="str">
        <f aca="false">Transactions!H1456</f>
        <v>ATM</v>
      </c>
      <c r="G1456" s="1" t="str">
        <f aca="false">Transactions!G1456</f>
        <v>Wire Transfer</v>
      </c>
      <c r="H1456" s="1" t="n">
        <f aca="false">IF(COUNTIFS($B$2:$B$1489,B1456,$C$2:$C$1489,C1456,$D$2:$D$1489,D1456)&gt;6,1,0)</f>
        <v>0</v>
      </c>
      <c r="I1456" s="1" t="n">
        <f aca="false">IF(AND(F1456="Wire",E1456&gt;=1000,MOD(E1456,1000)=0),1,0)</f>
        <v>0</v>
      </c>
      <c r="J1456" s="1" t="n">
        <f aca="false">IF(AND(F1456="ATM",E1456&gt;2000,D1456&lt;=4),1,0)</f>
        <v>0</v>
      </c>
      <c r="K1456" s="1" t="n">
        <f aca="false">IF(COUNTIF('SQL Findings'!$A$4:$A$18,B1456)&gt;0,1,0)</f>
        <v>1</v>
      </c>
      <c r="L1456" s="1" t="n">
        <f aca="false">SUM(H1456:K1456)</f>
        <v>1</v>
      </c>
      <c r="M1456" s="1" t="str">
        <f aca="false">IF(L1456&gt;=2,"High",IF(L1456=1,"Medium","Low"))</f>
        <v>Medium</v>
      </c>
    </row>
    <row r="1457" customFormat="false" ht="15" hidden="false" customHeight="true" outlineLevel="0" collapsed="false">
      <c r="A1457" s="1" t="str">
        <f aca="false">Transactions!A1457</f>
        <v>TXN500430</v>
      </c>
      <c r="B1457" s="1" t="str">
        <f aca="false">Transactions!B1457</f>
        <v>ACC1019</v>
      </c>
      <c r="C1457" s="1" t="str">
        <f aca="false">Transactions!I1457</f>
        <v>2026-03-30</v>
      </c>
      <c r="D1457" s="1" t="n">
        <f aca="false">Transactions!J1457</f>
        <v>7</v>
      </c>
      <c r="E1457" s="1" t="n">
        <f aca="false">Transactions!D1457</f>
        <v>13.7</v>
      </c>
      <c r="F1457" s="1" t="str">
        <f aca="false">Transactions!H1457</f>
        <v>ATM</v>
      </c>
      <c r="G1457" s="1" t="str">
        <f aca="false">Transactions!G1457</f>
        <v>Online Marketplace</v>
      </c>
      <c r="H1457" s="1" t="n">
        <f aca="false">IF(COUNTIFS($B$2:$B$1489,B1457,$C$2:$C$1489,C1457,$D$2:$D$1489,D1457)&gt;6,1,0)</f>
        <v>0</v>
      </c>
      <c r="I1457" s="1" t="n">
        <f aca="false">IF(AND(F1457="Wire",E1457&gt;=1000,MOD(E1457,1000)=0),1,0)</f>
        <v>0</v>
      </c>
      <c r="J1457" s="1" t="n">
        <f aca="false">IF(AND(F1457="ATM",E1457&gt;2000,D1457&lt;=4),1,0)</f>
        <v>0</v>
      </c>
      <c r="K1457" s="1" t="n">
        <f aca="false">IF(COUNTIF('SQL Findings'!$A$4:$A$18,B1457)&gt;0,1,0)</f>
        <v>0</v>
      </c>
      <c r="L1457" s="1" t="n">
        <f aca="false">SUM(H1457:K1457)</f>
        <v>0</v>
      </c>
      <c r="M1457" s="1" t="str">
        <f aca="false">IF(L1457&gt;=2,"High",IF(L1457=1,"Medium","Low"))</f>
        <v>Low</v>
      </c>
    </row>
    <row r="1458" customFormat="false" ht="15" hidden="false" customHeight="true" outlineLevel="0" collapsed="false">
      <c r="A1458" s="1" t="str">
        <f aca="false">Transactions!A1458</f>
        <v>TXN500464</v>
      </c>
      <c r="B1458" s="1" t="str">
        <f aca="false">Transactions!B1458</f>
        <v>ACC1021</v>
      </c>
      <c r="C1458" s="1" t="str">
        <f aca="false">Transactions!I1458</f>
        <v>2026-03-30</v>
      </c>
      <c r="D1458" s="1" t="n">
        <f aca="false">Transactions!J1458</f>
        <v>7</v>
      </c>
      <c r="E1458" s="1" t="n">
        <f aca="false">Transactions!D1458</f>
        <v>80.85</v>
      </c>
      <c r="F1458" s="1" t="str">
        <f aca="false">Transactions!H1458</f>
        <v>Online</v>
      </c>
      <c r="G1458" s="1" t="str">
        <f aca="false">Transactions!G1458</f>
        <v>Electronics</v>
      </c>
      <c r="H1458" s="1" t="n">
        <f aca="false">IF(COUNTIFS($B$2:$B$1489,B1458,$C$2:$C$1489,C1458,$D$2:$D$1489,D1458)&gt;6,1,0)</f>
        <v>0</v>
      </c>
      <c r="I1458" s="1" t="n">
        <f aca="false">IF(AND(F1458="Wire",E1458&gt;=1000,MOD(E1458,1000)=0),1,0)</f>
        <v>0</v>
      </c>
      <c r="J1458" s="1" t="n">
        <f aca="false">IF(AND(F1458="ATM",E1458&gt;2000,D1458&lt;=4),1,0)</f>
        <v>0</v>
      </c>
      <c r="K1458" s="1" t="n">
        <f aca="false">IF(COUNTIF('SQL Findings'!$A$4:$A$18,B1458)&gt;0,1,0)</f>
        <v>0</v>
      </c>
      <c r="L1458" s="1" t="n">
        <f aca="false">SUM(H1458:K1458)</f>
        <v>0</v>
      </c>
      <c r="M1458" s="1" t="str">
        <f aca="false">IF(L1458&gt;=2,"High",IF(L1458=1,"Medium","Low"))</f>
        <v>Low</v>
      </c>
    </row>
    <row r="1459" customFormat="false" ht="15" hidden="false" customHeight="true" outlineLevel="0" collapsed="false">
      <c r="A1459" s="1" t="str">
        <f aca="false">Transactions!A1459</f>
        <v>TXN500737</v>
      </c>
      <c r="B1459" s="1" t="str">
        <f aca="false">Transactions!B1459</f>
        <v>ACC1031</v>
      </c>
      <c r="C1459" s="1" t="str">
        <f aca="false">Transactions!I1459</f>
        <v>2026-03-30</v>
      </c>
      <c r="D1459" s="1" t="n">
        <f aca="false">Transactions!J1459</f>
        <v>8</v>
      </c>
      <c r="E1459" s="1" t="n">
        <f aca="false">Transactions!D1459</f>
        <v>83.97</v>
      </c>
      <c r="F1459" s="1" t="str">
        <f aca="false">Transactions!H1459</f>
        <v>ATM</v>
      </c>
      <c r="G1459" s="1" t="str">
        <f aca="false">Transactions!G1459</f>
        <v>Retail</v>
      </c>
      <c r="H1459" s="1" t="n">
        <f aca="false">IF(COUNTIFS($B$2:$B$1489,B1459,$C$2:$C$1489,C1459,$D$2:$D$1489,D1459)&gt;6,1,0)</f>
        <v>0</v>
      </c>
      <c r="I1459" s="1" t="n">
        <f aca="false">IF(AND(F1459="Wire",E1459&gt;=1000,MOD(E1459,1000)=0),1,0)</f>
        <v>0</v>
      </c>
      <c r="J1459" s="1" t="n">
        <f aca="false">IF(AND(F1459="ATM",E1459&gt;2000,D1459&lt;=4),1,0)</f>
        <v>0</v>
      </c>
      <c r="K1459" s="1" t="n">
        <f aca="false">IF(COUNTIF('SQL Findings'!$A$4:$A$18,B1459)&gt;0,1,0)</f>
        <v>0</v>
      </c>
      <c r="L1459" s="1" t="n">
        <f aca="false">SUM(H1459:K1459)</f>
        <v>0</v>
      </c>
      <c r="M1459" s="1" t="str">
        <f aca="false">IF(L1459&gt;=2,"High",IF(L1459=1,"Medium","Low"))</f>
        <v>Low</v>
      </c>
    </row>
    <row r="1460" customFormat="false" ht="15" hidden="false" customHeight="true" outlineLevel="0" collapsed="false">
      <c r="A1460" s="1" t="str">
        <f aca="false">Transactions!A1460</f>
        <v>TXN500167</v>
      </c>
      <c r="B1460" s="1" t="str">
        <f aca="false">Transactions!B1460</f>
        <v>ACC1007</v>
      </c>
      <c r="C1460" s="1" t="str">
        <f aca="false">Transactions!I1460</f>
        <v>2026-03-30</v>
      </c>
      <c r="D1460" s="1" t="n">
        <f aca="false">Transactions!J1460</f>
        <v>8</v>
      </c>
      <c r="E1460" s="1" t="n">
        <f aca="false">Transactions!D1460</f>
        <v>139.75</v>
      </c>
      <c r="F1460" s="1" t="str">
        <f aca="false">Transactions!H1460</f>
        <v>ATM</v>
      </c>
      <c r="G1460" s="1" t="str">
        <f aca="false">Transactions!G1460</f>
        <v>Utilities</v>
      </c>
      <c r="H1460" s="1" t="n">
        <f aca="false">IF(COUNTIFS($B$2:$B$1489,B1460,$C$2:$C$1489,C1460,$D$2:$D$1489,D1460)&gt;6,1,0)</f>
        <v>0</v>
      </c>
      <c r="I1460" s="1" t="n">
        <f aca="false">IF(AND(F1460="Wire",E1460&gt;=1000,MOD(E1460,1000)=0),1,0)</f>
        <v>0</v>
      </c>
      <c r="J1460" s="1" t="n">
        <f aca="false">IF(AND(F1460="ATM",E1460&gt;2000,D1460&lt;=4),1,0)</f>
        <v>0</v>
      </c>
      <c r="K1460" s="1" t="n">
        <f aca="false">IF(COUNTIF('SQL Findings'!$A$4:$A$18,B1460)&gt;0,1,0)</f>
        <v>0</v>
      </c>
      <c r="L1460" s="1" t="n">
        <f aca="false">SUM(H1460:K1460)</f>
        <v>0</v>
      </c>
      <c r="M1460" s="1" t="str">
        <f aca="false">IF(L1460&gt;=2,"High",IF(L1460=1,"Medium","Low"))</f>
        <v>Low</v>
      </c>
    </row>
    <row r="1461" customFormat="false" ht="15" hidden="false" customHeight="true" outlineLevel="0" collapsed="false">
      <c r="A1461" s="1" t="str">
        <f aca="false">Transactions!A1461</f>
        <v>TXN500201</v>
      </c>
      <c r="B1461" s="1" t="str">
        <f aca="false">Transactions!B1461</f>
        <v>ACC1008</v>
      </c>
      <c r="C1461" s="1" t="str">
        <f aca="false">Transactions!I1461</f>
        <v>2026-03-30</v>
      </c>
      <c r="D1461" s="1" t="n">
        <f aca="false">Transactions!J1461</f>
        <v>10</v>
      </c>
      <c r="E1461" s="1" t="n">
        <f aca="false">Transactions!D1461</f>
        <v>92.02</v>
      </c>
      <c r="F1461" s="1" t="str">
        <f aca="false">Transactions!H1461</f>
        <v>ATM</v>
      </c>
      <c r="G1461" s="1" t="str">
        <f aca="false">Transactions!G1461</f>
        <v>Cash Withdrawal</v>
      </c>
      <c r="H1461" s="1" t="n">
        <f aca="false">IF(COUNTIFS($B$2:$B$1489,B1461,$C$2:$C$1489,C1461,$D$2:$D$1489,D1461)&gt;6,1,0)</f>
        <v>0</v>
      </c>
      <c r="I1461" s="1" t="n">
        <f aca="false">IF(AND(F1461="Wire",E1461&gt;=1000,MOD(E1461,1000)=0),1,0)</f>
        <v>0</v>
      </c>
      <c r="J1461" s="1" t="n">
        <f aca="false">IF(AND(F1461="ATM",E1461&gt;2000,D1461&lt;=4),1,0)</f>
        <v>0</v>
      </c>
      <c r="K1461" s="1" t="n">
        <f aca="false">IF(COUNTIF('SQL Findings'!$A$4:$A$18,B1461)&gt;0,1,0)</f>
        <v>0</v>
      </c>
      <c r="L1461" s="1" t="n">
        <f aca="false">SUM(H1461:K1461)</f>
        <v>0</v>
      </c>
      <c r="M1461" s="1" t="str">
        <f aca="false">IF(L1461&gt;=2,"High",IF(L1461=1,"Medium","Low"))</f>
        <v>Low</v>
      </c>
    </row>
    <row r="1462" customFormat="false" ht="15" hidden="false" customHeight="true" outlineLevel="0" collapsed="false">
      <c r="A1462" s="1" t="str">
        <f aca="false">Transactions!A1462</f>
        <v>TXN500005</v>
      </c>
      <c r="B1462" s="1" t="str">
        <f aca="false">Transactions!B1462</f>
        <v>ACC1000</v>
      </c>
      <c r="C1462" s="1" t="str">
        <f aca="false">Transactions!I1462</f>
        <v>2026-03-30</v>
      </c>
      <c r="D1462" s="1" t="n">
        <f aca="false">Transactions!J1462</f>
        <v>12</v>
      </c>
      <c r="E1462" s="1" t="n">
        <f aca="false">Transactions!D1462</f>
        <v>54.02</v>
      </c>
      <c r="F1462" s="1" t="str">
        <f aca="false">Transactions!H1462</f>
        <v>POS</v>
      </c>
      <c r="G1462" s="1" t="str">
        <f aca="false">Transactions!G1462</f>
        <v>Cash Withdrawal</v>
      </c>
      <c r="H1462" s="1" t="n">
        <f aca="false">IF(COUNTIFS($B$2:$B$1489,B1462,$C$2:$C$1489,C1462,$D$2:$D$1489,D1462)&gt;6,1,0)</f>
        <v>0</v>
      </c>
      <c r="I1462" s="1" t="n">
        <f aca="false">IF(AND(F1462="Wire",E1462&gt;=1000,MOD(E1462,1000)=0),1,0)</f>
        <v>0</v>
      </c>
      <c r="J1462" s="1" t="n">
        <f aca="false">IF(AND(F1462="ATM",E1462&gt;2000,D1462&lt;=4),1,0)</f>
        <v>0</v>
      </c>
      <c r="K1462" s="1" t="n">
        <f aca="false">IF(COUNTIF('SQL Findings'!$A$4:$A$18,B1462)&gt;0,1,0)</f>
        <v>1</v>
      </c>
      <c r="L1462" s="1" t="n">
        <f aca="false">SUM(H1462:K1462)</f>
        <v>1</v>
      </c>
      <c r="M1462" s="1" t="str">
        <f aca="false">IF(L1462&gt;=2,"High",IF(L1462=1,"Medium","Low"))</f>
        <v>Medium</v>
      </c>
    </row>
    <row r="1463" customFormat="false" ht="15" hidden="false" customHeight="true" outlineLevel="0" collapsed="false">
      <c r="A1463" s="1" t="str">
        <f aca="false">Transactions!A1463</f>
        <v>TXN501251</v>
      </c>
      <c r="B1463" s="1" t="str">
        <f aca="false">Transactions!B1463</f>
        <v>ACC1055</v>
      </c>
      <c r="C1463" s="1" t="str">
        <f aca="false">Transactions!I1463</f>
        <v>2026-03-30</v>
      </c>
      <c r="D1463" s="1" t="n">
        <f aca="false">Transactions!J1463</f>
        <v>13</v>
      </c>
      <c r="E1463" s="1" t="n">
        <f aca="false">Transactions!D1463</f>
        <v>89.82</v>
      </c>
      <c r="F1463" s="1" t="str">
        <f aca="false">Transactions!H1463</f>
        <v>Online</v>
      </c>
      <c r="G1463" s="1" t="str">
        <f aca="false">Transactions!G1463</f>
        <v>Utilities</v>
      </c>
      <c r="H1463" s="1" t="n">
        <f aca="false">IF(COUNTIFS($B$2:$B$1489,B1463,$C$2:$C$1489,C1463,$D$2:$D$1489,D1463)&gt;6,1,0)</f>
        <v>0</v>
      </c>
      <c r="I1463" s="1" t="n">
        <f aca="false">IF(AND(F1463="Wire",E1463&gt;=1000,MOD(E1463,1000)=0),1,0)</f>
        <v>0</v>
      </c>
      <c r="J1463" s="1" t="n">
        <f aca="false">IF(AND(F1463="ATM",E1463&gt;2000,D1463&lt;=4),1,0)</f>
        <v>0</v>
      </c>
      <c r="K1463" s="1" t="n">
        <f aca="false">IF(COUNTIF('SQL Findings'!$A$4:$A$18,B1463)&gt;0,1,0)</f>
        <v>1</v>
      </c>
      <c r="L1463" s="1" t="n">
        <f aca="false">SUM(H1463:K1463)</f>
        <v>1</v>
      </c>
      <c r="M1463" s="1" t="str">
        <f aca="false">IF(L1463&gt;=2,"High",IF(L1463=1,"Medium","Low"))</f>
        <v>Medium</v>
      </c>
    </row>
    <row r="1464" customFormat="false" ht="15" hidden="false" customHeight="true" outlineLevel="0" collapsed="false">
      <c r="A1464" s="1" t="str">
        <f aca="false">Transactions!A1464</f>
        <v>TXN500844</v>
      </c>
      <c r="B1464" s="1" t="str">
        <f aca="false">Transactions!B1464</f>
        <v>ACC1036</v>
      </c>
      <c r="C1464" s="1" t="str">
        <f aca="false">Transactions!I1464</f>
        <v>2026-03-30</v>
      </c>
      <c r="D1464" s="1" t="n">
        <f aca="false">Transactions!J1464</f>
        <v>14</v>
      </c>
      <c r="E1464" s="1" t="n">
        <f aca="false">Transactions!D1464</f>
        <v>94.08</v>
      </c>
      <c r="F1464" s="1" t="str">
        <f aca="false">Transactions!H1464</f>
        <v>Online</v>
      </c>
      <c r="G1464" s="1" t="str">
        <f aca="false">Transactions!G1464</f>
        <v>Utilities</v>
      </c>
      <c r="H1464" s="1" t="n">
        <f aca="false">IF(COUNTIFS($B$2:$B$1489,B1464,$C$2:$C$1489,C1464,$D$2:$D$1489,D1464)&gt;6,1,0)</f>
        <v>0</v>
      </c>
      <c r="I1464" s="1" t="n">
        <f aca="false">IF(AND(F1464="Wire",E1464&gt;=1000,MOD(E1464,1000)=0),1,0)</f>
        <v>0</v>
      </c>
      <c r="J1464" s="1" t="n">
        <f aca="false">IF(AND(F1464="ATM",E1464&gt;2000,D1464&lt;=4),1,0)</f>
        <v>0</v>
      </c>
      <c r="K1464" s="1" t="n">
        <f aca="false">IF(COUNTIF('SQL Findings'!$A$4:$A$18,B1464)&gt;0,1,0)</f>
        <v>0</v>
      </c>
      <c r="L1464" s="1" t="n">
        <f aca="false">SUM(H1464:K1464)</f>
        <v>0</v>
      </c>
      <c r="M1464" s="1" t="str">
        <f aca="false">IF(L1464&gt;=2,"High",IF(L1464=1,"Medium","Low"))</f>
        <v>Low</v>
      </c>
    </row>
    <row r="1465" customFormat="false" ht="15" hidden="false" customHeight="true" outlineLevel="0" collapsed="false">
      <c r="A1465" s="1" t="str">
        <f aca="false">Transactions!A1465</f>
        <v>TXN500566</v>
      </c>
      <c r="B1465" s="1" t="str">
        <f aca="false">Transactions!B1465</f>
        <v>ACC1025</v>
      </c>
      <c r="C1465" s="1" t="str">
        <f aca="false">Transactions!I1465</f>
        <v>2026-03-30</v>
      </c>
      <c r="D1465" s="1" t="n">
        <f aca="false">Transactions!J1465</f>
        <v>14</v>
      </c>
      <c r="E1465" s="1" t="n">
        <f aca="false">Transactions!D1465</f>
        <v>46.19</v>
      </c>
      <c r="F1465" s="1" t="str">
        <f aca="false">Transactions!H1465</f>
        <v>Online</v>
      </c>
      <c r="G1465" s="1" t="str">
        <f aca="false">Transactions!G1465</f>
        <v>Dining</v>
      </c>
      <c r="H1465" s="1" t="n">
        <f aca="false">IF(COUNTIFS($B$2:$B$1489,B1465,$C$2:$C$1489,C1465,$D$2:$D$1489,D1465)&gt;6,1,0)</f>
        <v>0</v>
      </c>
      <c r="I1465" s="1" t="n">
        <f aca="false">IF(AND(F1465="Wire",E1465&gt;=1000,MOD(E1465,1000)=0),1,0)</f>
        <v>0</v>
      </c>
      <c r="J1465" s="1" t="n">
        <f aca="false">IF(AND(F1465="ATM",E1465&gt;2000,D1465&lt;=4),1,0)</f>
        <v>0</v>
      </c>
      <c r="K1465" s="1" t="n">
        <f aca="false">IF(COUNTIF('SQL Findings'!$A$4:$A$18,B1465)&gt;0,1,0)</f>
        <v>0</v>
      </c>
      <c r="L1465" s="1" t="n">
        <f aca="false">SUM(H1465:K1465)</f>
        <v>0</v>
      </c>
      <c r="M1465" s="1" t="str">
        <f aca="false">IF(L1465&gt;=2,"High",IF(L1465=1,"Medium","Low"))</f>
        <v>Low</v>
      </c>
    </row>
    <row r="1466" customFormat="false" ht="15" hidden="false" customHeight="true" outlineLevel="0" collapsed="false">
      <c r="A1466" s="1" t="str">
        <f aca="false">Transactions!A1466</f>
        <v>TXN500425</v>
      </c>
      <c r="B1466" s="1" t="str">
        <f aca="false">Transactions!B1466</f>
        <v>ACC1018</v>
      </c>
      <c r="C1466" s="1" t="str">
        <f aca="false">Transactions!I1466</f>
        <v>2026-03-30</v>
      </c>
      <c r="D1466" s="1" t="n">
        <f aca="false">Transactions!J1466</f>
        <v>14</v>
      </c>
      <c r="E1466" s="1" t="n">
        <f aca="false">Transactions!D1466</f>
        <v>119.2</v>
      </c>
      <c r="F1466" s="1" t="str">
        <f aca="false">Transactions!H1466</f>
        <v>Online</v>
      </c>
      <c r="G1466" s="1" t="str">
        <f aca="false">Transactions!G1466</f>
        <v>Online Marketplace</v>
      </c>
      <c r="H1466" s="1" t="n">
        <f aca="false">IF(COUNTIFS($B$2:$B$1489,B1466,$C$2:$C$1489,C1466,$D$2:$D$1489,D1466)&gt;6,1,0)</f>
        <v>0</v>
      </c>
      <c r="I1466" s="1" t="n">
        <f aca="false">IF(AND(F1466="Wire",E1466&gt;=1000,MOD(E1466,1000)=0),1,0)</f>
        <v>0</v>
      </c>
      <c r="J1466" s="1" t="n">
        <f aca="false">IF(AND(F1466="ATM",E1466&gt;2000,D1466&lt;=4),1,0)</f>
        <v>0</v>
      </c>
      <c r="K1466" s="1" t="n">
        <f aca="false">IF(COUNTIF('SQL Findings'!$A$4:$A$18,B1466)&gt;0,1,0)</f>
        <v>0</v>
      </c>
      <c r="L1466" s="1" t="n">
        <f aca="false">SUM(H1466:K1466)</f>
        <v>0</v>
      </c>
      <c r="M1466" s="1" t="str">
        <f aca="false">IF(L1466&gt;=2,"High",IF(L1466=1,"Medium","Low"))</f>
        <v>Low</v>
      </c>
    </row>
    <row r="1467" customFormat="false" ht="15" hidden="false" customHeight="true" outlineLevel="0" collapsed="false">
      <c r="A1467" s="1" t="str">
        <f aca="false">Transactions!A1467</f>
        <v>TXN500832</v>
      </c>
      <c r="B1467" s="1" t="str">
        <f aca="false">Transactions!B1467</f>
        <v>ACC1035</v>
      </c>
      <c r="C1467" s="1" t="str">
        <f aca="false">Transactions!I1467</f>
        <v>2026-03-30</v>
      </c>
      <c r="D1467" s="1" t="n">
        <f aca="false">Transactions!J1467</f>
        <v>18</v>
      </c>
      <c r="E1467" s="1" t="n">
        <f aca="false">Transactions!D1467</f>
        <v>29.17</v>
      </c>
      <c r="F1467" s="1" t="str">
        <f aca="false">Transactions!H1467</f>
        <v>POS</v>
      </c>
      <c r="G1467" s="1" t="str">
        <f aca="false">Transactions!G1467</f>
        <v>Travel</v>
      </c>
      <c r="H1467" s="1" t="n">
        <f aca="false">IF(COUNTIFS($B$2:$B$1489,B1467,$C$2:$C$1489,C1467,$D$2:$D$1489,D1467)&gt;6,1,0)</f>
        <v>0</v>
      </c>
      <c r="I1467" s="1" t="n">
        <f aca="false">IF(AND(F1467="Wire",E1467&gt;=1000,MOD(E1467,1000)=0),1,0)</f>
        <v>0</v>
      </c>
      <c r="J1467" s="1" t="n">
        <f aca="false">IF(AND(F1467="ATM",E1467&gt;2000,D1467&lt;=4),1,0)</f>
        <v>0</v>
      </c>
      <c r="K1467" s="1" t="n">
        <f aca="false">IF(COUNTIF('SQL Findings'!$A$4:$A$18,B1467)&gt;0,1,0)</f>
        <v>0</v>
      </c>
      <c r="L1467" s="1" t="n">
        <f aca="false">SUM(H1467:K1467)</f>
        <v>0</v>
      </c>
      <c r="M1467" s="1" t="str">
        <f aca="false">IF(L1467&gt;=2,"High",IF(L1467=1,"Medium","Low"))</f>
        <v>Low</v>
      </c>
    </row>
    <row r="1468" customFormat="false" ht="15" hidden="false" customHeight="true" outlineLevel="0" collapsed="false">
      <c r="A1468" s="1" t="str">
        <f aca="false">Transactions!A1468</f>
        <v>TXN500685</v>
      </c>
      <c r="B1468" s="1" t="str">
        <f aca="false">Transactions!B1468</f>
        <v>ACC1029</v>
      </c>
      <c r="C1468" s="1" t="str">
        <f aca="false">Transactions!I1468</f>
        <v>2026-03-30</v>
      </c>
      <c r="D1468" s="1" t="n">
        <f aca="false">Transactions!J1468</f>
        <v>18</v>
      </c>
      <c r="E1468" s="1" t="n">
        <f aca="false">Transactions!D1468</f>
        <v>22.2</v>
      </c>
      <c r="F1468" s="1" t="str">
        <f aca="false">Transactions!H1468</f>
        <v>ATM</v>
      </c>
      <c r="G1468" s="1" t="str">
        <f aca="false">Transactions!G1468</f>
        <v>Retail</v>
      </c>
      <c r="H1468" s="1" t="n">
        <f aca="false">IF(COUNTIFS($B$2:$B$1489,B1468,$C$2:$C$1489,C1468,$D$2:$D$1489,D1468)&gt;6,1,0)</f>
        <v>0</v>
      </c>
      <c r="I1468" s="1" t="n">
        <f aca="false">IF(AND(F1468="Wire",E1468&gt;=1000,MOD(E1468,1000)=0),1,0)</f>
        <v>0</v>
      </c>
      <c r="J1468" s="1" t="n">
        <f aca="false">IF(AND(F1468="ATM",E1468&gt;2000,D1468&lt;=4),1,0)</f>
        <v>0</v>
      </c>
      <c r="K1468" s="1" t="n">
        <f aca="false">IF(COUNTIF('SQL Findings'!$A$4:$A$18,B1468)&gt;0,1,0)</f>
        <v>0</v>
      </c>
      <c r="L1468" s="1" t="n">
        <f aca="false">SUM(H1468:K1468)</f>
        <v>0</v>
      </c>
      <c r="M1468" s="1" t="str">
        <f aca="false">IF(L1468&gt;=2,"High",IF(L1468=1,"Medium","Low"))</f>
        <v>Low</v>
      </c>
    </row>
    <row r="1469" customFormat="false" ht="15" hidden="false" customHeight="true" outlineLevel="0" collapsed="false">
      <c r="A1469" s="1" t="str">
        <f aca="false">Transactions!A1469</f>
        <v>TXN501369</v>
      </c>
      <c r="B1469" s="1" t="str">
        <f aca="false">Transactions!B1469</f>
        <v>ACC1059</v>
      </c>
      <c r="C1469" s="1" t="str">
        <f aca="false">Transactions!I1469</f>
        <v>2026-03-30</v>
      </c>
      <c r="D1469" s="1" t="n">
        <f aca="false">Transactions!J1469</f>
        <v>19</v>
      </c>
      <c r="E1469" s="1" t="n">
        <f aca="false">Transactions!D1469</f>
        <v>44.75</v>
      </c>
      <c r="F1469" s="1" t="str">
        <f aca="false">Transactions!H1469</f>
        <v>Online</v>
      </c>
      <c r="G1469" s="1" t="str">
        <f aca="false">Transactions!G1469</f>
        <v>Cash Withdrawal</v>
      </c>
      <c r="H1469" s="1" t="n">
        <f aca="false">IF(COUNTIFS($B$2:$B$1489,B1469,$C$2:$C$1489,C1469,$D$2:$D$1489,D1469)&gt;6,1,0)</f>
        <v>0</v>
      </c>
      <c r="I1469" s="1" t="n">
        <f aca="false">IF(AND(F1469="Wire",E1469&gt;=1000,MOD(E1469,1000)=0),1,0)</f>
        <v>0</v>
      </c>
      <c r="J1469" s="1" t="n">
        <f aca="false">IF(AND(F1469="ATM",E1469&gt;2000,D1469&lt;=4),1,0)</f>
        <v>0</v>
      </c>
      <c r="K1469" s="1" t="n">
        <f aca="false">IF(COUNTIF('SQL Findings'!$A$4:$A$18,B1469)&gt;0,1,0)</f>
        <v>0</v>
      </c>
      <c r="L1469" s="1" t="n">
        <f aca="false">SUM(H1469:K1469)</f>
        <v>0</v>
      </c>
      <c r="M1469" s="1" t="str">
        <f aca="false">IF(L1469&gt;=2,"High",IF(L1469=1,"Medium","Low"))</f>
        <v>Low</v>
      </c>
    </row>
    <row r="1470" customFormat="false" ht="15" hidden="false" customHeight="true" outlineLevel="0" collapsed="false">
      <c r="A1470" s="1" t="str">
        <f aca="false">Transactions!A1470</f>
        <v>TXN500259</v>
      </c>
      <c r="B1470" s="1" t="str">
        <f aca="false">Transactions!B1470</f>
        <v>ACC1011</v>
      </c>
      <c r="C1470" s="1" t="str">
        <f aca="false">Transactions!I1470</f>
        <v>2026-03-31</v>
      </c>
      <c r="D1470" s="1" t="n">
        <f aca="false">Transactions!J1470</f>
        <v>5</v>
      </c>
      <c r="E1470" s="1" t="n">
        <f aca="false">Transactions!D1470</f>
        <v>99.43</v>
      </c>
      <c r="F1470" s="1" t="str">
        <f aca="false">Transactions!H1470</f>
        <v>Online</v>
      </c>
      <c r="G1470" s="1" t="str">
        <f aca="false">Transactions!G1470</f>
        <v>Dining</v>
      </c>
      <c r="H1470" s="1" t="n">
        <f aca="false">IF(COUNTIFS($B$2:$B$1489,B1470,$C$2:$C$1489,C1470,$D$2:$D$1489,D1470)&gt;6,1,0)</f>
        <v>0</v>
      </c>
      <c r="I1470" s="1" t="n">
        <f aca="false">IF(AND(F1470="Wire",E1470&gt;=1000,MOD(E1470,1000)=0),1,0)</f>
        <v>0</v>
      </c>
      <c r="J1470" s="1" t="n">
        <f aca="false">IF(AND(F1470="ATM",E1470&gt;2000,D1470&lt;=4),1,0)</f>
        <v>0</v>
      </c>
      <c r="K1470" s="1" t="n">
        <f aca="false">IF(COUNTIF('SQL Findings'!$A$4:$A$18,B1470)&gt;0,1,0)</f>
        <v>0</v>
      </c>
      <c r="L1470" s="1" t="n">
        <f aca="false">SUM(H1470:K1470)</f>
        <v>0</v>
      </c>
      <c r="M1470" s="1" t="str">
        <f aca="false">IF(L1470&gt;=2,"High",IF(L1470=1,"Medium","Low"))</f>
        <v>Low</v>
      </c>
    </row>
    <row r="1471" customFormat="false" ht="15" hidden="false" customHeight="true" outlineLevel="0" collapsed="false">
      <c r="A1471" s="1" t="str">
        <f aca="false">Transactions!A1471</f>
        <v>TXN501367</v>
      </c>
      <c r="B1471" s="1" t="str">
        <f aca="false">Transactions!B1471</f>
        <v>ACC1059</v>
      </c>
      <c r="C1471" s="1" t="str">
        <f aca="false">Transactions!I1471</f>
        <v>2026-03-31</v>
      </c>
      <c r="D1471" s="1" t="n">
        <f aca="false">Transactions!J1471</f>
        <v>6</v>
      </c>
      <c r="E1471" s="1" t="n">
        <f aca="false">Transactions!D1471</f>
        <v>65.07</v>
      </c>
      <c r="F1471" s="1" t="str">
        <f aca="false">Transactions!H1471</f>
        <v>ATM</v>
      </c>
      <c r="G1471" s="1" t="str">
        <f aca="false">Transactions!G1471</f>
        <v>Online Marketplace</v>
      </c>
      <c r="H1471" s="1" t="n">
        <f aca="false">IF(COUNTIFS($B$2:$B$1489,B1471,$C$2:$C$1489,C1471,$D$2:$D$1489,D1471)&gt;6,1,0)</f>
        <v>0</v>
      </c>
      <c r="I1471" s="1" t="n">
        <f aca="false">IF(AND(F1471="Wire",E1471&gt;=1000,MOD(E1471,1000)=0),1,0)</f>
        <v>0</v>
      </c>
      <c r="J1471" s="1" t="n">
        <f aca="false">IF(AND(F1471="ATM",E1471&gt;2000,D1471&lt;=4),1,0)</f>
        <v>0</v>
      </c>
      <c r="K1471" s="1" t="n">
        <f aca="false">IF(COUNTIF('SQL Findings'!$A$4:$A$18,B1471)&gt;0,1,0)</f>
        <v>0</v>
      </c>
      <c r="L1471" s="1" t="n">
        <f aca="false">SUM(H1471:K1471)</f>
        <v>0</v>
      </c>
      <c r="M1471" s="1" t="str">
        <f aca="false">IF(L1471&gt;=2,"High",IF(L1471=1,"Medium","Low"))</f>
        <v>Low</v>
      </c>
    </row>
    <row r="1472" customFormat="false" ht="15" hidden="false" customHeight="true" outlineLevel="0" collapsed="false">
      <c r="A1472" s="1" t="str">
        <f aca="false">Transactions!A1472</f>
        <v>TXN500194</v>
      </c>
      <c r="B1472" s="1" t="str">
        <f aca="false">Transactions!B1472</f>
        <v>ACC1008</v>
      </c>
      <c r="C1472" s="1" t="str">
        <f aca="false">Transactions!I1472</f>
        <v>2026-03-31</v>
      </c>
      <c r="D1472" s="1" t="n">
        <f aca="false">Transactions!J1472</f>
        <v>7</v>
      </c>
      <c r="E1472" s="1" t="n">
        <f aca="false">Transactions!D1472</f>
        <v>21.73</v>
      </c>
      <c r="F1472" s="1" t="str">
        <f aca="false">Transactions!H1472</f>
        <v>Online</v>
      </c>
      <c r="G1472" s="1" t="str">
        <f aca="false">Transactions!G1472</f>
        <v>Dining</v>
      </c>
      <c r="H1472" s="1" t="n">
        <f aca="false">IF(COUNTIFS($B$2:$B$1489,B1472,$C$2:$C$1489,C1472,$D$2:$D$1489,D1472)&gt;6,1,0)</f>
        <v>0</v>
      </c>
      <c r="I1472" s="1" t="n">
        <f aca="false">IF(AND(F1472="Wire",E1472&gt;=1000,MOD(E1472,1000)=0),1,0)</f>
        <v>0</v>
      </c>
      <c r="J1472" s="1" t="n">
        <f aca="false">IF(AND(F1472="ATM",E1472&gt;2000,D1472&lt;=4),1,0)</f>
        <v>0</v>
      </c>
      <c r="K1472" s="1" t="n">
        <f aca="false">IF(COUNTIF('SQL Findings'!$A$4:$A$18,B1472)&gt;0,1,0)</f>
        <v>0</v>
      </c>
      <c r="L1472" s="1" t="n">
        <f aca="false">SUM(H1472:K1472)</f>
        <v>0</v>
      </c>
      <c r="M1472" s="1" t="str">
        <f aca="false">IF(L1472&gt;=2,"High",IF(L1472=1,"Medium","Low"))</f>
        <v>Low</v>
      </c>
    </row>
    <row r="1473" customFormat="false" ht="15" hidden="false" customHeight="true" outlineLevel="0" collapsed="false">
      <c r="A1473" s="1" t="str">
        <f aca="false">Transactions!A1473</f>
        <v>TXN500122</v>
      </c>
      <c r="B1473" s="1" t="str">
        <f aca="false">Transactions!B1473</f>
        <v>ACC1005</v>
      </c>
      <c r="C1473" s="1" t="str">
        <f aca="false">Transactions!I1473</f>
        <v>2026-03-31</v>
      </c>
      <c r="D1473" s="1" t="n">
        <f aca="false">Transactions!J1473</f>
        <v>8</v>
      </c>
      <c r="E1473" s="1" t="n">
        <f aca="false">Transactions!D1473</f>
        <v>29.42</v>
      </c>
      <c r="F1473" s="1" t="str">
        <f aca="false">Transactions!H1473</f>
        <v>ATM</v>
      </c>
      <c r="G1473" s="1" t="str">
        <f aca="false">Transactions!G1473</f>
        <v>Travel</v>
      </c>
      <c r="H1473" s="1" t="n">
        <f aca="false">IF(COUNTIFS($B$2:$B$1489,B1473,$C$2:$C$1489,C1473,$D$2:$D$1489,D1473)&gt;6,1,0)</f>
        <v>0</v>
      </c>
      <c r="I1473" s="1" t="n">
        <f aca="false">IF(AND(F1473="Wire",E1473&gt;=1000,MOD(E1473,1000)=0),1,0)</f>
        <v>0</v>
      </c>
      <c r="J1473" s="1" t="n">
        <f aca="false">IF(AND(F1473="ATM",E1473&gt;2000,D1473&lt;=4),1,0)</f>
        <v>0</v>
      </c>
      <c r="K1473" s="1" t="n">
        <f aca="false">IF(COUNTIF('SQL Findings'!$A$4:$A$18,B1473)&gt;0,1,0)</f>
        <v>0</v>
      </c>
      <c r="L1473" s="1" t="n">
        <f aca="false">SUM(H1473:K1473)</f>
        <v>0</v>
      </c>
      <c r="M1473" s="1" t="str">
        <f aca="false">IF(L1473&gt;=2,"High",IF(L1473=1,"Medium","Low"))</f>
        <v>Low</v>
      </c>
    </row>
    <row r="1474" customFormat="false" ht="15" hidden="false" customHeight="true" outlineLevel="0" collapsed="false">
      <c r="A1474" s="1" t="str">
        <f aca="false">Transactions!A1474</f>
        <v>TXN500725</v>
      </c>
      <c r="B1474" s="1" t="str">
        <f aca="false">Transactions!B1474</f>
        <v>ACC1031</v>
      </c>
      <c r="C1474" s="1" t="str">
        <f aca="false">Transactions!I1474</f>
        <v>2026-03-31</v>
      </c>
      <c r="D1474" s="1" t="n">
        <f aca="false">Transactions!J1474</f>
        <v>9</v>
      </c>
      <c r="E1474" s="1" t="n">
        <f aca="false">Transactions!D1474</f>
        <v>77.77</v>
      </c>
      <c r="F1474" s="1" t="str">
        <f aca="false">Transactions!H1474</f>
        <v>ATM</v>
      </c>
      <c r="G1474" s="1" t="str">
        <f aca="false">Transactions!G1474</f>
        <v>Travel</v>
      </c>
      <c r="H1474" s="1" t="n">
        <f aca="false">IF(COUNTIFS($B$2:$B$1489,B1474,$C$2:$C$1489,C1474,$D$2:$D$1489,D1474)&gt;6,1,0)</f>
        <v>0</v>
      </c>
      <c r="I1474" s="1" t="n">
        <f aca="false">IF(AND(F1474="Wire",E1474&gt;=1000,MOD(E1474,1000)=0),1,0)</f>
        <v>0</v>
      </c>
      <c r="J1474" s="1" t="n">
        <f aca="false">IF(AND(F1474="ATM",E1474&gt;2000,D1474&lt;=4),1,0)</f>
        <v>0</v>
      </c>
      <c r="K1474" s="1" t="n">
        <f aca="false">IF(COUNTIF('SQL Findings'!$A$4:$A$18,B1474)&gt;0,1,0)</f>
        <v>0</v>
      </c>
      <c r="L1474" s="1" t="n">
        <f aca="false">SUM(H1474:K1474)</f>
        <v>0</v>
      </c>
      <c r="M1474" s="1" t="str">
        <f aca="false">IF(L1474&gt;=2,"High",IF(L1474=1,"Medium","Low"))</f>
        <v>Low</v>
      </c>
    </row>
    <row r="1475" customFormat="false" ht="15" hidden="false" customHeight="true" outlineLevel="0" collapsed="false">
      <c r="A1475" s="1" t="str">
        <f aca="false">Transactions!A1475</f>
        <v>TXN500724</v>
      </c>
      <c r="B1475" s="1" t="str">
        <f aca="false">Transactions!B1475</f>
        <v>ACC1031</v>
      </c>
      <c r="C1475" s="1" t="str">
        <f aca="false">Transactions!I1475</f>
        <v>2026-03-31</v>
      </c>
      <c r="D1475" s="1" t="n">
        <f aca="false">Transactions!J1475</f>
        <v>9</v>
      </c>
      <c r="E1475" s="1" t="n">
        <f aca="false">Transactions!D1475</f>
        <v>130.18</v>
      </c>
      <c r="F1475" s="1" t="str">
        <f aca="false">Transactions!H1475</f>
        <v>ATM</v>
      </c>
      <c r="G1475" s="1" t="str">
        <f aca="false">Transactions!G1475</f>
        <v>Retail</v>
      </c>
      <c r="H1475" s="1" t="n">
        <f aca="false">IF(COUNTIFS($B$2:$B$1489,B1475,$C$2:$C$1489,C1475,$D$2:$D$1489,D1475)&gt;6,1,0)</f>
        <v>0</v>
      </c>
      <c r="I1475" s="1" t="n">
        <f aca="false">IF(AND(F1475="Wire",E1475&gt;=1000,MOD(E1475,1000)=0),1,0)</f>
        <v>0</v>
      </c>
      <c r="J1475" s="1" t="n">
        <f aca="false">IF(AND(F1475="ATM",E1475&gt;2000,D1475&lt;=4),1,0)</f>
        <v>0</v>
      </c>
      <c r="K1475" s="1" t="n">
        <f aca="false">IF(COUNTIF('SQL Findings'!$A$4:$A$18,B1475)&gt;0,1,0)</f>
        <v>0</v>
      </c>
      <c r="L1475" s="1" t="n">
        <f aca="false">SUM(H1475:K1475)</f>
        <v>0</v>
      </c>
      <c r="M1475" s="1" t="str">
        <f aca="false">IF(L1475&gt;=2,"High",IF(L1475=1,"Medium","Low"))</f>
        <v>Low</v>
      </c>
    </row>
    <row r="1476" customFormat="false" ht="15" hidden="false" customHeight="true" outlineLevel="0" collapsed="false">
      <c r="A1476" s="1" t="str">
        <f aca="false">Transactions!A1476</f>
        <v>TXN500095</v>
      </c>
      <c r="B1476" s="1" t="str">
        <f aca="false">Transactions!B1476</f>
        <v>ACC1004</v>
      </c>
      <c r="C1476" s="1" t="str">
        <f aca="false">Transactions!I1476</f>
        <v>2026-03-31</v>
      </c>
      <c r="D1476" s="1" t="n">
        <f aca="false">Transactions!J1476</f>
        <v>10</v>
      </c>
      <c r="E1476" s="1" t="n">
        <f aca="false">Transactions!D1476</f>
        <v>46.86</v>
      </c>
      <c r="F1476" s="1" t="str">
        <f aca="false">Transactions!H1476</f>
        <v>POS</v>
      </c>
      <c r="G1476" s="1" t="str">
        <f aca="false">Transactions!G1476</f>
        <v>Dining</v>
      </c>
      <c r="H1476" s="1" t="n">
        <f aca="false">IF(COUNTIFS($B$2:$B$1489,B1476,$C$2:$C$1489,C1476,$D$2:$D$1489,D1476)&gt;6,1,0)</f>
        <v>0</v>
      </c>
      <c r="I1476" s="1" t="n">
        <f aca="false">IF(AND(F1476="Wire",E1476&gt;=1000,MOD(E1476,1000)=0),1,0)</f>
        <v>0</v>
      </c>
      <c r="J1476" s="1" t="n">
        <f aca="false">IF(AND(F1476="ATM",E1476&gt;2000,D1476&lt;=4),1,0)</f>
        <v>0</v>
      </c>
      <c r="K1476" s="1" t="n">
        <f aca="false">IF(COUNTIF('SQL Findings'!$A$4:$A$18,B1476)&gt;0,1,0)</f>
        <v>1</v>
      </c>
      <c r="L1476" s="1" t="n">
        <f aca="false">SUM(H1476:K1476)</f>
        <v>1</v>
      </c>
      <c r="M1476" s="1" t="str">
        <f aca="false">IF(L1476&gt;=2,"High",IF(L1476=1,"Medium","Low"))</f>
        <v>Medium</v>
      </c>
    </row>
    <row r="1477" customFormat="false" ht="15" hidden="false" customHeight="true" outlineLevel="0" collapsed="false">
      <c r="A1477" s="1" t="str">
        <f aca="false">Transactions!A1477</f>
        <v>TXN500659</v>
      </c>
      <c r="B1477" s="1" t="str">
        <f aca="false">Transactions!B1477</f>
        <v>ACC1028</v>
      </c>
      <c r="C1477" s="1" t="str">
        <f aca="false">Transactions!I1477</f>
        <v>2026-03-31</v>
      </c>
      <c r="D1477" s="1" t="n">
        <f aca="false">Transactions!J1477</f>
        <v>10</v>
      </c>
      <c r="E1477" s="1" t="n">
        <f aca="false">Transactions!D1477</f>
        <v>79.7</v>
      </c>
      <c r="F1477" s="1" t="str">
        <f aca="false">Transactions!H1477</f>
        <v>Online</v>
      </c>
      <c r="G1477" s="1" t="str">
        <f aca="false">Transactions!G1477</f>
        <v>Travel</v>
      </c>
      <c r="H1477" s="1" t="n">
        <f aca="false">IF(COUNTIFS($B$2:$B$1489,B1477,$C$2:$C$1489,C1477,$D$2:$D$1489,D1477)&gt;6,1,0)</f>
        <v>0</v>
      </c>
      <c r="I1477" s="1" t="n">
        <f aca="false">IF(AND(F1477="Wire",E1477&gt;=1000,MOD(E1477,1000)=0),1,0)</f>
        <v>0</v>
      </c>
      <c r="J1477" s="1" t="n">
        <f aca="false">IF(AND(F1477="ATM",E1477&gt;2000,D1477&lt;=4),1,0)</f>
        <v>0</v>
      </c>
      <c r="K1477" s="1" t="n">
        <f aca="false">IF(COUNTIF('SQL Findings'!$A$4:$A$18,B1477)&gt;0,1,0)</f>
        <v>0</v>
      </c>
      <c r="L1477" s="1" t="n">
        <f aca="false">SUM(H1477:K1477)</f>
        <v>0</v>
      </c>
      <c r="M1477" s="1" t="str">
        <f aca="false">IF(L1477&gt;=2,"High",IF(L1477=1,"Medium","Low"))</f>
        <v>Low</v>
      </c>
    </row>
    <row r="1478" customFormat="false" ht="15" hidden="false" customHeight="true" outlineLevel="0" collapsed="false">
      <c r="A1478" s="1" t="str">
        <f aca="false">Transactions!A1478</f>
        <v>TXN500662</v>
      </c>
      <c r="B1478" s="1" t="str">
        <f aca="false">Transactions!B1478</f>
        <v>ACC1028</v>
      </c>
      <c r="C1478" s="1" t="str">
        <f aca="false">Transactions!I1478</f>
        <v>2026-03-31</v>
      </c>
      <c r="D1478" s="1" t="n">
        <f aca="false">Transactions!J1478</f>
        <v>10</v>
      </c>
      <c r="E1478" s="1" t="n">
        <f aca="false">Transactions!D1478</f>
        <v>40.77</v>
      </c>
      <c r="F1478" s="1" t="str">
        <f aca="false">Transactions!H1478</f>
        <v>POS</v>
      </c>
      <c r="G1478" s="1" t="str">
        <f aca="false">Transactions!G1478</f>
        <v>Dining</v>
      </c>
      <c r="H1478" s="1" t="n">
        <f aca="false">IF(COUNTIFS($B$2:$B$1489,B1478,$C$2:$C$1489,C1478,$D$2:$D$1489,D1478)&gt;6,1,0)</f>
        <v>0</v>
      </c>
      <c r="I1478" s="1" t="n">
        <f aca="false">IF(AND(F1478="Wire",E1478&gt;=1000,MOD(E1478,1000)=0),1,0)</f>
        <v>0</v>
      </c>
      <c r="J1478" s="1" t="n">
        <f aca="false">IF(AND(F1478="ATM",E1478&gt;2000,D1478&lt;=4),1,0)</f>
        <v>0</v>
      </c>
      <c r="K1478" s="1" t="n">
        <f aca="false">IF(COUNTIF('SQL Findings'!$A$4:$A$18,B1478)&gt;0,1,0)</f>
        <v>0</v>
      </c>
      <c r="L1478" s="1" t="n">
        <f aca="false">SUM(H1478:K1478)</f>
        <v>0</v>
      </c>
      <c r="M1478" s="1" t="str">
        <f aca="false">IF(L1478&gt;=2,"High",IF(L1478=1,"Medium","Low"))</f>
        <v>Low</v>
      </c>
    </row>
    <row r="1479" customFormat="false" ht="15" hidden="false" customHeight="true" outlineLevel="0" collapsed="false">
      <c r="A1479" s="1" t="str">
        <f aca="false">Transactions!A1479</f>
        <v>TXN500585</v>
      </c>
      <c r="B1479" s="1" t="str">
        <f aca="false">Transactions!B1479</f>
        <v>ACC1025</v>
      </c>
      <c r="C1479" s="1" t="str">
        <f aca="false">Transactions!I1479</f>
        <v>2026-03-31</v>
      </c>
      <c r="D1479" s="1" t="n">
        <f aca="false">Transactions!J1479</f>
        <v>11</v>
      </c>
      <c r="E1479" s="1" t="n">
        <f aca="false">Transactions!D1479</f>
        <v>78.55</v>
      </c>
      <c r="F1479" s="1" t="str">
        <f aca="false">Transactions!H1479</f>
        <v>POS</v>
      </c>
      <c r="G1479" s="1" t="str">
        <f aca="false">Transactions!G1479</f>
        <v>Utilities</v>
      </c>
      <c r="H1479" s="1" t="n">
        <f aca="false">IF(COUNTIFS($B$2:$B$1489,B1479,$C$2:$C$1489,C1479,$D$2:$D$1489,D1479)&gt;6,1,0)</f>
        <v>0</v>
      </c>
      <c r="I1479" s="1" t="n">
        <f aca="false">IF(AND(F1479="Wire",E1479&gt;=1000,MOD(E1479,1000)=0),1,0)</f>
        <v>0</v>
      </c>
      <c r="J1479" s="1" t="n">
        <f aca="false">IF(AND(F1479="ATM",E1479&gt;2000,D1479&lt;=4),1,0)</f>
        <v>0</v>
      </c>
      <c r="K1479" s="1" t="n">
        <f aca="false">IF(COUNTIF('SQL Findings'!$A$4:$A$18,B1479)&gt;0,1,0)</f>
        <v>0</v>
      </c>
      <c r="L1479" s="1" t="n">
        <f aca="false">SUM(H1479:K1479)</f>
        <v>0</v>
      </c>
      <c r="M1479" s="1" t="str">
        <f aca="false">IF(L1479&gt;=2,"High",IF(L1479=1,"Medium","Low"))</f>
        <v>Low</v>
      </c>
    </row>
    <row r="1480" customFormat="false" ht="15" hidden="false" customHeight="true" outlineLevel="0" collapsed="false">
      <c r="A1480" s="1" t="str">
        <f aca="false">Transactions!A1480</f>
        <v>TXN501003</v>
      </c>
      <c r="B1480" s="1" t="str">
        <f aca="false">Transactions!B1480</f>
        <v>ACC1043</v>
      </c>
      <c r="C1480" s="1" t="str">
        <f aca="false">Transactions!I1480</f>
        <v>2026-03-31</v>
      </c>
      <c r="D1480" s="1" t="n">
        <f aca="false">Transactions!J1480</f>
        <v>12</v>
      </c>
      <c r="E1480" s="1" t="n">
        <f aca="false">Transactions!D1480</f>
        <v>70.36</v>
      </c>
      <c r="F1480" s="1" t="str">
        <f aca="false">Transactions!H1480</f>
        <v>Online</v>
      </c>
      <c r="G1480" s="1" t="str">
        <f aca="false">Transactions!G1480</f>
        <v>Online Marketplace</v>
      </c>
      <c r="H1480" s="1" t="n">
        <f aca="false">IF(COUNTIFS($B$2:$B$1489,B1480,$C$2:$C$1489,C1480,$D$2:$D$1489,D1480)&gt;6,1,0)</f>
        <v>0</v>
      </c>
      <c r="I1480" s="1" t="n">
        <f aca="false">IF(AND(F1480="Wire",E1480&gt;=1000,MOD(E1480,1000)=0),1,0)</f>
        <v>0</v>
      </c>
      <c r="J1480" s="1" t="n">
        <f aca="false">IF(AND(F1480="ATM",E1480&gt;2000,D1480&lt;=4),1,0)</f>
        <v>0</v>
      </c>
      <c r="K1480" s="1" t="n">
        <f aca="false">IF(COUNTIF('SQL Findings'!$A$4:$A$18,B1480)&gt;0,1,0)</f>
        <v>0</v>
      </c>
      <c r="L1480" s="1" t="n">
        <f aca="false">SUM(H1480:K1480)</f>
        <v>0</v>
      </c>
      <c r="M1480" s="1" t="str">
        <f aca="false">IF(L1480&gt;=2,"High",IF(L1480=1,"Medium","Low"))</f>
        <v>Low</v>
      </c>
    </row>
    <row r="1481" customFormat="false" ht="15" hidden="false" customHeight="true" outlineLevel="0" collapsed="false">
      <c r="A1481" s="1" t="str">
        <f aca="false">Transactions!A1481</f>
        <v>TXN500469</v>
      </c>
      <c r="B1481" s="1" t="str">
        <f aca="false">Transactions!B1481</f>
        <v>ACC1021</v>
      </c>
      <c r="C1481" s="1" t="str">
        <f aca="false">Transactions!I1481</f>
        <v>2026-03-31</v>
      </c>
      <c r="D1481" s="1" t="n">
        <f aca="false">Transactions!J1481</f>
        <v>12</v>
      </c>
      <c r="E1481" s="1" t="n">
        <f aca="false">Transactions!D1481</f>
        <v>41.37</v>
      </c>
      <c r="F1481" s="1" t="str">
        <f aca="false">Transactions!H1481</f>
        <v>POS</v>
      </c>
      <c r="G1481" s="1" t="str">
        <f aca="false">Transactions!G1481</f>
        <v>Dining</v>
      </c>
      <c r="H1481" s="1" t="n">
        <f aca="false">IF(COUNTIFS($B$2:$B$1489,B1481,$C$2:$C$1489,C1481,$D$2:$D$1489,D1481)&gt;6,1,0)</f>
        <v>0</v>
      </c>
      <c r="I1481" s="1" t="n">
        <f aca="false">IF(AND(F1481="Wire",E1481&gt;=1000,MOD(E1481,1000)=0),1,0)</f>
        <v>0</v>
      </c>
      <c r="J1481" s="1" t="n">
        <f aca="false">IF(AND(F1481="ATM",E1481&gt;2000,D1481&lt;=4),1,0)</f>
        <v>0</v>
      </c>
      <c r="K1481" s="1" t="n">
        <f aca="false">IF(COUNTIF('SQL Findings'!$A$4:$A$18,B1481)&gt;0,1,0)</f>
        <v>0</v>
      </c>
      <c r="L1481" s="1" t="n">
        <f aca="false">SUM(H1481:K1481)</f>
        <v>0</v>
      </c>
      <c r="M1481" s="1" t="str">
        <f aca="false">IF(L1481&gt;=2,"High",IF(L1481=1,"Medium","Low"))</f>
        <v>Low</v>
      </c>
    </row>
    <row r="1482" customFormat="false" ht="15" hidden="false" customHeight="true" outlineLevel="0" collapsed="false">
      <c r="A1482" s="1" t="str">
        <f aca="false">Transactions!A1482</f>
        <v>TXN501086</v>
      </c>
      <c r="B1482" s="1" t="str">
        <f aca="false">Transactions!B1482</f>
        <v>ACC1047</v>
      </c>
      <c r="C1482" s="1" t="str">
        <f aca="false">Transactions!I1482</f>
        <v>2026-03-31</v>
      </c>
      <c r="D1482" s="1" t="n">
        <f aca="false">Transactions!J1482</f>
        <v>12</v>
      </c>
      <c r="E1482" s="1" t="n">
        <f aca="false">Transactions!D1482</f>
        <v>98.2</v>
      </c>
      <c r="F1482" s="1" t="str">
        <f aca="false">Transactions!H1482</f>
        <v>ATM</v>
      </c>
      <c r="G1482" s="1" t="str">
        <f aca="false">Transactions!G1482</f>
        <v>Online Marketplace</v>
      </c>
      <c r="H1482" s="1" t="n">
        <f aca="false">IF(COUNTIFS($B$2:$B$1489,B1482,$C$2:$C$1489,C1482,$D$2:$D$1489,D1482)&gt;6,1,0)</f>
        <v>0</v>
      </c>
      <c r="I1482" s="1" t="n">
        <f aca="false">IF(AND(F1482="Wire",E1482&gt;=1000,MOD(E1482,1000)=0),1,0)</f>
        <v>0</v>
      </c>
      <c r="J1482" s="1" t="n">
        <f aca="false">IF(AND(F1482="ATM",E1482&gt;2000,D1482&lt;=4),1,0)</f>
        <v>0</v>
      </c>
      <c r="K1482" s="1" t="n">
        <f aca="false">IF(COUNTIF('SQL Findings'!$A$4:$A$18,B1482)&gt;0,1,0)</f>
        <v>0</v>
      </c>
      <c r="L1482" s="1" t="n">
        <f aca="false">SUM(H1482:K1482)</f>
        <v>0</v>
      </c>
      <c r="M1482" s="1" t="str">
        <f aca="false">IF(L1482&gt;=2,"High",IF(L1482=1,"Medium","Low"))</f>
        <v>Low</v>
      </c>
    </row>
    <row r="1483" customFormat="false" ht="15" hidden="false" customHeight="true" outlineLevel="0" collapsed="false">
      <c r="A1483" s="1" t="str">
        <f aca="false">Transactions!A1483</f>
        <v>TXN501101</v>
      </c>
      <c r="B1483" s="1" t="str">
        <f aca="false">Transactions!B1483</f>
        <v>ACC1048</v>
      </c>
      <c r="C1483" s="1" t="str">
        <f aca="false">Transactions!I1483</f>
        <v>2026-03-31</v>
      </c>
      <c r="D1483" s="1" t="n">
        <f aca="false">Transactions!J1483</f>
        <v>13</v>
      </c>
      <c r="E1483" s="1" t="n">
        <f aca="false">Transactions!D1483</f>
        <v>163.73</v>
      </c>
      <c r="F1483" s="1" t="str">
        <f aca="false">Transactions!H1483</f>
        <v>POS</v>
      </c>
      <c r="G1483" s="1" t="str">
        <f aca="false">Transactions!G1483</f>
        <v>Cash Withdrawal</v>
      </c>
      <c r="H1483" s="1" t="n">
        <f aca="false">IF(COUNTIFS($B$2:$B$1489,B1483,$C$2:$C$1489,C1483,$D$2:$D$1489,D1483)&gt;6,1,0)</f>
        <v>0</v>
      </c>
      <c r="I1483" s="1" t="n">
        <f aca="false">IF(AND(F1483="Wire",E1483&gt;=1000,MOD(E1483,1000)=0),1,0)</f>
        <v>0</v>
      </c>
      <c r="J1483" s="1" t="n">
        <f aca="false">IF(AND(F1483="ATM",E1483&gt;2000,D1483&lt;=4),1,0)</f>
        <v>0</v>
      </c>
      <c r="K1483" s="1" t="n">
        <f aca="false">IF(COUNTIF('SQL Findings'!$A$4:$A$18,B1483)&gt;0,1,0)</f>
        <v>0</v>
      </c>
      <c r="L1483" s="1" t="n">
        <f aca="false">SUM(H1483:K1483)</f>
        <v>0</v>
      </c>
      <c r="M1483" s="1" t="str">
        <f aca="false">IF(L1483&gt;=2,"High",IF(L1483=1,"Medium","Low"))</f>
        <v>Low</v>
      </c>
    </row>
    <row r="1484" customFormat="false" ht="15" hidden="false" customHeight="true" outlineLevel="0" collapsed="false">
      <c r="A1484" s="1" t="str">
        <f aca="false">Transactions!A1484</f>
        <v>TXN500775</v>
      </c>
      <c r="B1484" s="1" t="str">
        <f aca="false">Transactions!B1484</f>
        <v>ACC1033</v>
      </c>
      <c r="C1484" s="1" t="str">
        <f aca="false">Transactions!I1484</f>
        <v>2026-03-31</v>
      </c>
      <c r="D1484" s="1" t="n">
        <f aca="false">Transactions!J1484</f>
        <v>13</v>
      </c>
      <c r="E1484" s="1" t="n">
        <f aca="false">Transactions!D1484</f>
        <v>116.7</v>
      </c>
      <c r="F1484" s="1" t="str">
        <f aca="false">Transactions!H1484</f>
        <v>POS</v>
      </c>
      <c r="G1484" s="1" t="str">
        <f aca="false">Transactions!G1484</f>
        <v>Wire Transfer</v>
      </c>
      <c r="H1484" s="1" t="n">
        <f aca="false">IF(COUNTIFS($B$2:$B$1489,B1484,$C$2:$C$1489,C1484,$D$2:$D$1489,D1484)&gt;6,1,0)</f>
        <v>0</v>
      </c>
      <c r="I1484" s="1" t="n">
        <f aca="false">IF(AND(F1484="Wire",E1484&gt;=1000,MOD(E1484,1000)=0),1,0)</f>
        <v>0</v>
      </c>
      <c r="J1484" s="1" t="n">
        <f aca="false">IF(AND(F1484="ATM",E1484&gt;2000,D1484&lt;=4),1,0)</f>
        <v>0</v>
      </c>
      <c r="K1484" s="1" t="n">
        <f aca="false">IF(COUNTIF('SQL Findings'!$A$4:$A$18,B1484)&gt;0,1,0)</f>
        <v>0</v>
      </c>
      <c r="L1484" s="1" t="n">
        <f aca="false">SUM(H1484:K1484)</f>
        <v>0</v>
      </c>
      <c r="M1484" s="1" t="str">
        <f aca="false">IF(L1484&gt;=2,"High",IF(L1484=1,"Medium","Low"))</f>
        <v>Low</v>
      </c>
    </row>
    <row r="1485" customFormat="false" ht="15" hidden="false" customHeight="true" outlineLevel="0" collapsed="false">
      <c r="A1485" s="1" t="str">
        <f aca="false">Transactions!A1485</f>
        <v>TXN500380</v>
      </c>
      <c r="B1485" s="1" t="str">
        <f aca="false">Transactions!B1485</f>
        <v>ACC1016</v>
      </c>
      <c r="C1485" s="1" t="str">
        <f aca="false">Transactions!I1485</f>
        <v>2026-03-31</v>
      </c>
      <c r="D1485" s="1" t="n">
        <f aca="false">Transactions!J1485</f>
        <v>14</v>
      </c>
      <c r="E1485" s="1" t="n">
        <f aca="false">Transactions!D1485</f>
        <v>32.22</v>
      </c>
      <c r="F1485" s="1" t="str">
        <f aca="false">Transactions!H1485</f>
        <v>ATM</v>
      </c>
      <c r="G1485" s="1" t="str">
        <f aca="false">Transactions!G1485</f>
        <v>Cash Withdrawal</v>
      </c>
      <c r="H1485" s="1" t="n">
        <f aca="false">IF(COUNTIFS($B$2:$B$1489,B1485,$C$2:$C$1489,C1485,$D$2:$D$1489,D1485)&gt;6,1,0)</f>
        <v>0</v>
      </c>
      <c r="I1485" s="1" t="n">
        <f aca="false">IF(AND(F1485="Wire",E1485&gt;=1000,MOD(E1485,1000)=0),1,0)</f>
        <v>0</v>
      </c>
      <c r="J1485" s="1" t="n">
        <f aca="false">IF(AND(F1485="ATM",E1485&gt;2000,D1485&lt;=4),1,0)</f>
        <v>0</v>
      </c>
      <c r="K1485" s="1" t="n">
        <f aca="false">IF(COUNTIF('SQL Findings'!$A$4:$A$18,B1485)&gt;0,1,0)</f>
        <v>0</v>
      </c>
      <c r="L1485" s="1" t="n">
        <f aca="false">SUM(H1485:K1485)</f>
        <v>0</v>
      </c>
      <c r="M1485" s="1" t="str">
        <f aca="false">IF(L1485&gt;=2,"High",IF(L1485=1,"Medium","Low"))</f>
        <v>Low</v>
      </c>
    </row>
    <row r="1486" customFormat="false" ht="15" hidden="false" customHeight="true" outlineLevel="0" collapsed="false">
      <c r="A1486" s="1" t="str">
        <f aca="false">Transactions!A1486</f>
        <v>TXN500863</v>
      </c>
      <c r="B1486" s="1" t="str">
        <f aca="false">Transactions!B1486</f>
        <v>ACC1037</v>
      </c>
      <c r="C1486" s="1" t="str">
        <f aca="false">Transactions!I1486</f>
        <v>2026-03-31</v>
      </c>
      <c r="D1486" s="1" t="n">
        <f aca="false">Transactions!J1486</f>
        <v>15</v>
      </c>
      <c r="E1486" s="1" t="n">
        <f aca="false">Transactions!D1486</f>
        <v>268.47</v>
      </c>
      <c r="F1486" s="1" t="str">
        <f aca="false">Transactions!H1486</f>
        <v>POS</v>
      </c>
      <c r="G1486" s="1" t="str">
        <f aca="false">Transactions!G1486</f>
        <v>Travel</v>
      </c>
      <c r="H1486" s="1" t="n">
        <f aca="false">IF(COUNTIFS($B$2:$B$1489,B1486,$C$2:$C$1489,C1486,$D$2:$D$1489,D1486)&gt;6,1,0)</f>
        <v>0</v>
      </c>
      <c r="I1486" s="1" t="n">
        <f aca="false">IF(AND(F1486="Wire",E1486&gt;=1000,MOD(E1486,1000)=0),1,0)</f>
        <v>0</v>
      </c>
      <c r="J1486" s="1" t="n">
        <f aca="false">IF(AND(F1486="ATM",E1486&gt;2000,D1486&lt;=4),1,0)</f>
        <v>0</v>
      </c>
      <c r="K1486" s="1" t="n">
        <f aca="false">IF(COUNTIF('SQL Findings'!$A$4:$A$18,B1486)&gt;0,1,0)</f>
        <v>1</v>
      </c>
      <c r="L1486" s="1" t="n">
        <f aca="false">SUM(H1486:K1486)</f>
        <v>1</v>
      </c>
      <c r="M1486" s="1" t="str">
        <f aca="false">IF(L1486&gt;=2,"High",IF(L1486=1,"Medium","Low"))</f>
        <v>Medium</v>
      </c>
    </row>
    <row r="1487" customFormat="false" ht="15" hidden="false" customHeight="true" outlineLevel="0" collapsed="false">
      <c r="A1487" s="1" t="str">
        <f aca="false">Transactions!A1487</f>
        <v>TXN500127</v>
      </c>
      <c r="B1487" s="1" t="str">
        <f aca="false">Transactions!B1487</f>
        <v>ACC1005</v>
      </c>
      <c r="C1487" s="1" t="str">
        <f aca="false">Transactions!I1487</f>
        <v>2026-03-31</v>
      </c>
      <c r="D1487" s="1" t="n">
        <f aca="false">Transactions!J1487</f>
        <v>16</v>
      </c>
      <c r="E1487" s="1" t="n">
        <f aca="false">Transactions!D1487</f>
        <v>27.34</v>
      </c>
      <c r="F1487" s="1" t="str">
        <f aca="false">Transactions!H1487</f>
        <v>ATM</v>
      </c>
      <c r="G1487" s="1" t="str">
        <f aca="false">Transactions!G1487</f>
        <v>Electronics</v>
      </c>
      <c r="H1487" s="1" t="n">
        <f aca="false">IF(COUNTIFS($B$2:$B$1489,B1487,$C$2:$C$1489,C1487,$D$2:$D$1489,D1487)&gt;6,1,0)</f>
        <v>0</v>
      </c>
      <c r="I1487" s="1" t="n">
        <f aca="false">IF(AND(F1487="Wire",E1487&gt;=1000,MOD(E1487,1000)=0),1,0)</f>
        <v>0</v>
      </c>
      <c r="J1487" s="1" t="n">
        <f aca="false">IF(AND(F1487="ATM",E1487&gt;2000,D1487&lt;=4),1,0)</f>
        <v>0</v>
      </c>
      <c r="K1487" s="1" t="n">
        <f aca="false">IF(COUNTIF('SQL Findings'!$A$4:$A$18,B1487)&gt;0,1,0)</f>
        <v>0</v>
      </c>
      <c r="L1487" s="1" t="n">
        <f aca="false">SUM(H1487:K1487)</f>
        <v>0</v>
      </c>
      <c r="M1487" s="1" t="str">
        <f aca="false">IF(L1487&gt;=2,"High",IF(L1487=1,"Medium","Low"))</f>
        <v>Low</v>
      </c>
    </row>
    <row r="1488" customFormat="false" ht="15" hidden="false" customHeight="true" outlineLevel="0" collapsed="false">
      <c r="A1488" s="1" t="str">
        <f aca="false">Transactions!A1488</f>
        <v>TXN500273</v>
      </c>
      <c r="B1488" s="1" t="str">
        <f aca="false">Transactions!B1488</f>
        <v>ACC1012</v>
      </c>
      <c r="C1488" s="1" t="str">
        <f aca="false">Transactions!I1488</f>
        <v>2026-03-31</v>
      </c>
      <c r="D1488" s="1" t="n">
        <f aca="false">Transactions!J1488</f>
        <v>16</v>
      </c>
      <c r="E1488" s="1" t="n">
        <f aca="false">Transactions!D1488</f>
        <v>189.97</v>
      </c>
      <c r="F1488" s="1" t="str">
        <f aca="false">Transactions!H1488</f>
        <v>Online</v>
      </c>
      <c r="G1488" s="1" t="str">
        <f aca="false">Transactions!G1488</f>
        <v>Cash Withdrawal</v>
      </c>
      <c r="H1488" s="1" t="n">
        <f aca="false">IF(COUNTIFS($B$2:$B$1489,B1488,$C$2:$C$1489,C1488,$D$2:$D$1489,D1488)&gt;6,1,0)</f>
        <v>0</v>
      </c>
      <c r="I1488" s="1" t="n">
        <f aca="false">IF(AND(F1488="Wire",E1488&gt;=1000,MOD(E1488,1000)=0),1,0)</f>
        <v>0</v>
      </c>
      <c r="J1488" s="1" t="n">
        <f aca="false">IF(AND(F1488="ATM",E1488&gt;2000,D1488&lt;=4),1,0)</f>
        <v>0</v>
      </c>
      <c r="K1488" s="1" t="n">
        <f aca="false">IF(COUNTIF('SQL Findings'!$A$4:$A$18,B1488)&gt;0,1,0)</f>
        <v>0</v>
      </c>
      <c r="L1488" s="1" t="n">
        <f aca="false">SUM(H1488:K1488)</f>
        <v>0</v>
      </c>
      <c r="M1488" s="1" t="str">
        <f aca="false">IF(L1488&gt;=2,"High",IF(L1488=1,"Medium","Low"))</f>
        <v>Low</v>
      </c>
    </row>
    <row r="1489" customFormat="false" ht="15" hidden="false" customHeight="true" outlineLevel="0" collapsed="false">
      <c r="A1489" s="1" t="str">
        <f aca="false">Transactions!A1489</f>
        <v>TXN500162</v>
      </c>
      <c r="B1489" s="1" t="str">
        <f aca="false">Transactions!B1489</f>
        <v>ACC1007</v>
      </c>
      <c r="C1489" s="1" t="str">
        <f aca="false">Transactions!I1489</f>
        <v>2026-03-31</v>
      </c>
      <c r="D1489" s="1" t="n">
        <f aca="false">Transactions!J1489</f>
        <v>17</v>
      </c>
      <c r="E1489" s="1" t="n">
        <f aca="false">Transactions!D1489</f>
        <v>135.42</v>
      </c>
      <c r="F1489" s="1" t="str">
        <f aca="false">Transactions!H1489</f>
        <v>Online</v>
      </c>
      <c r="G1489" s="1" t="str">
        <f aca="false">Transactions!G1489</f>
        <v>Dining</v>
      </c>
      <c r="H1489" s="1" t="n">
        <f aca="false">IF(COUNTIFS($B$2:$B$1489,B1489,$C$2:$C$1489,C1489,$D$2:$D$1489,D1489)&gt;6,1,0)</f>
        <v>0</v>
      </c>
      <c r="I1489" s="1" t="n">
        <f aca="false">IF(AND(F1489="Wire",E1489&gt;=1000,MOD(E1489,1000)=0),1,0)</f>
        <v>0</v>
      </c>
      <c r="J1489" s="1" t="n">
        <f aca="false">IF(AND(F1489="ATM",E1489&gt;2000,D1489&lt;=4),1,0)</f>
        <v>0</v>
      </c>
      <c r="K1489" s="1" t="n">
        <f aca="false">IF(COUNTIF('SQL Findings'!$A$4:$A$18,B1489)&gt;0,1,0)</f>
        <v>0</v>
      </c>
      <c r="L1489" s="1" t="n">
        <f aca="false">SUM(H1489:K1489)</f>
        <v>0</v>
      </c>
      <c r="M1489" s="1" t="str">
        <f aca="false">IF(L1489&gt;=2,"High",IF(L1489=1,"Medium","Low"))</f>
        <v>Low</v>
      </c>
    </row>
  </sheetData>
  <conditionalFormatting sqref="M2:M1489">
    <cfRule type="expression" priority="2" aboveAverage="0" equalAverage="0" bottom="0" percent="0" rank="0" text="" dxfId="0">
      <formula>M2="High"</formula>
    </cfRule>
    <cfRule type="expression" priority="3" aboveAverage="0" equalAverage="0" bottom="0" percent="0" rank="0" text="" dxfId="1">
      <formula>M2="Medium"</formula>
    </cfRule>
    <cfRule type="expression" priority="4" aboveAverage="0" equalAverage="0" bottom="0" percent="0" rank="0" text="" dxfId="2">
      <formula>M2="Low"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7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0"/>
  </cols>
  <sheetData>
    <row r="1" customFormat="false" ht="23.25" hidden="false" customHeight="true" outlineLevel="0" collapsed="false">
      <c r="A1" s="2" t="s">
        <v>1</v>
      </c>
      <c r="B1" s="2" t="s">
        <v>3151</v>
      </c>
      <c r="C1" s="2" t="s">
        <v>3152</v>
      </c>
      <c r="D1" s="2" t="s">
        <v>3153</v>
      </c>
      <c r="E1" s="2" t="s">
        <v>3154</v>
      </c>
      <c r="F1" s="2" t="s">
        <v>3155</v>
      </c>
    </row>
    <row r="2" customFormat="false" ht="15" hidden="false" customHeight="true" outlineLevel="0" collapsed="false">
      <c r="A2" s="1" t="s">
        <v>58</v>
      </c>
      <c r="B2" s="1" t="n">
        <f aca="false">COUNTIF('Risk Scoring'!$B$2:$B$1489,A2)</f>
        <v>26</v>
      </c>
      <c r="C2" s="1" t="n">
        <f aca="false">COUNTIFS('Risk Scoring'!$B$2:$B$1489,A2,'Risk Scoring'!$L$2:$L$1489,"&gt;=1")</f>
        <v>26</v>
      </c>
      <c r="D2" s="1" t="n">
        <f aca="false">COUNTIFS('Risk Scoring'!$B$2:$B$1489,A2,'Risk Scoring'!$M$2:$M$1489,"High")</f>
        <v>0</v>
      </c>
      <c r="E2" s="4" t="n">
        <f aca="false">SUMIFS('Risk Scoring'!$E$2:$E$1489,'Risk Scoring'!$B$2:$B$1489,A2,'Risk Scoring'!$L$2:$L$1489,"&gt;=1")</f>
        <v>12169.73</v>
      </c>
      <c r="F2" s="5" t="n">
        <f aca="false">IFERROR(C2/B2,0)</f>
        <v>1</v>
      </c>
    </row>
    <row r="3" customFormat="false" ht="15" hidden="false" customHeight="true" outlineLevel="0" collapsed="false">
      <c r="A3" s="1" t="s">
        <v>286</v>
      </c>
      <c r="B3" s="1" t="n">
        <f aca="false">COUNTIF('Risk Scoring'!$B$2:$B$1489,A3)</f>
        <v>32</v>
      </c>
      <c r="C3" s="1" t="n">
        <f aca="false">COUNTIFS('Risk Scoring'!$B$2:$B$1489,A3,'Risk Scoring'!$L$2:$L$1489,"&gt;=1")</f>
        <v>32</v>
      </c>
      <c r="D3" s="1" t="n">
        <f aca="false">COUNTIFS('Risk Scoring'!$B$2:$B$1489,A3,'Risk Scoring'!$M$2:$M$1489,"High")</f>
        <v>0</v>
      </c>
      <c r="E3" s="4" t="n">
        <f aca="false">SUMIFS('Risk Scoring'!$E$2:$E$1489,'Risk Scoring'!$B$2:$B$1489,A3,'Risk Scoring'!$L$2:$L$1489,"&gt;=1")</f>
        <v>4408.03</v>
      </c>
      <c r="F3" s="5" t="n">
        <f aca="false">IFERROR(C3/B3,0)</f>
        <v>1</v>
      </c>
    </row>
    <row r="4" customFormat="false" ht="15" hidden="false" customHeight="true" outlineLevel="0" collapsed="false">
      <c r="A4" s="1" t="s">
        <v>26</v>
      </c>
      <c r="B4" s="1" t="n">
        <f aca="false">COUNTIF('Risk Scoring'!$B$2:$B$1489,A4)</f>
        <v>22</v>
      </c>
      <c r="C4" s="1" t="n">
        <f aca="false">COUNTIFS('Risk Scoring'!$B$2:$B$1489,A4,'Risk Scoring'!$L$2:$L$1489,"&gt;=1")</f>
        <v>22</v>
      </c>
      <c r="D4" s="1" t="n">
        <f aca="false">COUNTIFS('Risk Scoring'!$B$2:$B$1489,A4,'Risk Scoring'!$M$2:$M$1489,"High")</f>
        <v>0</v>
      </c>
      <c r="E4" s="4" t="n">
        <f aca="false">SUMIFS('Risk Scoring'!$E$2:$E$1489,'Risk Scoring'!$B$2:$B$1489,A4,'Risk Scoring'!$L$2:$L$1489,"&gt;=1")</f>
        <v>14864.26</v>
      </c>
      <c r="F4" s="5" t="n">
        <f aca="false">IFERROR(C4/B4,0)</f>
        <v>1</v>
      </c>
    </row>
    <row r="5" customFormat="false" ht="15" hidden="false" customHeight="true" outlineLevel="0" collapsed="false">
      <c r="A5" s="1" t="s">
        <v>170</v>
      </c>
      <c r="B5" s="1" t="n">
        <f aca="false">COUNTIF('Risk Scoring'!$B$2:$B$1489,A5)</f>
        <v>20</v>
      </c>
      <c r="C5" s="1" t="n">
        <f aca="false">COUNTIFS('Risk Scoring'!$B$2:$B$1489,A5,'Risk Scoring'!$L$2:$L$1489,"&gt;=1")</f>
        <v>0</v>
      </c>
      <c r="D5" s="1" t="n">
        <f aca="false">COUNTIFS('Risk Scoring'!$B$2:$B$1489,A5,'Risk Scoring'!$M$2:$M$1489,"High")</f>
        <v>0</v>
      </c>
      <c r="E5" s="4" t="n">
        <f aca="false">SUMIFS('Risk Scoring'!$E$2:$E$1489,'Risk Scoring'!$B$2:$B$1489,A5,'Risk Scoring'!$L$2:$L$1489,"&gt;=1")</f>
        <v>0</v>
      </c>
      <c r="F5" s="5" t="n">
        <f aca="false">IFERROR(C5/B5,0)</f>
        <v>0</v>
      </c>
    </row>
    <row r="6" customFormat="false" ht="15" hidden="false" customHeight="true" outlineLevel="0" collapsed="false">
      <c r="A6" s="1" t="s">
        <v>148</v>
      </c>
      <c r="B6" s="1" t="n">
        <f aca="false">COUNTIF('Risk Scoring'!$B$2:$B$1489,A6)</f>
        <v>41</v>
      </c>
      <c r="C6" s="1" t="n">
        <f aca="false">COUNTIFS('Risk Scoring'!$B$2:$B$1489,A6,'Risk Scoring'!$L$2:$L$1489,"&gt;=1")</f>
        <v>41</v>
      </c>
      <c r="D6" s="1" t="n">
        <f aca="false">COUNTIFS('Risk Scoring'!$B$2:$B$1489,A6,'Risk Scoring'!$M$2:$M$1489,"High")</f>
        <v>10</v>
      </c>
      <c r="E6" s="4" t="n">
        <f aca="false">SUMIFS('Risk Scoring'!$E$2:$E$1489,'Risk Scoring'!$B$2:$B$1489,A6,'Risk Scoring'!$L$2:$L$1489,"&gt;=1")</f>
        <v>6527.97</v>
      </c>
      <c r="F6" s="5" t="n">
        <f aca="false">IFERROR(C6/B6,0)</f>
        <v>1</v>
      </c>
    </row>
    <row r="7" customFormat="false" ht="15" hidden="false" customHeight="true" outlineLevel="0" collapsed="false">
      <c r="A7" s="1" t="s">
        <v>235</v>
      </c>
      <c r="B7" s="1" t="n">
        <f aca="false">COUNTIF('Risk Scoring'!$B$2:$B$1489,A7)</f>
        <v>24</v>
      </c>
      <c r="C7" s="1" t="n">
        <f aca="false">COUNTIFS('Risk Scoring'!$B$2:$B$1489,A7,'Risk Scoring'!$L$2:$L$1489,"&gt;=1")</f>
        <v>8</v>
      </c>
      <c r="D7" s="1" t="n">
        <f aca="false">COUNTIFS('Risk Scoring'!$B$2:$B$1489,A7,'Risk Scoring'!$M$2:$M$1489,"High")</f>
        <v>0</v>
      </c>
      <c r="E7" s="4" t="n">
        <f aca="false">SUMIFS('Risk Scoring'!$E$2:$E$1489,'Risk Scoring'!$B$2:$B$1489,A7,'Risk Scoring'!$L$2:$L$1489,"&gt;=1")</f>
        <v>2359.8</v>
      </c>
      <c r="F7" s="5" t="n">
        <f aca="false">IFERROR(C7/B7,0)</f>
        <v>0.333333333333333</v>
      </c>
    </row>
    <row r="8" customFormat="false" ht="15" hidden="false" customHeight="true" outlineLevel="0" collapsed="false">
      <c r="A8" s="1" t="s">
        <v>98</v>
      </c>
      <c r="B8" s="1" t="n">
        <f aca="false">COUNTIF('Risk Scoring'!$B$2:$B$1489,A8)</f>
        <v>31</v>
      </c>
      <c r="C8" s="1" t="n">
        <f aca="false">COUNTIFS('Risk Scoring'!$B$2:$B$1489,A8,'Risk Scoring'!$L$2:$L$1489,"&gt;=1")</f>
        <v>4</v>
      </c>
      <c r="D8" s="1" t="n">
        <f aca="false">COUNTIFS('Risk Scoring'!$B$2:$B$1489,A8,'Risk Scoring'!$M$2:$M$1489,"High")</f>
        <v>0</v>
      </c>
      <c r="E8" s="4" t="n">
        <f aca="false">SUMIFS('Risk Scoring'!$E$2:$E$1489,'Risk Scoring'!$B$2:$B$1489,A8,'Risk Scoring'!$L$2:$L$1489,"&gt;=1")</f>
        <v>18000</v>
      </c>
      <c r="F8" s="5" t="n">
        <f aca="false">IFERROR(C8/B8,0)</f>
        <v>0.129032258064516</v>
      </c>
    </row>
    <row r="9" customFormat="false" ht="15" hidden="false" customHeight="true" outlineLevel="0" collapsed="false">
      <c r="A9" s="1" t="s">
        <v>180</v>
      </c>
      <c r="B9" s="1" t="n">
        <f aca="false">COUNTIF('Risk Scoring'!$B$2:$B$1489,A9)</f>
        <v>24</v>
      </c>
      <c r="C9" s="1" t="n">
        <f aca="false">COUNTIFS('Risk Scoring'!$B$2:$B$1489,A9,'Risk Scoring'!$L$2:$L$1489,"&gt;=1")</f>
        <v>0</v>
      </c>
      <c r="D9" s="1" t="n">
        <f aca="false">COUNTIFS('Risk Scoring'!$B$2:$B$1489,A9,'Risk Scoring'!$M$2:$M$1489,"High")</f>
        <v>0</v>
      </c>
      <c r="E9" s="4" t="n">
        <f aca="false">SUMIFS('Risk Scoring'!$E$2:$E$1489,'Risk Scoring'!$B$2:$B$1489,A9,'Risk Scoring'!$L$2:$L$1489,"&gt;=1")</f>
        <v>0</v>
      </c>
      <c r="F9" s="5" t="n">
        <f aca="false">IFERROR(C9/B9,0)</f>
        <v>0</v>
      </c>
    </row>
    <row r="10" customFormat="false" ht="15" hidden="false" customHeight="true" outlineLevel="0" collapsed="false">
      <c r="A10" s="1" t="s">
        <v>183</v>
      </c>
      <c r="B10" s="1" t="n">
        <f aca="false">COUNTIF('Risk Scoring'!$B$2:$B$1489,A10)</f>
        <v>24</v>
      </c>
      <c r="C10" s="1" t="n">
        <f aca="false">COUNTIFS('Risk Scoring'!$B$2:$B$1489,A10,'Risk Scoring'!$L$2:$L$1489,"&gt;=1")</f>
        <v>0</v>
      </c>
      <c r="D10" s="1" t="n">
        <f aca="false">COUNTIFS('Risk Scoring'!$B$2:$B$1489,A10,'Risk Scoring'!$M$2:$M$1489,"High")</f>
        <v>0</v>
      </c>
      <c r="E10" s="4" t="n">
        <f aca="false">SUMIFS('Risk Scoring'!$E$2:$E$1489,'Risk Scoring'!$B$2:$B$1489,A10,'Risk Scoring'!$L$2:$L$1489,"&gt;=1")</f>
        <v>0</v>
      </c>
      <c r="F10" s="5" t="n">
        <f aca="false">IFERROR(C10/B10,0)</f>
        <v>0</v>
      </c>
    </row>
    <row r="11" customFormat="false" ht="15" hidden="false" customHeight="true" outlineLevel="0" collapsed="false">
      <c r="A11" s="1" t="s">
        <v>101</v>
      </c>
      <c r="B11" s="1" t="n">
        <f aca="false">COUNTIF('Risk Scoring'!$B$2:$B$1489,A11)</f>
        <v>21</v>
      </c>
      <c r="C11" s="1" t="n">
        <f aca="false">COUNTIFS('Risk Scoring'!$B$2:$B$1489,A11,'Risk Scoring'!$L$2:$L$1489,"&gt;=1")</f>
        <v>21</v>
      </c>
      <c r="D11" s="1" t="n">
        <f aca="false">COUNTIFS('Risk Scoring'!$B$2:$B$1489,A11,'Risk Scoring'!$M$2:$M$1489,"High")</f>
        <v>0</v>
      </c>
      <c r="E11" s="4" t="n">
        <f aca="false">SUMIFS('Risk Scoring'!$E$2:$E$1489,'Risk Scoring'!$B$2:$B$1489,A11,'Risk Scoring'!$L$2:$L$1489,"&gt;=1")</f>
        <v>6244.76</v>
      </c>
      <c r="F11" s="5" t="n">
        <f aca="false">IFERROR(C11/B11,0)</f>
        <v>1</v>
      </c>
    </row>
    <row r="12" customFormat="false" ht="15" hidden="false" customHeight="true" outlineLevel="0" collapsed="false">
      <c r="A12" s="1" t="s">
        <v>84</v>
      </c>
      <c r="B12" s="1" t="n">
        <f aca="false">COUNTIF('Risk Scoring'!$B$2:$B$1489,A12)</f>
        <v>28</v>
      </c>
      <c r="C12" s="1" t="n">
        <f aca="false">COUNTIFS('Risk Scoring'!$B$2:$B$1489,A12,'Risk Scoring'!$L$2:$L$1489,"&gt;=1")</f>
        <v>1</v>
      </c>
      <c r="D12" s="1" t="n">
        <f aca="false">COUNTIFS('Risk Scoring'!$B$2:$B$1489,A12,'Risk Scoring'!$M$2:$M$1489,"High")</f>
        <v>0</v>
      </c>
      <c r="E12" s="4" t="n">
        <f aca="false">SUMIFS('Risk Scoring'!$E$2:$E$1489,'Risk Scoring'!$B$2:$B$1489,A12,'Risk Scoring'!$L$2:$L$1489,"&gt;=1")</f>
        <v>3618.74</v>
      </c>
      <c r="F12" s="5" t="n">
        <f aca="false">IFERROR(C12/B12,0)</f>
        <v>0.0357142857142857</v>
      </c>
    </row>
    <row r="13" customFormat="false" ht="15" hidden="false" customHeight="true" outlineLevel="0" collapsed="false">
      <c r="A13" s="1" t="s">
        <v>307</v>
      </c>
      <c r="B13" s="1" t="n">
        <f aca="false">COUNTIF('Risk Scoring'!$B$2:$B$1489,A13)</f>
        <v>17</v>
      </c>
      <c r="C13" s="1" t="n">
        <f aca="false">COUNTIFS('Risk Scoring'!$B$2:$B$1489,A13,'Risk Scoring'!$L$2:$L$1489,"&gt;=1")</f>
        <v>0</v>
      </c>
      <c r="D13" s="1" t="n">
        <f aca="false">COUNTIFS('Risk Scoring'!$B$2:$B$1489,A13,'Risk Scoring'!$M$2:$M$1489,"High")</f>
        <v>0</v>
      </c>
      <c r="E13" s="4" t="n">
        <f aca="false">SUMIFS('Risk Scoring'!$E$2:$E$1489,'Risk Scoring'!$B$2:$B$1489,A13,'Risk Scoring'!$L$2:$L$1489,"&gt;=1")</f>
        <v>0</v>
      </c>
      <c r="F13" s="5" t="n">
        <f aca="false">IFERROR(C13/B13,0)</f>
        <v>0</v>
      </c>
    </row>
    <row r="14" customFormat="false" ht="15" hidden="false" customHeight="true" outlineLevel="0" collapsed="false">
      <c r="A14" s="1" t="s">
        <v>21</v>
      </c>
      <c r="B14" s="1" t="n">
        <f aca="false">COUNTIF('Risk Scoring'!$B$2:$B$1489,A14)</f>
        <v>23</v>
      </c>
      <c r="C14" s="1" t="n">
        <f aca="false">COUNTIFS('Risk Scoring'!$B$2:$B$1489,A14,'Risk Scoring'!$L$2:$L$1489,"&gt;=1")</f>
        <v>0</v>
      </c>
      <c r="D14" s="1" t="n">
        <f aca="false">COUNTIFS('Risk Scoring'!$B$2:$B$1489,A14,'Risk Scoring'!$M$2:$M$1489,"High")</f>
        <v>0</v>
      </c>
      <c r="E14" s="4" t="n">
        <f aca="false">SUMIFS('Risk Scoring'!$E$2:$E$1489,'Risk Scoring'!$B$2:$B$1489,A14,'Risk Scoring'!$L$2:$L$1489,"&gt;=1")</f>
        <v>0</v>
      </c>
      <c r="F14" s="5" t="n">
        <f aca="false">IFERROR(C14/B14,0)</f>
        <v>0</v>
      </c>
    </row>
    <row r="15" customFormat="false" ht="15" hidden="false" customHeight="true" outlineLevel="0" collapsed="false">
      <c r="A15" s="1" t="s">
        <v>321</v>
      </c>
      <c r="B15" s="1" t="n">
        <f aca="false">COUNTIF('Risk Scoring'!$B$2:$B$1489,A15)</f>
        <v>18</v>
      </c>
      <c r="C15" s="1" t="n">
        <f aca="false">COUNTIFS('Risk Scoring'!$B$2:$B$1489,A15,'Risk Scoring'!$L$2:$L$1489,"&gt;=1")</f>
        <v>0</v>
      </c>
      <c r="D15" s="1" t="n">
        <f aca="false">COUNTIFS('Risk Scoring'!$B$2:$B$1489,A15,'Risk Scoring'!$M$2:$M$1489,"High")</f>
        <v>0</v>
      </c>
      <c r="E15" s="4" t="n">
        <f aca="false">SUMIFS('Risk Scoring'!$E$2:$E$1489,'Risk Scoring'!$B$2:$B$1489,A15,'Risk Scoring'!$L$2:$L$1489,"&gt;=1")</f>
        <v>0</v>
      </c>
      <c r="F15" s="5" t="n">
        <f aca="false">IFERROR(C15/B15,0)</f>
        <v>0</v>
      </c>
    </row>
    <row r="16" customFormat="false" ht="15" hidden="false" customHeight="true" outlineLevel="0" collapsed="false">
      <c r="A16" s="1" t="s">
        <v>155</v>
      </c>
      <c r="B16" s="1" t="n">
        <f aca="false">COUNTIF('Risk Scoring'!$B$2:$B$1489,A16)</f>
        <v>26</v>
      </c>
      <c r="C16" s="1" t="n">
        <f aca="false">COUNTIFS('Risk Scoring'!$B$2:$B$1489,A16,'Risk Scoring'!$L$2:$L$1489,"&gt;=1")</f>
        <v>26</v>
      </c>
      <c r="D16" s="1" t="n">
        <f aca="false">COUNTIFS('Risk Scoring'!$B$2:$B$1489,A16,'Risk Scoring'!$M$2:$M$1489,"High")</f>
        <v>1</v>
      </c>
      <c r="E16" s="4" t="n">
        <f aca="false">SUMIFS('Risk Scoring'!$E$2:$E$1489,'Risk Scoring'!$B$2:$B$1489,A16,'Risk Scoring'!$L$2:$L$1489,"&gt;=1")</f>
        <v>8100.01</v>
      </c>
      <c r="F16" s="5" t="n">
        <f aca="false">IFERROR(C16/B16,0)</f>
        <v>1</v>
      </c>
    </row>
    <row r="17" customFormat="false" ht="15" hidden="false" customHeight="true" outlineLevel="0" collapsed="false">
      <c r="A17" s="1" t="s">
        <v>51</v>
      </c>
      <c r="B17" s="1" t="n">
        <f aca="false">COUNTIF('Risk Scoring'!$B$2:$B$1489,A17)</f>
        <v>27</v>
      </c>
      <c r="C17" s="1" t="n">
        <f aca="false">COUNTIFS('Risk Scoring'!$B$2:$B$1489,A17,'Risk Scoring'!$L$2:$L$1489,"&gt;=1")</f>
        <v>27</v>
      </c>
      <c r="D17" s="1" t="n">
        <f aca="false">COUNTIFS('Risk Scoring'!$B$2:$B$1489,A17,'Risk Scoring'!$M$2:$M$1489,"High")</f>
        <v>0</v>
      </c>
      <c r="E17" s="4" t="n">
        <f aca="false">SUMIFS('Risk Scoring'!$E$2:$E$1489,'Risk Scoring'!$B$2:$B$1489,A17,'Risk Scoring'!$L$2:$L$1489,"&gt;=1")</f>
        <v>4167.21</v>
      </c>
      <c r="F17" s="5" t="n">
        <f aca="false">IFERROR(C17/B17,0)</f>
        <v>1</v>
      </c>
    </row>
    <row r="18" customFormat="false" ht="15" hidden="false" customHeight="true" outlineLevel="0" collapsed="false">
      <c r="A18" s="1" t="s">
        <v>487</v>
      </c>
      <c r="B18" s="1" t="n">
        <f aca="false">COUNTIF('Risk Scoring'!$B$2:$B$1489,A18)</f>
        <v>28</v>
      </c>
      <c r="C18" s="1" t="n">
        <f aca="false">COUNTIFS('Risk Scoring'!$B$2:$B$1489,A18,'Risk Scoring'!$L$2:$L$1489,"&gt;=1")</f>
        <v>0</v>
      </c>
      <c r="D18" s="1" t="n">
        <f aca="false">COUNTIFS('Risk Scoring'!$B$2:$B$1489,A18,'Risk Scoring'!$M$2:$M$1489,"High")</f>
        <v>0</v>
      </c>
      <c r="E18" s="4" t="n">
        <f aca="false">SUMIFS('Risk Scoring'!$E$2:$E$1489,'Risk Scoring'!$B$2:$B$1489,A18,'Risk Scoring'!$L$2:$L$1489,"&gt;=1")</f>
        <v>0</v>
      </c>
      <c r="F18" s="5" t="n">
        <f aca="false">IFERROR(C18/B18,0)</f>
        <v>0</v>
      </c>
    </row>
    <row r="19" customFormat="false" ht="15" hidden="false" customHeight="true" outlineLevel="0" collapsed="false">
      <c r="A19" s="1" t="s">
        <v>120</v>
      </c>
      <c r="B19" s="1" t="n">
        <f aca="false">COUNTIF('Risk Scoring'!$B$2:$B$1489,A19)</f>
        <v>22</v>
      </c>
      <c r="C19" s="1" t="n">
        <f aca="false">COUNTIFS('Risk Scoring'!$B$2:$B$1489,A19,'Risk Scoring'!$L$2:$L$1489,"&gt;=1")</f>
        <v>0</v>
      </c>
      <c r="D19" s="1" t="n">
        <f aca="false">COUNTIFS('Risk Scoring'!$B$2:$B$1489,A19,'Risk Scoring'!$M$2:$M$1489,"High")</f>
        <v>0</v>
      </c>
      <c r="E19" s="4" t="n">
        <f aca="false">SUMIFS('Risk Scoring'!$E$2:$E$1489,'Risk Scoring'!$B$2:$B$1489,A19,'Risk Scoring'!$L$2:$L$1489,"&gt;=1")</f>
        <v>0</v>
      </c>
      <c r="F19" s="5" t="n">
        <f aca="false">IFERROR(C19/B19,0)</f>
        <v>0</v>
      </c>
    </row>
    <row r="20" customFormat="false" ht="15" hidden="false" customHeight="true" outlineLevel="0" collapsed="false">
      <c r="A20" s="1" t="s">
        <v>221</v>
      </c>
      <c r="B20" s="1" t="n">
        <f aca="false">COUNTIF('Risk Scoring'!$B$2:$B$1489,A20)</f>
        <v>15</v>
      </c>
      <c r="C20" s="1" t="n">
        <f aca="false">COUNTIFS('Risk Scoring'!$B$2:$B$1489,A20,'Risk Scoring'!$L$2:$L$1489,"&gt;=1")</f>
        <v>0</v>
      </c>
      <c r="D20" s="1" t="n">
        <f aca="false">COUNTIFS('Risk Scoring'!$B$2:$B$1489,A20,'Risk Scoring'!$M$2:$M$1489,"High")</f>
        <v>0</v>
      </c>
      <c r="E20" s="4" t="n">
        <f aca="false">SUMIFS('Risk Scoring'!$E$2:$E$1489,'Risk Scoring'!$B$2:$B$1489,A20,'Risk Scoring'!$L$2:$L$1489,"&gt;=1")</f>
        <v>0</v>
      </c>
      <c r="F20" s="5" t="n">
        <f aca="false">IFERROR(C20/B20,0)</f>
        <v>0</v>
      </c>
    </row>
    <row r="21" customFormat="false" ht="15" hidden="false" customHeight="true" outlineLevel="0" collapsed="false">
      <c r="A21" s="1" t="s">
        <v>137</v>
      </c>
      <c r="B21" s="1" t="n">
        <f aca="false">COUNTIF('Risk Scoring'!$B$2:$B$1489,A21)</f>
        <v>16</v>
      </c>
      <c r="C21" s="1" t="n">
        <f aca="false">COUNTIFS('Risk Scoring'!$B$2:$B$1489,A21,'Risk Scoring'!$L$2:$L$1489,"&gt;=1")</f>
        <v>0</v>
      </c>
      <c r="D21" s="1" t="n">
        <f aca="false">COUNTIFS('Risk Scoring'!$B$2:$B$1489,A21,'Risk Scoring'!$M$2:$M$1489,"High")</f>
        <v>0</v>
      </c>
      <c r="E21" s="4" t="n">
        <f aca="false">SUMIFS('Risk Scoring'!$E$2:$E$1489,'Risk Scoring'!$B$2:$B$1489,A21,'Risk Scoring'!$L$2:$L$1489,"&gt;=1")</f>
        <v>0</v>
      </c>
      <c r="F21" s="5" t="n">
        <f aca="false">IFERROR(C21/B21,0)</f>
        <v>0</v>
      </c>
    </row>
    <row r="22" customFormat="false" ht="15" hidden="false" customHeight="true" outlineLevel="0" collapsed="false">
      <c r="A22" s="1" t="s">
        <v>90</v>
      </c>
      <c r="B22" s="1" t="n">
        <f aca="false">COUNTIF('Risk Scoring'!$B$2:$B$1489,A22)</f>
        <v>21</v>
      </c>
      <c r="C22" s="1" t="n">
        <f aca="false">COUNTIFS('Risk Scoring'!$B$2:$B$1489,A22,'Risk Scoring'!$L$2:$L$1489,"&gt;=1")</f>
        <v>0</v>
      </c>
      <c r="D22" s="1" t="n">
        <f aca="false">COUNTIFS('Risk Scoring'!$B$2:$B$1489,A22,'Risk Scoring'!$M$2:$M$1489,"High")</f>
        <v>0</v>
      </c>
      <c r="E22" s="4" t="n">
        <f aca="false">SUMIFS('Risk Scoring'!$E$2:$E$1489,'Risk Scoring'!$B$2:$B$1489,A22,'Risk Scoring'!$L$2:$L$1489,"&gt;=1")</f>
        <v>0</v>
      </c>
      <c r="F22" s="5" t="n">
        <f aca="false">IFERROR(C22/B22,0)</f>
        <v>0</v>
      </c>
    </row>
    <row r="23" customFormat="false" ht="15" hidden="false" customHeight="true" outlineLevel="0" collapsed="false">
      <c r="A23" s="1" t="s">
        <v>332</v>
      </c>
      <c r="B23" s="1" t="n">
        <f aca="false">COUNTIF('Risk Scoring'!$B$2:$B$1489,A23)</f>
        <v>27</v>
      </c>
      <c r="C23" s="1" t="n">
        <f aca="false">COUNTIFS('Risk Scoring'!$B$2:$B$1489,A23,'Risk Scoring'!$L$2:$L$1489,"&gt;=1")</f>
        <v>1</v>
      </c>
      <c r="D23" s="1" t="n">
        <f aca="false">COUNTIFS('Risk Scoring'!$B$2:$B$1489,A23,'Risk Scoring'!$M$2:$M$1489,"High")</f>
        <v>0</v>
      </c>
      <c r="E23" s="4" t="n">
        <f aca="false">SUMIFS('Risk Scoring'!$E$2:$E$1489,'Risk Scoring'!$B$2:$B$1489,A23,'Risk Scoring'!$L$2:$L$1489,"&gt;=1")</f>
        <v>4414.16</v>
      </c>
      <c r="F23" s="5" t="n">
        <f aca="false">IFERROR(C23/B23,0)</f>
        <v>0.037037037037037</v>
      </c>
    </row>
    <row r="24" customFormat="false" ht="15" hidden="false" customHeight="true" outlineLevel="0" collapsed="false">
      <c r="A24" s="1" t="s">
        <v>240</v>
      </c>
      <c r="B24" s="1" t="n">
        <f aca="false">COUNTIF('Risk Scoring'!$B$2:$B$1489,A24)</f>
        <v>21</v>
      </c>
      <c r="C24" s="1" t="n">
        <f aca="false">COUNTIFS('Risk Scoring'!$B$2:$B$1489,A24,'Risk Scoring'!$L$2:$L$1489,"&gt;=1")</f>
        <v>0</v>
      </c>
      <c r="D24" s="1" t="n">
        <f aca="false">COUNTIFS('Risk Scoring'!$B$2:$B$1489,A24,'Risk Scoring'!$M$2:$M$1489,"High")</f>
        <v>0</v>
      </c>
      <c r="E24" s="4" t="n">
        <f aca="false">SUMIFS('Risk Scoring'!$E$2:$E$1489,'Risk Scoring'!$B$2:$B$1489,A24,'Risk Scoring'!$L$2:$L$1489,"&gt;=1")</f>
        <v>0</v>
      </c>
      <c r="F24" s="5" t="n">
        <f aca="false">IFERROR(C24/B24,0)</f>
        <v>0</v>
      </c>
    </row>
    <row r="25" customFormat="false" ht="15" hidden="false" customHeight="true" outlineLevel="0" collapsed="false">
      <c r="A25" s="1" t="s">
        <v>140</v>
      </c>
      <c r="B25" s="1" t="n">
        <f aca="false">COUNTIF('Risk Scoring'!$B$2:$B$1489,A25)</f>
        <v>41</v>
      </c>
      <c r="C25" s="1" t="n">
        <f aca="false">COUNTIFS('Risk Scoring'!$B$2:$B$1489,A25,'Risk Scoring'!$L$2:$L$1489,"&gt;=1")</f>
        <v>12</v>
      </c>
      <c r="D25" s="1" t="n">
        <f aca="false">COUNTIFS('Risk Scoring'!$B$2:$B$1489,A25,'Risk Scoring'!$M$2:$M$1489,"High")</f>
        <v>0</v>
      </c>
      <c r="E25" s="4" t="n">
        <f aca="false">SUMIFS('Risk Scoring'!$E$2:$E$1489,'Risk Scoring'!$B$2:$B$1489,A25,'Risk Scoring'!$L$2:$L$1489,"&gt;=1")</f>
        <v>7006.85</v>
      </c>
      <c r="F25" s="5" t="n">
        <f aca="false">IFERROR(C25/B25,0)</f>
        <v>0.292682926829268</v>
      </c>
    </row>
    <row r="26" customFormat="false" ht="15" hidden="false" customHeight="true" outlineLevel="0" collapsed="false">
      <c r="A26" s="1" t="s">
        <v>54</v>
      </c>
      <c r="B26" s="1" t="n">
        <f aca="false">COUNTIF('Risk Scoring'!$B$2:$B$1489,A26)</f>
        <v>30</v>
      </c>
      <c r="C26" s="1" t="n">
        <f aca="false">COUNTIFS('Risk Scoring'!$B$2:$B$1489,A26,'Risk Scoring'!$L$2:$L$1489,"&gt;=1")</f>
        <v>30</v>
      </c>
      <c r="D26" s="1" t="n">
        <f aca="false">COUNTIFS('Risk Scoring'!$B$2:$B$1489,A26,'Risk Scoring'!$M$2:$M$1489,"High")</f>
        <v>0</v>
      </c>
      <c r="E26" s="4" t="n">
        <f aca="false">SUMIFS('Risk Scoring'!$E$2:$E$1489,'Risk Scoring'!$B$2:$B$1489,A26,'Risk Scoring'!$L$2:$L$1489,"&gt;=1")</f>
        <v>13515.78</v>
      </c>
      <c r="F26" s="5" t="n">
        <f aca="false">IFERROR(C26/B26,0)</f>
        <v>1</v>
      </c>
    </row>
    <row r="27" customFormat="false" ht="15" hidden="false" customHeight="true" outlineLevel="0" collapsed="false">
      <c r="A27" s="1" t="s">
        <v>162</v>
      </c>
      <c r="B27" s="1" t="n">
        <f aca="false">COUNTIF('Risk Scoring'!$B$2:$B$1489,A27)</f>
        <v>25</v>
      </c>
      <c r="C27" s="1" t="n">
        <f aca="false">COUNTIFS('Risk Scoring'!$B$2:$B$1489,A27,'Risk Scoring'!$L$2:$L$1489,"&gt;=1")</f>
        <v>0</v>
      </c>
      <c r="D27" s="1" t="n">
        <f aca="false">COUNTIFS('Risk Scoring'!$B$2:$B$1489,A27,'Risk Scoring'!$M$2:$M$1489,"High")</f>
        <v>0</v>
      </c>
      <c r="E27" s="4" t="n">
        <f aca="false">SUMIFS('Risk Scoring'!$E$2:$E$1489,'Risk Scoring'!$B$2:$B$1489,A27,'Risk Scoring'!$L$2:$L$1489,"&gt;=1")</f>
        <v>0</v>
      </c>
      <c r="F27" s="5" t="n">
        <f aca="false">IFERROR(C27/B27,0)</f>
        <v>0</v>
      </c>
    </row>
    <row r="28" customFormat="false" ht="15" hidden="false" customHeight="true" outlineLevel="0" collapsed="false">
      <c r="A28" s="1" t="s">
        <v>173</v>
      </c>
      <c r="B28" s="1" t="n">
        <f aca="false">COUNTIF('Risk Scoring'!$B$2:$B$1489,A28)</f>
        <v>23</v>
      </c>
      <c r="C28" s="1" t="n">
        <f aca="false">COUNTIFS('Risk Scoring'!$B$2:$B$1489,A28,'Risk Scoring'!$L$2:$L$1489,"&gt;=1")</f>
        <v>1</v>
      </c>
      <c r="D28" s="1" t="n">
        <f aca="false">COUNTIFS('Risk Scoring'!$B$2:$B$1489,A28,'Risk Scoring'!$M$2:$M$1489,"High")</f>
        <v>0</v>
      </c>
      <c r="E28" s="4" t="n">
        <f aca="false">SUMIFS('Risk Scoring'!$E$2:$E$1489,'Risk Scoring'!$B$2:$B$1489,A28,'Risk Scoring'!$L$2:$L$1489,"&gt;=1")</f>
        <v>4210.73</v>
      </c>
      <c r="F28" s="5" t="n">
        <f aca="false">IFERROR(C28/B28,0)</f>
        <v>0.0434782608695652</v>
      </c>
    </row>
    <row r="29" customFormat="false" ht="15" hidden="false" customHeight="true" outlineLevel="0" collapsed="false">
      <c r="A29" s="1" t="s">
        <v>193</v>
      </c>
      <c r="B29" s="1" t="n">
        <f aca="false">COUNTIF('Risk Scoring'!$B$2:$B$1489,A29)</f>
        <v>26</v>
      </c>
      <c r="C29" s="1" t="n">
        <f aca="false">COUNTIFS('Risk Scoring'!$B$2:$B$1489,A29,'Risk Scoring'!$L$2:$L$1489,"&gt;=1")</f>
        <v>0</v>
      </c>
      <c r="D29" s="1" t="n">
        <f aca="false">COUNTIFS('Risk Scoring'!$B$2:$B$1489,A29,'Risk Scoring'!$M$2:$M$1489,"High")</f>
        <v>0</v>
      </c>
      <c r="E29" s="4" t="n">
        <f aca="false">SUMIFS('Risk Scoring'!$E$2:$E$1489,'Risk Scoring'!$B$2:$B$1489,A29,'Risk Scoring'!$L$2:$L$1489,"&gt;=1")</f>
        <v>0</v>
      </c>
      <c r="F29" s="5" t="n">
        <f aca="false">IFERROR(C29/B29,0)</f>
        <v>0</v>
      </c>
    </row>
    <row r="30" customFormat="false" ht="15" hidden="false" customHeight="true" outlineLevel="0" collapsed="false">
      <c r="A30" s="1" t="s">
        <v>113</v>
      </c>
      <c r="B30" s="1" t="n">
        <f aca="false">COUNTIF('Risk Scoring'!$B$2:$B$1489,A30)</f>
        <v>30</v>
      </c>
      <c r="C30" s="1" t="n">
        <f aca="false">COUNTIFS('Risk Scoring'!$B$2:$B$1489,A30,'Risk Scoring'!$L$2:$L$1489,"&gt;=1")</f>
        <v>0</v>
      </c>
      <c r="D30" s="1" t="n">
        <f aca="false">COUNTIFS('Risk Scoring'!$B$2:$B$1489,A30,'Risk Scoring'!$M$2:$M$1489,"High")</f>
        <v>0</v>
      </c>
      <c r="E30" s="4" t="n">
        <f aca="false">SUMIFS('Risk Scoring'!$E$2:$E$1489,'Risk Scoring'!$B$2:$B$1489,A30,'Risk Scoring'!$L$2:$L$1489,"&gt;=1")</f>
        <v>0</v>
      </c>
      <c r="F30" s="5" t="n">
        <f aca="false">IFERROR(C30/B30,0)</f>
        <v>0</v>
      </c>
    </row>
    <row r="31" customFormat="false" ht="15" hidden="false" customHeight="true" outlineLevel="0" collapsed="false">
      <c r="A31" s="1" t="s">
        <v>80</v>
      </c>
      <c r="B31" s="1" t="n">
        <f aca="false">COUNTIF('Risk Scoring'!$B$2:$B$1489,A31)</f>
        <v>26</v>
      </c>
      <c r="C31" s="1" t="n">
        <f aca="false">COUNTIFS('Risk Scoring'!$B$2:$B$1489,A31,'Risk Scoring'!$L$2:$L$1489,"&gt;=1")</f>
        <v>0</v>
      </c>
      <c r="D31" s="1" t="n">
        <f aca="false">COUNTIFS('Risk Scoring'!$B$2:$B$1489,A31,'Risk Scoring'!$M$2:$M$1489,"High")</f>
        <v>0</v>
      </c>
      <c r="E31" s="4" t="n">
        <f aca="false">SUMIFS('Risk Scoring'!$E$2:$E$1489,'Risk Scoring'!$B$2:$B$1489,A31,'Risk Scoring'!$L$2:$L$1489,"&gt;=1")</f>
        <v>0</v>
      </c>
      <c r="F31" s="5" t="n">
        <f aca="false">IFERROR(C31/B31,0)</f>
        <v>0</v>
      </c>
    </row>
    <row r="32" customFormat="false" ht="15" hidden="false" customHeight="true" outlineLevel="0" collapsed="false">
      <c r="A32" s="1" t="s">
        <v>258</v>
      </c>
      <c r="B32" s="1" t="n">
        <f aca="false">COUNTIF('Risk Scoring'!$B$2:$B$1489,A32)</f>
        <v>26</v>
      </c>
      <c r="C32" s="1" t="n">
        <f aca="false">COUNTIFS('Risk Scoring'!$B$2:$B$1489,A32,'Risk Scoring'!$L$2:$L$1489,"&gt;=1")</f>
        <v>26</v>
      </c>
      <c r="D32" s="1" t="n">
        <f aca="false">COUNTIFS('Risk Scoring'!$B$2:$B$1489,A32,'Risk Scoring'!$M$2:$M$1489,"High")</f>
        <v>0</v>
      </c>
      <c r="E32" s="4" t="n">
        <f aca="false">SUMIFS('Risk Scoring'!$E$2:$E$1489,'Risk Scoring'!$B$2:$B$1489,A32,'Risk Scoring'!$L$2:$L$1489,"&gt;=1")</f>
        <v>2498.22</v>
      </c>
      <c r="F32" s="5" t="n">
        <f aca="false">IFERROR(C32/B32,0)</f>
        <v>1</v>
      </c>
    </row>
    <row r="33" customFormat="false" ht="15" hidden="false" customHeight="true" outlineLevel="0" collapsed="false">
      <c r="A33" s="1" t="s">
        <v>125</v>
      </c>
      <c r="B33" s="1" t="n">
        <f aca="false">COUNTIF('Risk Scoring'!$B$2:$B$1489,A33)</f>
        <v>26</v>
      </c>
      <c r="C33" s="1" t="n">
        <f aca="false">COUNTIFS('Risk Scoring'!$B$2:$B$1489,A33,'Risk Scoring'!$L$2:$L$1489,"&gt;=1")</f>
        <v>0</v>
      </c>
      <c r="D33" s="1" t="n">
        <f aca="false">COUNTIFS('Risk Scoring'!$B$2:$B$1489,A33,'Risk Scoring'!$M$2:$M$1489,"High")</f>
        <v>0</v>
      </c>
      <c r="E33" s="4" t="n">
        <f aca="false">SUMIFS('Risk Scoring'!$E$2:$E$1489,'Risk Scoring'!$B$2:$B$1489,A33,'Risk Scoring'!$L$2:$L$1489,"&gt;=1")</f>
        <v>0</v>
      </c>
      <c r="F33" s="5" t="n">
        <f aca="false">IFERROR(C33/B33,0)</f>
        <v>0</v>
      </c>
    </row>
    <row r="34" customFormat="false" ht="15" hidden="false" customHeight="true" outlineLevel="0" collapsed="false">
      <c r="A34" s="1" t="s">
        <v>132</v>
      </c>
      <c r="B34" s="1" t="n">
        <f aca="false">COUNTIF('Risk Scoring'!$B$2:$B$1489,A34)</f>
        <v>15</v>
      </c>
      <c r="C34" s="1" t="n">
        <f aca="false">COUNTIFS('Risk Scoring'!$B$2:$B$1489,A34,'Risk Scoring'!$L$2:$L$1489,"&gt;=1")</f>
        <v>0</v>
      </c>
      <c r="D34" s="1" t="n">
        <f aca="false">COUNTIFS('Risk Scoring'!$B$2:$B$1489,A34,'Risk Scoring'!$M$2:$M$1489,"High")</f>
        <v>0</v>
      </c>
      <c r="E34" s="4" t="n">
        <f aca="false">SUMIFS('Risk Scoring'!$E$2:$E$1489,'Risk Scoring'!$B$2:$B$1489,A34,'Risk Scoring'!$L$2:$L$1489,"&gt;=1")</f>
        <v>0</v>
      </c>
      <c r="F34" s="5" t="n">
        <f aca="false">IFERROR(C34/B34,0)</f>
        <v>0</v>
      </c>
    </row>
    <row r="35" customFormat="false" ht="15" hidden="false" customHeight="true" outlineLevel="0" collapsed="false">
      <c r="A35" s="1" t="s">
        <v>199</v>
      </c>
      <c r="B35" s="1" t="n">
        <f aca="false">COUNTIF('Risk Scoring'!$B$2:$B$1489,A35)</f>
        <v>30</v>
      </c>
      <c r="C35" s="1" t="n">
        <f aca="false">COUNTIFS('Risk Scoring'!$B$2:$B$1489,A35,'Risk Scoring'!$L$2:$L$1489,"&gt;=1")</f>
        <v>0</v>
      </c>
      <c r="D35" s="1" t="n">
        <f aca="false">COUNTIFS('Risk Scoring'!$B$2:$B$1489,A35,'Risk Scoring'!$M$2:$M$1489,"High")</f>
        <v>0</v>
      </c>
      <c r="E35" s="4" t="n">
        <f aca="false">SUMIFS('Risk Scoring'!$E$2:$E$1489,'Risk Scoring'!$B$2:$B$1489,A35,'Risk Scoring'!$L$2:$L$1489,"&gt;=1")</f>
        <v>0</v>
      </c>
      <c r="F35" s="5" t="n">
        <f aca="false">IFERROR(C35/B35,0)</f>
        <v>0</v>
      </c>
    </row>
    <row r="36" customFormat="false" ht="15" hidden="false" customHeight="true" outlineLevel="0" collapsed="false">
      <c r="A36" s="1" t="s">
        <v>167</v>
      </c>
      <c r="B36" s="1" t="n">
        <f aca="false">COUNTIF('Risk Scoring'!$B$2:$B$1489,A36)</f>
        <v>32</v>
      </c>
      <c r="C36" s="1" t="n">
        <f aca="false">COUNTIFS('Risk Scoring'!$B$2:$B$1489,A36,'Risk Scoring'!$L$2:$L$1489,"&gt;=1")</f>
        <v>2</v>
      </c>
      <c r="D36" s="1" t="n">
        <f aca="false">COUNTIFS('Risk Scoring'!$B$2:$B$1489,A36,'Risk Scoring'!$M$2:$M$1489,"High")</f>
        <v>0</v>
      </c>
      <c r="E36" s="4" t="n">
        <f aca="false">SUMIFS('Risk Scoring'!$E$2:$E$1489,'Risk Scoring'!$B$2:$B$1489,A36,'Risk Scoring'!$L$2:$L$1489,"&gt;=1")</f>
        <v>3000</v>
      </c>
      <c r="F36" s="5" t="n">
        <f aca="false">IFERROR(C36/B36,0)</f>
        <v>0.0625</v>
      </c>
    </row>
    <row r="37" customFormat="false" ht="15" hidden="false" customHeight="true" outlineLevel="0" collapsed="false">
      <c r="A37" s="1" t="s">
        <v>145</v>
      </c>
      <c r="B37" s="1" t="n">
        <f aca="false">COUNTIF('Risk Scoring'!$B$2:$B$1489,A37)</f>
        <v>24</v>
      </c>
      <c r="C37" s="1" t="n">
        <f aca="false">COUNTIFS('Risk Scoring'!$B$2:$B$1489,A37,'Risk Scoring'!$L$2:$L$1489,"&gt;=1")</f>
        <v>0</v>
      </c>
      <c r="D37" s="1" t="n">
        <f aca="false">COUNTIFS('Risk Scoring'!$B$2:$B$1489,A37,'Risk Scoring'!$M$2:$M$1489,"High")</f>
        <v>0</v>
      </c>
      <c r="E37" s="4" t="n">
        <f aca="false">SUMIFS('Risk Scoring'!$E$2:$E$1489,'Risk Scoring'!$B$2:$B$1489,A37,'Risk Scoring'!$L$2:$L$1489,"&gt;=1")</f>
        <v>0</v>
      </c>
      <c r="F37" s="5" t="n">
        <f aca="false">IFERROR(C37/B37,0)</f>
        <v>0</v>
      </c>
    </row>
    <row r="38" customFormat="false" ht="15" hidden="false" customHeight="true" outlineLevel="0" collapsed="false">
      <c r="A38" s="1" t="s">
        <v>245</v>
      </c>
      <c r="B38" s="1" t="n">
        <f aca="false">COUNTIF('Risk Scoring'!$B$2:$B$1489,A38)</f>
        <v>15</v>
      </c>
      <c r="C38" s="1" t="n">
        <f aca="false">COUNTIFS('Risk Scoring'!$B$2:$B$1489,A38,'Risk Scoring'!$L$2:$L$1489,"&gt;=1")</f>
        <v>0</v>
      </c>
      <c r="D38" s="1" t="n">
        <f aca="false">COUNTIFS('Risk Scoring'!$B$2:$B$1489,A38,'Risk Scoring'!$M$2:$M$1489,"High")</f>
        <v>0</v>
      </c>
      <c r="E38" s="4" t="n">
        <f aca="false">SUMIFS('Risk Scoring'!$E$2:$E$1489,'Risk Scoring'!$B$2:$B$1489,A38,'Risk Scoring'!$L$2:$L$1489,"&gt;=1")</f>
        <v>0</v>
      </c>
      <c r="F38" s="5" t="n">
        <f aca="false">IFERROR(C38/B38,0)</f>
        <v>0</v>
      </c>
    </row>
    <row r="39" customFormat="false" ht="15" hidden="false" customHeight="true" outlineLevel="0" collapsed="false">
      <c r="A39" s="1" t="s">
        <v>475</v>
      </c>
      <c r="B39" s="1" t="n">
        <f aca="false">COUNTIF('Risk Scoring'!$B$2:$B$1489,A39)</f>
        <v>20</v>
      </c>
      <c r="C39" s="1" t="n">
        <f aca="false">COUNTIFS('Risk Scoring'!$B$2:$B$1489,A39,'Risk Scoring'!$L$2:$L$1489,"&gt;=1")</f>
        <v>20</v>
      </c>
      <c r="D39" s="1" t="n">
        <f aca="false">COUNTIFS('Risk Scoring'!$B$2:$B$1489,A39,'Risk Scoring'!$M$2:$M$1489,"High")</f>
        <v>0</v>
      </c>
      <c r="E39" s="4" t="n">
        <f aca="false">SUMIFS('Risk Scoring'!$E$2:$E$1489,'Risk Scoring'!$B$2:$B$1489,A39,'Risk Scoring'!$L$2:$L$1489,"&gt;=1")</f>
        <v>4543.36</v>
      </c>
      <c r="F39" s="5" t="n">
        <f aca="false">IFERROR(C39/B39,0)</f>
        <v>1</v>
      </c>
    </row>
    <row r="40" customFormat="false" ht="15" hidden="false" customHeight="true" outlineLevel="0" collapsed="false">
      <c r="A40" s="1" t="s">
        <v>31</v>
      </c>
      <c r="B40" s="1" t="n">
        <f aca="false">COUNTIF('Risk Scoring'!$B$2:$B$1489,A40)</f>
        <v>27</v>
      </c>
      <c r="C40" s="1" t="n">
        <f aca="false">COUNTIFS('Risk Scoring'!$B$2:$B$1489,A40,'Risk Scoring'!$L$2:$L$1489,"&gt;=1")</f>
        <v>0</v>
      </c>
      <c r="D40" s="1" t="n">
        <f aca="false">COUNTIFS('Risk Scoring'!$B$2:$B$1489,A40,'Risk Scoring'!$M$2:$M$1489,"High")</f>
        <v>0</v>
      </c>
      <c r="E40" s="4" t="n">
        <f aca="false">SUMIFS('Risk Scoring'!$E$2:$E$1489,'Risk Scoring'!$B$2:$B$1489,A40,'Risk Scoring'!$L$2:$L$1489,"&gt;=1")</f>
        <v>0</v>
      </c>
      <c r="F40" s="5" t="n">
        <f aca="false">IFERROR(C40/B40,0)</f>
        <v>0</v>
      </c>
    </row>
    <row r="41" customFormat="false" ht="15" hidden="false" customHeight="true" outlineLevel="0" collapsed="false">
      <c r="A41" s="1" t="s">
        <v>291</v>
      </c>
      <c r="B41" s="1" t="n">
        <f aca="false">COUNTIF('Risk Scoring'!$B$2:$B$1489,A41)</f>
        <v>27</v>
      </c>
      <c r="C41" s="1" t="n">
        <f aca="false">COUNTIFS('Risk Scoring'!$B$2:$B$1489,A41,'Risk Scoring'!$L$2:$L$1489,"&gt;=1")</f>
        <v>2</v>
      </c>
      <c r="D41" s="1" t="n">
        <f aca="false">COUNTIFS('Risk Scoring'!$B$2:$B$1489,A41,'Risk Scoring'!$M$2:$M$1489,"High")</f>
        <v>0</v>
      </c>
      <c r="E41" s="4" t="n">
        <f aca="false">SUMIFS('Risk Scoring'!$E$2:$E$1489,'Risk Scoring'!$B$2:$B$1489,A41,'Risk Scoring'!$L$2:$L$1489,"&gt;=1")</f>
        <v>4000</v>
      </c>
      <c r="F41" s="5" t="n">
        <f aca="false">IFERROR(C41/B41,0)</f>
        <v>0.0740740740740741</v>
      </c>
    </row>
    <row r="42" customFormat="false" ht="15" hidden="false" customHeight="true" outlineLevel="0" collapsed="false">
      <c r="A42" s="1" t="s">
        <v>228</v>
      </c>
      <c r="B42" s="1" t="n">
        <f aca="false">COUNTIF('Risk Scoring'!$B$2:$B$1489,A42)</f>
        <v>19</v>
      </c>
      <c r="C42" s="1" t="n">
        <f aca="false">COUNTIFS('Risk Scoring'!$B$2:$B$1489,A42,'Risk Scoring'!$L$2:$L$1489,"&gt;=1")</f>
        <v>19</v>
      </c>
      <c r="D42" s="1" t="n">
        <f aca="false">COUNTIFS('Risk Scoring'!$B$2:$B$1489,A42,'Risk Scoring'!$M$2:$M$1489,"High")</f>
        <v>0</v>
      </c>
      <c r="E42" s="4" t="n">
        <f aca="false">SUMIFS('Risk Scoring'!$E$2:$E$1489,'Risk Scoring'!$B$2:$B$1489,A42,'Risk Scoring'!$L$2:$L$1489,"&gt;=1")</f>
        <v>11735.84</v>
      </c>
      <c r="F42" s="5" t="n">
        <f aca="false">IFERROR(C42/B42,0)</f>
        <v>1</v>
      </c>
    </row>
    <row r="43" customFormat="false" ht="15" hidden="false" customHeight="true" outlineLevel="0" collapsed="false">
      <c r="A43" s="1" t="s">
        <v>216</v>
      </c>
      <c r="B43" s="1" t="n">
        <f aca="false">COUNTIF('Risk Scoring'!$B$2:$B$1489,A43)</f>
        <v>18</v>
      </c>
      <c r="C43" s="1" t="n">
        <f aca="false">COUNTIFS('Risk Scoring'!$B$2:$B$1489,A43,'Risk Scoring'!$L$2:$L$1489,"&gt;=1")</f>
        <v>18</v>
      </c>
      <c r="D43" s="1" t="n">
        <f aca="false">COUNTIFS('Risk Scoring'!$B$2:$B$1489,A43,'Risk Scoring'!$M$2:$M$1489,"High")</f>
        <v>0</v>
      </c>
      <c r="E43" s="4" t="n">
        <f aca="false">SUMIFS('Risk Scoring'!$E$2:$E$1489,'Risk Scoring'!$B$2:$B$1489,A43,'Risk Scoring'!$L$2:$L$1489,"&gt;=1")</f>
        <v>9849.37</v>
      </c>
      <c r="F43" s="5" t="n">
        <f aca="false">IFERROR(C43/B43,0)</f>
        <v>1</v>
      </c>
    </row>
    <row r="44" customFormat="false" ht="15" hidden="false" customHeight="true" outlineLevel="0" collapsed="false">
      <c r="A44" s="1" t="s">
        <v>496</v>
      </c>
      <c r="B44" s="1" t="n">
        <f aca="false">COUNTIF('Risk Scoring'!$B$2:$B$1489,A44)</f>
        <v>27</v>
      </c>
      <c r="C44" s="1" t="n">
        <f aca="false">COUNTIFS('Risk Scoring'!$B$2:$B$1489,A44,'Risk Scoring'!$L$2:$L$1489,"&gt;=1")</f>
        <v>27</v>
      </c>
      <c r="D44" s="1" t="n">
        <f aca="false">COUNTIFS('Risk Scoring'!$B$2:$B$1489,A44,'Risk Scoring'!$M$2:$M$1489,"High")</f>
        <v>0</v>
      </c>
      <c r="E44" s="4" t="n">
        <f aca="false">SUMIFS('Risk Scoring'!$E$2:$E$1489,'Risk Scoring'!$B$2:$B$1489,A44,'Risk Scoring'!$L$2:$L$1489,"&gt;=1")</f>
        <v>10367.37</v>
      </c>
      <c r="F44" s="5" t="n">
        <f aca="false">IFERROR(C44/B44,0)</f>
        <v>1</v>
      </c>
    </row>
    <row r="45" customFormat="false" ht="15" hidden="false" customHeight="true" outlineLevel="0" collapsed="false">
      <c r="A45" s="1" t="s">
        <v>659</v>
      </c>
      <c r="B45" s="1" t="n">
        <f aca="false">COUNTIF('Risk Scoring'!$B$2:$B$1489,A45)</f>
        <v>23</v>
      </c>
      <c r="C45" s="1" t="n">
        <f aca="false">COUNTIFS('Risk Scoring'!$B$2:$B$1489,A45,'Risk Scoring'!$L$2:$L$1489,"&gt;=1")</f>
        <v>0</v>
      </c>
      <c r="D45" s="1" t="n">
        <f aca="false">COUNTIFS('Risk Scoring'!$B$2:$B$1489,A45,'Risk Scoring'!$M$2:$M$1489,"High")</f>
        <v>0</v>
      </c>
      <c r="E45" s="4" t="n">
        <f aca="false">SUMIFS('Risk Scoring'!$E$2:$E$1489,'Risk Scoring'!$B$2:$B$1489,A45,'Risk Scoring'!$L$2:$L$1489,"&gt;=1")</f>
        <v>0</v>
      </c>
      <c r="F45" s="5" t="n">
        <f aca="false">IFERROR(C45/B45,0)</f>
        <v>0</v>
      </c>
    </row>
    <row r="46" customFormat="false" ht="15" hidden="false" customHeight="true" outlineLevel="0" collapsed="false">
      <c r="A46" s="1" t="s">
        <v>61</v>
      </c>
      <c r="B46" s="1" t="n">
        <f aca="false">COUNTIF('Risk Scoring'!$B$2:$B$1489,A46)</f>
        <v>26</v>
      </c>
      <c r="C46" s="1" t="n">
        <f aca="false">COUNTIFS('Risk Scoring'!$B$2:$B$1489,A46,'Risk Scoring'!$L$2:$L$1489,"&gt;=1")</f>
        <v>0</v>
      </c>
      <c r="D46" s="1" t="n">
        <f aca="false">COUNTIFS('Risk Scoring'!$B$2:$B$1489,A46,'Risk Scoring'!$M$2:$M$1489,"High")</f>
        <v>0</v>
      </c>
      <c r="E46" s="4" t="n">
        <f aca="false">SUMIFS('Risk Scoring'!$E$2:$E$1489,'Risk Scoring'!$B$2:$B$1489,A46,'Risk Scoring'!$L$2:$L$1489,"&gt;=1")</f>
        <v>0</v>
      </c>
      <c r="F46" s="5" t="n">
        <f aca="false">IFERROR(C46/B46,0)</f>
        <v>0</v>
      </c>
    </row>
    <row r="47" customFormat="false" ht="15" hidden="false" customHeight="true" outlineLevel="0" collapsed="false">
      <c r="A47" s="1" t="s">
        <v>47</v>
      </c>
      <c r="B47" s="1" t="n">
        <f aca="false">COUNTIF('Risk Scoring'!$B$2:$B$1489,A47)</f>
        <v>24</v>
      </c>
      <c r="C47" s="1" t="n">
        <f aca="false">COUNTIFS('Risk Scoring'!$B$2:$B$1489,A47,'Risk Scoring'!$L$2:$L$1489,"&gt;=1")</f>
        <v>0</v>
      </c>
      <c r="D47" s="1" t="n">
        <f aca="false">COUNTIFS('Risk Scoring'!$B$2:$B$1489,A47,'Risk Scoring'!$M$2:$M$1489,"High")</f>
        <v>0</v>
      </c>
      <c r="E47" s="4" t="n">
        <f aca="false">SUMIFS('Risk Scoring'!$E$2:$E$1489,'Risk Scoring'!$B$2:$B$1489,A47,'Risk Scoring'!$L$2:$L$1489,"&gt;=1")</f>
        <v>0</v>
      </c>
      <c r="F47" s="5" t="n">
        <f aca="false">IFERROR(C47/B47,0)</f>
        <v>0</v>
      </c>
    </row>
    <row r="48" customFormat="false" ht="15" hidden="false" customHeight="true" outlineLevel="0" collapsed="false">
      <c r="A48" s="1" t="s">
        <v>75</v>
      </c>
      <c r="B48" s="1" t="n">
        <f aca="false">COUNTIF('Risk Scoring'!$B$2:$B$1489,A48)</f>
        <v>15</v>
      </c>
      <c r="C48" s="1" t="n">
        <f aca="false">COUNTIFS('Risk Scoring'!$B$2:$B$1489,A48,'Risk Scoring'!$L$2:$L$1489,"&gt;=1")</f>
        <v>0</v>
      </c>
      <c r="D48" s="1" t="n">
        <f aca="false">COUNTIFS('Risk Scoring'!$B$2:$B$1489,A48,'Risk Scoring'!$M$2:$M$1489,"High")</f>
        <v>0</v>
      </c>
      <c r="E48" s="4" t="n">
        <f aca="false">SUMIFS('Risk Scoring'!$E$2:$E$1489,'Risk Scoring'!$B$2:$B$1489,A48,'Risk Scoring'!$L$2:$L$1489,"&gt;=1")</f>
        <v>0</v>
      </c>
      <c r="F48" s="5" t="n">
        <f aca="false">IFERROR(C48/B48,0)</f>
        <v>0</v>
      </c>
    </row>
    <row r="49" customFormat="false" ht="15" hidden="false" customHeight="true" outlineLevel="0" collapsed="false">
      <c r="A49" s="1" t="s">
        <v>394</v>
      </c>
      <c r="B49" s="1" t="n">
        <f aca="false">COUNTIF('Risk Scoring'!$B$2:$B$1489,A49)</f>
        <v>20</v>
      </c>
      <c r="C49" s="1" t="n">
        <f aca="false">COUNTIFS('Risk Scoring'!$B$2:$B$1489,A49,'Risk Scoring'!$L$2:$L$1489,"&gt;=1")</f>
        <v>0</v>
      </c>
      <c r="D49" s="1" t="n">
        <f aca="false">COUNTIFS('Risk Scoring'!$B$2:$B$1489,A49,'Risk Scoring'!$M$2:$M$1489,"High")</f>
        <v>0</v>
      </c>
      <c r="E49" s="4" t="n">
        <f aca="false">SUMIFS('Risk Scoring'!$E$2:$E$1489,'Risk Scoring'!$B$2:$B$1489,A49,'Risk Scoring'!$L$2:$L$1489,"&gt;=1")</f>
        <v>0</v>
      </c>
      <c r="F49" s="5" t="n">
        <f aca="false">IFERROR(C49/B49,0)</f>
        <v>0</v>
      </c>
    </row>
    <row r="50" customFormat="false" ht="15" hidden="false" customHeight="true" outlineLevel="0" collapsed="false">
      <c r="A50" s="1" t="s">
        <v>34</v>
      </c>
      <c r="B50" s="1" t="n">
        <f aca="false">COUNTIF('Risk Scoring'!$B$2:$B$1489,A50)</f>
        <v>29</v>
      </c>
      <c r="C50" s="1" t="n">
        <f aca="false">COUNTIFS('Risk Scoring'!$B$2:$B$1489,A50,'Risk Scoring'!$L$2:$L$1489,"&gt;=1")</f>
        <v>5</v>
      </c>
      <c r="D50" s="1" t="n">
        <f aca="false">COUNTIFS('Risk Scoring'!$B$2:$B$1489,A50,'Risk Scoring'!$M$2:$M$1489,"High")</f>
        <v>0</v>
      </c>
      <c r="E50" s="4" t="n">
        <f aca="false">SUMIFS('Risk Scoring'!$E$2:$E$1489,'Risk Scoring'!$B$2:$B$1489,A50,'Risk Scoring'!$L$2:$L$1489,"&gt;=1")</f>
        <v>15242.13</v>
      </c>
      <c r="F50" s="5" t="n">
        <f aca="false">IFERROR(C50/B50,0)</f>
        <v>0.172413793103448</v>
      </c>
    </row>
    <row r="51" customFormat="false" ht="15" hidden="false" customHeight="true" outlineLevel="0" collapsed="false">
      <c r="A51" s="1" t="s">
        <v>72</v>
      </c>
      <c r="B51" s="1" t="n">
        <f aca="false">COUNTIF('Risk Scoring'!$B$2:$B$1489,A51)</f>
        <v>16</v>
      </c>
      <c r="C51" s="1" t="n">
        <f aca="false">COUNTIFS('Risk Scoring'!$B$2:$B$1489,A51,'Risk Scoring'!$L$2:$L$1489,"&gt;=1")</f>
        <v>0</v>
      </c>
      <c r="D51" s="1" t="n">
        <f aca="false">COUNTIFS('Risk Scoring'!$B$2:$B$1489,A51,'Risk Scoring'!$M$2:$M$1489,"High")</f>
        <v>0</v>
      </c>
      <c r="E51" s="4" t="n">
        <f aca="false">SUMIFS('Risk Scoring'!$E$2:$E$1489,'Risk Scoring'!$B$2:$B$1489,A51,'Risk Scoring'!$L$2:$L$1489,"&gt;=1")</f>
        <v>0</v>
      </c>
      <c r="F51" s="5" t="n">
        <f aca="false">IFERROR(C51/B51,0)</f>
        <v>0</v>
      </c>
    </row>
    <row r="52" customFormat="false" ht="15" hidden="false" customHeight="true" outlineLevel="0" collapsed="false">
      <c r="A52" s="1" t="s">
        <v>44</v>
      </c>
      <c r="B52" s="1" t="n">
        <f aca="false">COUNTIF('Risk Scoring'!$B$2:$B$1489,A52)</f>
        <v>26</v>
      </c>
      <c r="C52" s="1" t="n">
        <f aca="false">COUNTIFS('Risk Scoring'!$B$2:$B$1489,A52,'Risk Scoring'!$L$2:$L$1489,"&gt;=1")</f>
        <v>0</v>
      </c>
      <c r="D52" s="1" t="n">
        <f aca="false">COUNTIFS('Risk Scoring'!$B$2:$B$1489,A52,'Risk Scoring'!$M$2:$M$1489,"High")</f>
        <v>0</v>
      </c>
      <c r="E52" s="4" t="n">
        <f aca="false">SUMIFS('Risk Scoring'!$E$2:$E$1489,'Risk Scoring'!$B$2:$B$1489,A52,'Risk Scoring'!$L$2:$L$1489,"&gt;=1")</f>
        <v>0</v>
      </c>
      <c r="F52" s="5" t="n">
        <f aca="false">IFERROR(C52/B52,0)</f>
        <v>0</v>
      </c>
    </row>
    <row r="53" customFormat="false" ht="15" hidden="false" customHeight="true" outlineLevel="0" collapsed="false">
      <c r="A53" s="1" t="s">
        <v>190</v>
      </c>
      <c r="B53" s="1" t="n">
        <f aca="false">COUNTIF('Risk Scoring'!$B$2:$B$1489,A53)</f>
        <v>22</v>
      </c>
      <c r="C53" s="1" t="n">
        <f aca="false">COUNTIFS('Risk Scoring'!$B$2:$B$1489,A53,'Risk Scoring'!$L$2:$L$1489,"&gt;=1")</f>
        <v>0</v>
      </c>
      <c r="D53" s="1" t="n">
        <f aca="false">COUNTIFS('Risk Scoring'!$B$2:$B$1489,A53,'Risk Scoring'!$M$2:$M$1489,"High")</f>
        <v>0</v>
      </c>
      <c r="E53" s="4" t="n">
        <f aca="false">SUMIFS('Risk Scoring'!$E$2:$E$1489,'Risk Scoring'!$B$2:$B$1489,A53,'Risk Scoring'!$L$2:$L$1489,"&gt;=1")</f>
        <v>0</v>
      </c>
      <c r="F53" s="5" t="n">
        <f aca="false">IFERROR(C53/B53,0)</f>
        <v>0</v>
      </c>
    </row>
    <row r="54" customFormat="false" ht="15" hidden="false" customHeight="true" outlineLevel="0" collapsed="false">
      <c r="A54" s="1" t="s">
        <v>93</v>
      </c>
      <c r="B54" s="1" t="n">
        <f aca="false">COUNTIF('Risk Scoring'!$B$2:$B$1489,A54)</f>
        <v>36</v>
      </c>
      <c r="C54" s="1" t="n">
        <f aca="false">COUNTIFS('Risk Scoring'!$B$2:$B$1489,A54,'Risk Scoring'!$L$2:$L$1489,"&gt;=1")</f>
        <v>10</v>
      </c>
      <c r="D54" s="1" t="n">
        <f aca="false">COUNTIFS('Risk Scoring'!$B$2:$B$1489,A54,'Risk Scoring'!$M$2:$M$1489,"High")</f>
        <v>0</v>
      </c>
      <c r="E54" s="4" t="n">
        <f aca="false">SUMIFS('Risk Scoring'!$E$2:$E$1489,'Risk Scoring'!$B$2:$B$1489,A54,'Risk Scoring'!$L$2:$L$1489,"&gt;=1")</f>
        <v>2681.94</v>
      </c>
      <c r="F54" s="5" t="n">
        <f aca="false">IFERROR(C54/B54,0)</f>
        <v>0.277777777777778</v>
      </c>
    </row>
    <row r="55" customFormat="false" ht="15" hidden="false" customHeight="true" outlineLevel="0" collapsed="false">
      <c r="A55" s="1" t="s">
        <v>344</v>
      </c>
      <c r="B55" s="1" t="n">
        <f aca="false">COUNTIF('Risk Scoring'!$B$2:$B$1489,A55)</f>
        <v>19</v>
      </c>
      <c r="C55" s="1" t="n">
        <f aca="false">COUNTIFS('Risk Scoring'!$B$2:$B$1489,A55,'Risk Scoring'!$L$2:$L$1489,"&gt;=1")</f>
        <v>0</v>
      </c>
      <c r="D55" s="1" t="n">
        <f aca="false">COUNTIFS('Risk Scoring'!$B$2:$B$1489,A55,'Risk Scoring'!$M$2:$M$1489,"High")</f>
        <v>0</v>
      </c>
      <c r="E55" s="4" t="n">
        <f aca="false">SUMIFS('Risk Scoring'!$E$2:$E$1489,'Risk Scoring'!$B$2:$B$1489,A55,'Risk Scoring'!$L$2:$L$1489,"&gt;=1")</f>
        <v>0</v>
      </c>
      <c r="F55" s="5" t="n">
        <f aca="false">IFERROR(C55/B55,0)</f>
        <v>0</v>
      </c>
    </row>
    <row r="56" customFormat="false" ht="15" hidden="false" customHeight="true" outlineLevel="0" collapsed="false">
      <c r="A56" s="1" t="s">
        <v>39</v>
      </c>
      <c r="B56" s="1" t="n">
        <f aca="false">COUNTIF('Risk Scoring'!$B$2:$B$1489,A56)</f>
        <v>27</v>
      </c>
      <c r="C56" s="1" t="n">
        <f aca="false">COUNTIFS('Risk Scoring'!$B$2:$B$1489,A56,'Risk Scoring'!$L$2:$L$1489,"&gt;=1")</f>
        <v>0</v>
      </c>
      <c r="D56" s="1" t="n">
        <f aca="false">COUNTIFS('Risk Scoring'!$B$2:$B$1489,A56,'Risk Scoring'!$M$2:$M$1489,"High")</f>
        <v>0</v>
      </c>
      <c r="E56" s="4" t="n">
        <f aca="false">SUMIFS('Risk Scoring'!$E$2:$E$1489,'Risk Scoring'!$B$2:$B$1489,A56,'Risk Scoring'!$L$2:$L$1489,"&gt;=1")</f>
        <v>0</v>
      </c>
      <c r="F56" s="5" t="n">
        <f aca="false">IFERROR(C56/B56,0)</f>
        <v>0</v>
      </c>
    </row>
    <row r="57" customFormat="false" ht="15" hidden="false" customHeight="true" outlineLevel="0" collapsed="false">
      <c r="A57" s="1" t="s">
        <v>12</v>
      </c>
      <c r="B57" s="1" t="n">
        <f aca="false">COUNTIF('Risk Scoring'!$B$2:$B$1489,A57)</f>
        <v>27</v>
      </c>
      <c r="C57" s="1" t="n">
        <f aca="false">COUNTIFS('Risk Scoring'!$B$2:$B$1489,A57,'Risk Scoring'!$L$2:$L$1489,"&gt;=1")</f>
        <v>27</v>
      </c>
      <c r="D57" s="1" t="n">
        <f aca="false">COUNTIFS('Risk Scoring'!$B$2:$B$1489,A57,'Risk Scoring'!$M$2:$M$1489,"High")</f>
        <v>2</v>
      </c>
      <c r="E57" s="4" t="n">
        <f aca="false">SUMIFS('Risk Scoring'!$E$2:$E$1489,'Risk Scoring'!$B$2:$B$1489,A57,'Risk Scoring'!$L$2:$L$1489,"&gt;=1")</f>
        <v>11430.67</v>
      </c>
      <c r="F57" s="5" t="n">
        <f aca="false">IFERROR(C57/B57,0)</f>
        <v>1</v>
      </c>
    </row>
    <row r="58" customFormat="false" ht="15" hidden="false" customHeight="true" outlineLevel="0" collapsed="false">
      <c r="A58" s="1" t="s">
        <v>196</v>
      </c>
      <c r="B58" s="1" t="n">
        <f aca="false">COUNTIF('Risk Scoring'!$B$2:$B$1489,A58)</f>
        <v>40</v>
      </c>
      <c r="C58" s="1" t="n">
        <f aca="false">COUNTIFS('Risk Scoring'!$B$2:$B$1489,A58,'Risk Scoring'!$L$2:$L$1489,"&gt;=1")</f>
        <v>10</v>
      </c>
      <c r="D58" s="1" t="n">
        <f aca="false">COUNTIFS('Risk Scoring'!$B$2:$B$1489,A58,'Risk Scoring'!$M$2:$M$1489,"High")</f>
        <v>0</v>
      </c>
      <c r="E58" s="4" t="n">
        <f aca="false">SUMIFS('Risk Scoring'!$E$2:$E$1489,'Risk Scoring'!$B$2:$B$1489,A58,'Risk Scoring'!$L$2:$L$1489,"&gt;=1")</f>
        <v>3637.35</v>
      </c>
      <c r="F58" s="5" t="n">
        <f aca="false">IFERROR(C58/B58,0)</f>
        <v>0.25</v>
      </c>
    </row>
    <row r="59" customFormat="false" ht="15" hidden="false" customHeight="true" outlineLevel="0" collapsed="false">
      <c r="A59" s="1" t="s">
        <v>64</v>
      </c>
      <c r="B59" s="1" t="n">
        <f aca="false">COUNTIF('Risk Scoring'!$B$2:$B$1489,A59)</f>
        <v>24</v>
      </c>
      <c r="C59" s="1" t="n">
        <f aca="false">COUNTIFS('Risk Scoring'!$B$2:$B$1489,A59,'Risk Scoring'!$L$2:$L$1489,"&gt;=1")</f>
        <v>24</v>
      </c>
      <c r="D59" s="1" t="n">
        <f aca="false">COUNTIFS('Risk Scoring'!$B$2:$B$1489,A59,'Risk Scoring'!$M$2:$M$1489,"High")</f>
        <v>0</v>
      </c>
      <c r="E59" s="4" t="n">
        <f aca="false">SUMIFS('Risk Scoring'!$E$2:$E$1489,'Risk Scoring'!$B$2:$B$1489,A59,'Risk Scoring'!$L$2:$L$1489,"&gt;=1")</f>
        <v>2725.55</v>
      </c>
      <c r="F59" s="5" t="n">
        <f aca="false">IFERROR(C59/B59,0)</f>
        <v>1</v>
      </c>
    </row>
    <row r="60" customFormat="false" ht="15" hidden="false" customHeight="true" outlineLevel="0" collapsed="false">
      <c r="A60" s="1" t="s">
        <v>302</v>
      </c>
      <c r="B60" s="1" t="n">
        <f aca="false">COUNTIF('Risk Scoring'!$B$2:$B$1489,A60)</f>
        <v>30</v>
      </c>
      <c r="C60" s="1" t="n">
        <f aca="false">COUNTIFS('Risk Scoring'!$B$2:$B$1489,A60,'Risk Scoring'!$L$2:$L$1489,"&gt;=1")</f>
        <v>0</v>
      </c>
      <c r="D60" s="1" t="n">
        <f aca="false">COUNTIFS('Risk Scoring'!$B$2:$B$1489,A60,'Risk Scoring'!$M$2:$M$1489,"High")</f>
        <v>0</v>
      </c>
      <c r="E60" s="4" t="n">
        <f aca="false">SUMIFS('Risk Scoring'!$E$2:$E$1489,'Risk Scoring'!$B$2:$B$1489,A60,'Risk Scoring'!$L$2:$L$1489,"&gt;=1")</f>
        <v>0</v>
      </c>
      <c r="F60" s="5" t="n">
        <f aca="false">IFERROR(C60/B60,0)</f>
        <v>0</v>
      </c>
    </row>
    <row r="61" customFormat="false" ht="15" hidden="false" customHeight="true" outlineLevel="0" collapsed="false">
      <c r="A61" s="1" t="s">
        <v>106</v>
      </c>
      <c r="B61" s="1" t="n">
        <f aca="false">COUNTIF('Risk Scoring'!$B$2:$B$1489,A61)</f>
        <v>23</v>
      </c>
      <c r="C61" s="1" t="n">
        <f aca="false">COUNTIFS('Risk Scoring'!$B$2:$B$1489,A61,'Risk Scoring'!$L$2:$L$1489,"&gt;=1")</f>
        <v>0</v>
      </c>
      <c r="D61" s="1" t="n">
        <f aca="false">COUNTIFS('Risk Scoring'!$B$2:$B$1489,A61,'Risk Scoring'!$M$2:$M$1489,"High")</f>
        <v>0</v>
      </c>
      <c r="E61" s="4" t="n">
        <f aca="false">SUMIFS('Risk Scoring'!$E$2:$E$1489,'Risk Scoring'!$B$2:$B$1489,A61,'Risk Scoring'!$L$2:$L$1489,"&gt;=1")</f>
        <v>0</v>
      </c>
      <c r="F61" s="5" t="n">
        <f aca="false">IFERROR(C61/B61,0)</f>
        <v>0</v>
      </c>
    </row>
  </sheetData>
  <conditionalFormatting sqref="D2:D61">
    <cfRule type="cellIs" priority="2" operator="greaterThanOrEqual" aboveAverage="0" equalAverage="0" bottom="0" percent="0" rank="0" text="" dxfId="0">
      <formula>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4"/>
    <col collapsed="false" customWidth="true" hidden="false" outlineLevel="0" max="4" min="4" style="1" width="17"/>
    <col collapsed="false" customWidth="true" hidden="false" outlineLevel="0" max="5" min="5" style="1" width="13"/>
    <col collapsed="false" customWidth="true" hidden="false" outlineLevel="0" max="6" min="6" style="1" width="4"/>
    <col collapsed="false" customWidth="true" hidden="false" outlineLevel="0" max="7" min="7" style="1" width="12"/>
    <col collapsed="false" customWidth="true" hidden="false" outlineLevel="0" max="8" min="8" style="1" width="13"/>
  </cols>
  <sheetData>
    <row r="1" customFormat="false" ht="19.5" hidden="false" customHeight="true" outlineLevel="0" collapsed="false">
      <c r="A1" s="6" t="s">
        <v>3156</v>
      </c>
      <c r="B1" s="6"/>
      <c r="C1" s="6"/>
      <c r="D1" s="6"/>
      <c r="E1" s="6"/>
      <c r="F1" s="6"/>
      <c r="G1" s="6"/>
      <c r="H1" s="6"/>
    </row>
    <row r="2" customFormat="false" ht="15" hidden="false" customHeight="true" outlineLevel="0" collapsed="false">
      <c r="A2" s="7" t="s">
        <v>3157</v>
      </c>
      <c r="B2" s="7"/>
      <c r="C2" s="7"/>
      <c r="D2" s="7"/>
      <c r="E2" s="7"/>
      <c r="F2" s="7"/>
      <c r="G2" s="7"/>
      <c r="H2" s="7"/>
    </row>
    <row r="4" customFormat="false" ht="15" hidden="false" customHeight="true" outlineLevel="0" collapsed="false">
      <c r="A4" s="8" t="s">
        <v>3158</v>
      </c>
    </row>
    <row r="5" customFormat="false" ht="15" hidden="false" customHeight="true" outlineLevel="0" collapsed="false">
      <c r="A5" s="2" t="s">
        <v>3150</v>
      </c>
      <c r="B5" s="2" t="s">
        <v>3159</v>
      </c>
      <c r="D5" s="9" t="s">
        <v>6</v>
      </c>
      <c r="E5" s="9" t="s">
        <v>3160</v>
      </c>
      <c r="G5" s="9" t="s">
        <v>8</v>
      </c>
      <c r="H5" s="9" t="s">
        <v>3160</v>
      </c>
    </row>
    <row r="6" customFormat="false" ht="15" hidden="false" customHeight="true" outlineLevel="0" collapsed="false">
      <c r="A6" s="1" t="s">
        <v>3161</v>
      </c>
      <c r="B6" s="1" t="n">
        <f aca="false">COUNTIF('Risk Scoring'!$M$2:$M$1489,A6)</f>
        <v>13</v>
      </c>
      <c r="D6" s="1" t="s">
        <v>82</v>
      </c>
      <c r="E6" s="1" t="n">
        <f aca="false">COUNTIFS('Risk Scoring'!$G$2:$G$1489,D6,'Risk Scoring'!$L$2:$L$1489,"&gt;=1")</f>
        <v>50</v>
      </c>
      <c r="G6" s="1" t="s">
        <v>18</v>
      </c>
      <c r="H6" s="1" t="n">
        <f aca="false">COUNTIFS('Risk Scoring'!$C$2:$C$1489,G6,'Risk Scoring'!$L$2:$L$1489,"&gt;=1")</f>
        <v>5</v>
      </c>
    </row>
    <row r="7" customFormat="false" ht="15" hidden="false" customHeight="true" outlineLevel="0" collapsed="false">
      <c r="A7" s="1" t="s">
        <v>3162</v>
      </c>
      <c r="B7" s="1" t="n">
        <f aca="false">COUNTIF('Risk Scoring'!$M$2:$M$1489,A7)</f>
        <v>429</v>
      </c>
      <c r="D7" s="1" t="s">
        <v>70</v>
      </c>
      <c r="E7" s="1" t="n">
        <f aca="false">COUNTIFS('Risk Scoring'!$G$2:$G$1489,D7,'Risk Scoring'!$L$2:$L$1489,"&gt;=1")</f>
        <v>40</v>
      </c>
      <c r="G7" s="1" t="s">
        <v>66</v>
      </c>
      <c r="H7" s="1" t="n">
        <f aca="false">COUNTIFS('Risk Scoring'!$C$2:$C$1489,G7,'Risk Scoring'!$L$2:$L$1489,"&gt;=1")</f>
        <v>4</v>
      </c>
    </row>
    <row r="8" customFormat="false" ht="15" hidden="false" customHeight="true" outlineLevel="0" collapsed="false">
      <c r="A8" s="1" t="s">
        <v>3163</v>
      </c>
      <c r="B8" s="1" t="n">
        <f aca="false">COUNTIF('Risk Scoring'!$M$2:$M$1489,A8)</f>
        <v>1046</v>
      </c>
      <c r="D8" s="1" t="s">
        <v>16</v>
      </c>
      <c r="E8" s="1" t="n">
        <f aca="false">COUNTIFS('Risk Scoring'!$G$2:$G$1489,D8,'Risk Scoring'!$L$2:$L$1489,"&gt;=1")</f>
        <v>40</v>
      </c>
      <c r="G8" s="1" t="s">
        <v>122</v>
      </c>
      <c r="H8" s="1" t="n">
        <f aca="false">COUNTIFS('Risk Scoring'!$C$2:$C$1489,G8,'Risk Scoring'!$L$2:$L$1489,"&gt;=1")</f>
        <v>1</v>
      </c>
    </row>
    <row r="9" customFormat="false" ht="15" hidden="false" customHeight="true" outlineLevel="0" collapsed="false">
      <c r="D9" s="1" t="s">
        <v>86</v>
      </c>
      <c r="E9" s="1" t="n">
        <f aca="false">COUNTIFS('Risk Scoring'!$G$2:$G$1489,D9,'Risk Scoring'!$L$2:$L$1489,"&gt;=1")</f>
        <v>96</v>
      </c>
      <c r="G9" s="1" t="s">
        <v>150</v>
      </c>
      <c r="H9" s="1" t="n">
        <f aca="false">COUNTIFS('Risk Scoring'!$C$2:$C$1489,G9,'Risk Scoring'!$L$2:$L$1489,"&gt;=1")</f>
        <v>3</v>
      </c>
    </row>
    <row r="10" customFormat="false" ht="15" hidden="false" customHeight="true" outlineLevel="0" collapsed="false">
      <c r="D10" s="1" t="s">
        <v>42</v>
      </c>
      <c r="E10" s="1" t="n">
        <f aca="false">COUNTIFS('Risk Scoring'!$G$2:$G$1489,D10,'Risk Scoring'!$L$2:$L$1489,"&gt;=1")</f>
        <v>48</v>
      </c>
      <c r="G10" s="1" t="s">
        <v>185</v>
      </c>
      <c r="H10" s="1" t="n">
        <f aca="false">COUNTIFS('Risk Scoring'!$C$2:$C$1489,G10,'Risk Scoring'!$L$2:$L$1489,"&gt;=1")</f>
        <v>3</v>
      </c>
    </row>
    <row r="11" customFormat="false" ht="15" hidden="false" customHeight="true" outlineLevel="0" collapsed="false">
      <c r="D11" s="1" t="s">
        <v>36</v>
      </c>
      <c r="E11" s="1" t="n">
        <f aca="false">COUNTIFS('Risk Scoring'!$G$2:$G$1489,D11,'Risk Scoring'!$L$2:$L$1489,"&gt;=1")</f>
        <v>45</v>
      </c>
      <c r="G11" s="1" t="s">
        <v>218</v>
      </c>
      <c r="H11" s="1" t="n">
        <f aca="false">COUNTIFS('Risk Scoring'!$C$2:$C$1489,G11,'Risk Scoring'!$L$2:$L$1489,"&gt;=1")</f>
        <v>4</v>
      </c>
    </row>
    <row r="12" customFormat="false" ht="15" hidden="false" customHeight="true" outlineLevel="0" collapsed="false">
      <c r="D12" s="1" t="s">
        <v>29</v>
      </c>
      <c r="E12" s="1" t="n">
        <f aca="false">COUNTIFS('Risk Scoring'!$G$2:$G$1489,D12,'Risk Scoring'!$L$2:$L$1489,"&gt;=1")</f>
        <v>47</v>
      </c>
      <c r="G12" s="1" t="s">
        <v>262</v>
      </c>
      <c r="H12" s="1" t="n">
        <f aca="false">COUNTIFS('Risk Scoring'!$C$2:$C$1489,G12,'Risk Scoring'!$L$2:$L$1489,"&gt;=1")</f>
        <v>7</v>
      </c>
    </row>
    <row r="13" customFormat="false" ht="15" hidden="false" customHeight="true" outlineLevel="0" collapsed="false">
      <c r="D13" s="1" t="s">
        <v>23</v>
      </c>
      <c r="E13" s="1" t="n">
        <f aca="false">COUNTIFS('Risk Scoring'!$G$2:$G$1489,D13,'Risk Scoring'!$L$2:$L$1489,"&gt;=1")</f>
        <v>76</v>
      </c>
      <c r="G13" s="1" t="s">
        <v>311</v>
      </c>
      <c r="H13" s="1" t="n">
        <f aca="false">COUNTIFS('Risk Scoring'!$C$2:$C$1489,G13,'Risk Scoring'!$L$2:$L$1489,"&gt;=1")</f>
        <v>0</v>
      </c>
    </row>
    <row r="14" customFormat="false" ht="15" hidden="false" customHeight="true" outlineLevel="0" collapsed="false">
      <c r="G14" s="1" t="s">
        <v>340</v>
      </c>
      <c r="H14" s="1" t="n">
        <f aca="false">COUNTIFS('Risk Scoring'!$C$2:$C$1489,G14,'Risk Scoring'!$L$2:$L$1489,"&gt;=1")</f>
        <v>6</v>
      </c>
    </row>
    <row r="15" customFormat="false" ht="15" hidden="false" customHeight="true" outlineLevel="0" collapsed="false">
      <c r="G15" s="1" t="s">
        <v>364</v>
      </c>
      <c r="H15" s="1" t="n">
        <f aca="false">COUNTIFS('Risk Scoring'!$C$2:$C$1489,G15,'Risk Scoring'!$L$2:$L$1489,"&gt;=1")</f>
        <v>4</v>
      </c>
    </row>
    <row r="16" customFormat="false" ht="15" hidden="false" customHeight="true" outlineLevel="0" collapsed="false">
      <c r="G16" s="1" t="s">
        <v>396</v>
      </c>
      <c r="H16" s="1" t="n">
        <f aca="false">COUNTIFS('Risk Scoring'!$C$2:$C$1489,G16,'Risk Scoring'!$L$2:$L$1489,"&gt;=1")</f>
        <v>6</v>
      </c>
    </row>
    <row r="17" customFormat="false" ht="15" hidden="false" customHeight="true" outlineLevel="0" collapsed="false">
      <c r="G17" s="1" t="s">
        <v>425</v>
      </c>
      <c r="H17" s="1" t="n">
        <f aca="false">COUNTIFS('Risk Scoring'!$C$2:$C$1489,G17,'Risk Scoring'!$L$2:$L$1489,"&gt;=1")</f>
        <v>2</v>
      </c>
    </row>
    <row r="18" customFormat="false" ht="15" hidden="false" customHeight="true" outlineLevel="0" collapsed="false">
      <c r="G18" s="1" t="s">
        <v>453</v>
      </c>
      <c r="H18" s="1" t="n">
        <f aca="false">COUNTIFS('Risk Scoring'!$C$2:$C$1489,G18,'Risk Scoring'!$L$2:$L$1489,"&gt;=1")</f>
        <v>4</v>
      </c>
    </row>
    <row r="19" customFormat="false" ht="15" hidden="false" customHeight="true" outlineLevel="0" collapsed="false">
      <c r="G19" s="1" t="s">
        <v>485</v>
      </c>
      <c r="H19" s="1" t="n">
        <f aca="false">COUNTIFS('Risk Scoring'!$C$2:$C$1489,G19,'Risk Scoring'!$L$2:$L$1489,"&gt;=1")</f>
        <v>5</v>
      </c>
    </row>
    <row r="20" customFormat="false" ht="15" hidden="false" customHeight="true" outlineLevel="0" collapsed="false">
      <c r="G20" s="1" t="s">
        <v>532</v>
      </c>
      <c r="H20" s="1" t="n">
        <f aca="false">COUNTIFS('Risk Scoring'!$C$2:$C$1489,G20,'Risk Scoring'!$L$2:$L$1489,"&gt;=1")</f>
        <v>6</v>
      </c>
    </row>
    <row r="21" customFormat="false" ht="15" hidden="false" customHeight="true" outlineLevel="0" collapsed="false">
      <c r="G21" s="1" t="s">
        <v>573</v>
      </c>
      <c r="H21" s="1" t="n">
        <f aca="false">COUNTIFS('Risk Scoring'!$C$2:$C$1489,G21,'Risk Scoring'!$L$2:$L$1489,"&gt;=1")</f>
        <v>13</v>
      </c>
    </row>
    <row r="22" customFormat="false" ht="15" hidden="false" customHeight="true" outlineLevel="0" collapsed="false">
      <c r="G22" s="1" t="s">
        <v>623</v>
      </c>
      <c r="H22" s="1" t="n">
        <f aca="false">COUNTIFS('Risk Scoring'!$C$2:$C$1489,G22,'Risk Scoring'!$L$2:$L$1489,"&gt;=1")</f>
        <v>5</v>
      </c>
    </row>
    <row r="23" customFormat="false" ht="15" hidden="false" customHeight="true" outlineLevel="0" collapsed="false">
      <c r="G23" s="1" t="s">
        <v>667</v>
      </c>
      <c r="H23" s="1" t="n">
        <f aca="false">COUNTIFS('Risk Scoring'!$C$2:$C$1489,G23,'Risk Scoring'!$L$2:$L$1489,"&gt;=1")</f>
        <v>9</v>
      </c>
    </row>
    <row r="24" customFormat="false" ht="15" hidden="false" customHeight="true" outlineLevel="0" collapsed="false">
      <c r="G24" s="1" t="s">
        <v>708</v>
      </c>
      <c r="H24" s="1" t="n">
        <f aca="false">COUNTIFS('Risk Scoring'!$C$2:$C$1489,G24,'Risk Scoring'!$L$2:$L$1489,"&gt;=1")</f>
        <v>0</v>
      </c>
    </row>
    <row r="25" customFormat="false" ht="15" hidden="false" customHeight="true" outlineLevel="0" collapsed="false">
      <c r="G25" s="1" t="s">
        <v>739</v>
      </c>
      <c r="H25" s="1" t="n">
        <f aca="false">COUNTIFS('Risk Scoring'!$C$2:$C$1489,G25,'Risk Scoring'!$L$2:$L$1489,"&gt;=1")</f>
        <v>5</v>
      </c>
    </row>
    <row r="26" customFormat="false" ht="15" hidden="false" customHeight="true" outlineLevel="0" collapsed="false">
      <c r="G26" s="1" t="s">
        <v>772</v>
      </c>
      <c r="H26" s="1" t="n">
        <f aca="false">COUNTIFS('Risk Scoring'!$C$2:$C$1489,G26,'Risk Scoring'!$L$2:$L$1489,"&gt;=1")</f>
        <v>5</v>
      </c>
    </row>
    <row r="27" customFormat="false" ht="15" hidden="false" customHeight="true" outlineLevel="0" collapsed="false">
      <c r="G27" s="1" t="s">
        <v>803</v>
      </c>
      <c r="H27" s="1" t="n">
        <f aca="false">COUNTIFS('Risk Scoring'!$C$2:$C$1489,G27,'Risk Scoring'!$L$2:$L$1489,"&gt;=1")</f>
        <v>3</v>
      </c>
    </row>
    <row r="28" customFormat="false" ht="15" hidden="false" customHeight="true" outlineLevel="0" collapsed="false">
      <c r="G28" s="1" t="s">
        <v>840</v>
      </c>
      <c r="H28" s="1" t="n">
        <f aca="false">COUNTIFS('Risk Scoring'!$C$2:$C$1489,G28,'Risk Scoring'!$L$2:$L$1489,"&gt;=1")</f>
        <v>3</v>
      </c>
    </row>
    <row r="29" customFormat="false" ht="15" hidden="false" customHeight="true" outlineLevel="0" collapsed="false">
      <c r="G29" s="1" t="s">
        <v>869</v>
      </c>
      <c r="H29" s="1" t="n">
        <f aca="false">COUNTIFS('Risk Scoring'!$C$2:$C$1489,G29,'Risk Scoring'!$L$2:$L$1489,"&gt;=1")</f>
        <v>4</v>
      </c>
    </row>
    <row r="30" customFormat="false" ht="15" hidden="false" customHeight="true" outlineLevel="0" collapsed="false">
      <c r="G30" s="1" t="s">
        <v>898</v>
      </c>
      <c r="H30" s="1" t="n">
        <f aca="false">COUNTIFS('Risk Scoring'!$C$2:$C$1489,G30,'Risk Scoring'!$L$2:$L$1489,"&gt;=1")</f>
        <v>4</v>
      </c>
    </row>
    <row r="31" customFormat="false" ht="15" hidden="false" customHeight="true" outlineLevel="0" collapsed="false">
      <c r="G31" s="1" t="s">
        <v>933</v>
      </c>
      <c r="H31" s="1" t="n">
        <f aca="false">COUNTIFS('Risk Scoring'!$C$2:$C$1489,G31,'Risk Scoring'!$L$2:$L$1489,"&gt;=1")</f>
        <v>6</v>
      </c>
    </row>
    <row r="32" customFormat="false" ht="15" hidden="false" customHeight="true" outlineLevel="0" collapsed="false">
      <c r="G32" s="1" t="s">
        <v>968</v>
      </c>
      <c r="H32" s="1" t="n">
        <f aca="false">COUNTIFS('Risk Scoring'!$C$2:$C$1489,G32,'Risk Scoring'!$L$2:$L$1489,"&gt;=1")</f>
        <v>4</v>
      </c>
    </row>
    <row r="33" customFormat="false" ht="15" hidden="false" customHeight="true" outlineLevel="0" collapsed="false">
      <c r="G33" s="1" t="s">
        <v>995</v>
      </c>
      <c r="H33" s="1" t="n">
        <f aca="false">COUNTIFS('Risk Scoring'!$C$2:$C$1489,G33,'Risk Scoring'!$L$2:$L$1489,"&gt;=1")</f>
        <v>4</v>
      </c>
    </row>
    <row r="34" customFormat="false" ht="15" hidden="false" customHeight="true" outlineLevel="0" collapsed="false">
      <c r="G34" s="1" t="s">
        <v>1022</v>
      </c>
      <c r="H34" s="1" t="n">
        <f aca="false">COUNTIFS('Risk Scoring'!$C$2:$C$1489,G34,'Risk Scoring'!$L$2:$L$1489,"&gt;=1")</f>
        <v>24</v>
      </c>
    </row>
    <row r="35" customFormat="false" ht="15" hidden="false" customHeight="true" outlineLevel="0" collapsed="false">
      <c r="G35" s="1" t="s">
        <v>1083</v>
      </c>
      <c r="H35" s="1" t="n">
        <f aca="false">COUNTIFS('Risk Scoring'!$C$2:$C$1489,G35,'Risk Scoring'!$L$2:$L$1489,"&gt;=1")</f>
        <v>3</v>
      </c>
    </row>
    <row r="36" customFormat="false" ht="15" hidden="false" customHeight="true" outlineLevel="0" collapsed="false">
      <c r="G36" s="1" t="s">
        <v>1108</v>
      </c>
      <c r="H36" s="1" t="n">
        <f aca="false">COUNTIFS('Risk Scoring'!$C$2:$C$1489,G36,'Risk Scoring'!$L$2:$L$1489,"&gt;=1")</f>
        <v>5</v>
      </c>
    </row>
    <row r="37" customFormat="false" ht="15" hidden="false" customHeight="true" outlineLevel="0" collapsed="false">
      <c r="G37" s="1" t="s">
        <v>1139</v>
      </c>
      <c r="H37" s="1" t="n">
        <f aca="false">COUNTIFS('Risk Scoring'!$C$2:$C$1489,G37,'Risk Scoring'!$L$2:$L$1489,"&gt;=1")</f>
        <v>2</v>
      </c>
    </row>
    <row r="38" customFormat="false" ht="15" hidden="false" customHeight="true" outlineLevel="0" collapsed="false">
      <c r="G38" s="1" t="s">
        <v>1164</v>
      </c>
      <c r="H38" s="1" t="n">
        <f aca="false">COUNTIFS('Risk Scoring'!$C$2:$C$1489,G38,'Risk Scoring'!$L$2:$L$1489,"&gt;=1")</f>
        <v>4</v>
      </c>
    </row>
    <row r="39" customFormat="false" ht="15" hidden="false" customHeight="true" outlineLevel="0" collapsed="false">
      <c r="G39" s="1" t="s">
        <v>1196</v>
      </c>
      <c r="H39" s="1" t="n">
        <f aca="false">COUNTIFS('Risk Scoring'!$C$2:$C$1489,G39,'Risk Scoring'!$L$2:$L$1489,"&gt;=1")</f>
        <v>4</v>
      </c>
    </row>
    <row r="40" customFormat="false" ht="15" hidden="false" customHeight="true" outlineLevel="0" collapsed="false">
      <c r="G40" s="1" t="s">
        <v>1222</v>
      </c>
      <c r="H40" s="1" t="n">
        <f aca="false">COUNTIFS('Risk Scoring'!$C$2:$C$1489,G40,'Risk Scoring'!$L$2:$L$1489,"&gt;=1")</f>
        <v>4</v>
      </c>
    </row>
    <row r="41" customFormat="false" ht="15" hidden="false" customHeight="true" outlineLevel="0" collapsed="false">
      <c r="G41" s="1" t="s">
        <v>1245</v>
      </c>
      <c r="H41" s="1" t="n">
        <f aca="false">COUNTIFS('Risk Scoring'!$C$2:$C$1489,G41,'Risk Scoring'!$L$2:$L$1489,"&gt;=1")</f>
        <v>3</v>
      </c>
    </row>
    <row r="42" customFormat="false" ht="15" hidden="false" customHeight="true" outlineLevel="0" collapsed="false">
      <c r="G42" s="1" t="s">
        <v>1266</v>
      </c>
      <c r="H42" s="1" t="n">
        <f aca="false">COUNTIFS('Risk Scoring'!$C$2:$C$1489,G42,'Risk Scoring'!$L$2:$L$1489,"&gt;=1")</f>
        <v>5</v>
      </c>
    </row>
    <row r="43" customFormat="false" ht="15" hidden="false" customHeight="true" outlineLevel="0" collapsed="false">
      <c r="G43" s="1" t="s">
        <v>1303</v>
      </c>
      <c r="H43" s="1" t="n">
        <f aca="false">COUNTIFS('Risk Scoring'!$C$2:$C$1489,G43,'Risk Scoring'!$L$2:$L$1489,"&gt;=1")</f>
        <v>6</v>
      </c>
    </row>
    <row r="44" customFormat="false" ht="15" hidden="false" customHeight="true" outlineLevel="0" collapsed="false">
      <c r="G44" s="1" t="s">
        <v>1330</v>
      </c>
      <c r="H44" s="1" t="n">
        <f aca="false">COUNTIFS('Risk Scoring'!$C$2:$C$1489,G44,'Risk Scoring'!$L$2:$L$1489,"&gt;=1")</f>
        <v>1</v>
      </c>
    </row>
    <row r="45" customFormat="false" ht="15" hidden="false" customHeight="true" outlineLevel="0" collapsed="false">
      <c r="G45" s="1" t="s">
        <v>1357</v>
      </c>
      <c r="H45" s="1" t="n">
        <f aca="false">COUNTIFS('Risk Scoring'!$C$2:$C$1489,G45,'Risk Scoring'!$L$2:$L$1489,"&gt;=1")</f>
        <v>5</v>
      </c>
    </row>
    <row r="46" customFormat="false" ht="15" hidden="false" customHeight="true" outlineLevel="0" collapsed="false">
      <c r="G46" s="1" t="s">
        <v>1388</v>
      </c>
      <c r="H46" s="1" t="n">
        <f aca="false">COUNTIFS('Risk Scoring'!$C$2:$C$1489,G46,'Risk Scoring'!$L$2:$L$1489,"&gt;=1")</f>
        <v>11</v>
      </c>
    </row>
    <row r="47" customFormat="false" ht="15" hidden="false" customHeight="true" outlineLevel="0" collapsed="false">
      <c r="G47" s="1" t="s">
        <v>1445</v>
      </c>
      <c r="H47" s="1" t="n">
        <f aca="false">COUNTIFS('Risk Scoring'!$C$2:$C$1489,G47,'Risk Scoring'!$L$2:$L$1489,"&gt;=1")</f>
        <v>7</v>
      </c>
    </row>
    <row r="48" customFormat="false" ht="15" hidden="false" customHeight="true" outlineLevel="0" collapsed="false">
      <c r="G48" s="1" t="s">
        <v>1480</v>
      </c>
      <c r="H48" s="1" t="n">
        <f aca="false">COUNTIFS('Risk Scoring'!$C$2:$C$1489,G48,'Risk Scoring'!$L$2:$L$1489,"&gt;=1")</f>
        <v>6</v>
      </c>
    </row>
    <row r="49" customFormat="false" ht="15" hidden="false" customHeight="true" outlineLevel="0" collapsed="false">
      <c r="G49" s="1" t="s">
        <v>1513</v>
      </c>
      <c r="H49" s="1" t="n">
        <f aca="false">COUNTIFS('Risk Scoring'!$C$2:$C$1489,G49,'Risk Scoring'!$L$2:$L$1489,"&gt;=1")</f>
        <v>7</v>
      </c>
    </row>
    <row r="50" customFormat="false" ht="15" hidden="false" customHeight="true" outlineLevel="0" collapsed="false">
      <c r="G50" s="1" t="s">
        <v>1548</v>
      </c>
      <c r="H50" s="1" t="n">
        <f aca="false">COUNTIFS('Risk Scoring'!$C$2:$C$1489,G50,'Risk Scoring'!$L$2:$L$1489,"&gt;=1")</f>
        <v>5</v>
      </c>
    </row>
    <row r="51" customFormat="false" ht="15" hidden="false" customHeight="true" outlineLevel="0" collapsed="false">
      <c r="G51" s="1" t="s">
        <v>1585</v>
      </c>
      <c r="H51" s="1" t="n">
        <f aca="false">COUNTIFS('Risk Scoring'!$C$2:$C$1489,G51,'Risk Scoring'!$L$2:$L$1489,"&gt;=1")</f>
        <v>3</v>
      </c>
    </row>
    <row r="52" customFormat="false" ht="15" hidden="false" customHeight="true" outlineLevel="0" collapsed="false">
      <c r="G52" s="1" t="s">
        <v>1612</v>
      </c>
      <c r="H52" s="1" t="n">
        <f aca="false">COUNTIFS('Risk Scoring'!$C$2:$C$1489,G52,'Risk Scoring'!$L$2:$L$1489,"&gt;=1")</f>
        <v>3</v>
      </c>
    </row>
    <row r="53" customFormat="false" ht="15" hidden="false" customHeight="true" outlineLevel="0" collapsed="false">
      <c r="G53" s="1" t="s">
        <v>1643</v>
      </c>
      <c r="H53" s="1" t="n">
        <f aca="false">COUNTIFS('Risk Scoring'!$C$2:$C$1489,G53,'Risk Scoring'!$L$2:$L$1489,"&gt;=1")</f>
        <v>10</v>
      </c>
    </row>
    <row r="54" customFormat="false" ht="15" hidden="false" customHeight="true" outlineLevel="0" collapsed="false">
      <c r="G54" s="1" t="s">
        <v>1695</v>
      </c>
      <c r="H54" s="1" t="n">
        <f aca="false">COUNTIFS('Risk Scoring'!$C$2:$C$1489,G54,'Risk Scoring'!$L$2:$L$1489,"&gt;=1")</f>
        <v>5</v>
      </c>
    </row>
    <row r="55" customFormat="false" ht="15" hidden="false" customHeight="true" outlineLevel="0" collapsed="false">
      <c r="G55" s="1" t="s">
        <v>1730</v>
      </c>
      <c r="H55" s="1" t="n">
        <f aca="false">COUNTIFS('Risk Scoring'!$C$2:$C$1489,G55,'Risk Scoring'!$L$2:$L$1489,"&gt;=1")</f>
        <v>3</v>
      </c>
    </row>
    <row r="56" customFormat="false" ht="15" hidden="false" customHeight="true" outlineLevel="0" collapsed="false">
      <c r="G56" s="1" t="s">
        <v>1763</v>
      </c>
      <c r="H56" s="1" t="n">
        <f aca="false">COUNTIFS('Risk Scoring'!$C$2:$C$1489,G56,'Risk Scoring'!$L$2:$L$1489,"&gt;=1")</f>
        <v>2</v>
      </c>
    </row>
    <row r="57" customFormat="false" ht="15" hidden="false" customHeight="true" outlineLevel="0" collapsed="false">
      <c r="G57" s="1" t="s">
        <v>1790</v>
      </c>
      <c r="H57" s="1" t="n">
        <f aca="false">COUNTIFS('Risk Scoring'!$C$2:$C$1489,G57,'Risk Scoring'!$L$2:$L$1489,"&gt;=1")</f>
        <v>2</v>
      </c>
    </row>
    <row r="58" customFormat="false" ht="15" hidden="false" customHeight="true" outlineLevel="0" collapsed="false">
      <c r="G58" s="1" t="s">
        <v>1816</v>
      </c>
      <c r="H58" s="1" t="n">
        <f aca="false">COUNTIFS('Risk Scoring'!$C$2:$C$1489,G58,'Risk Scoring'!$L$2:$L$1489,"&gt;=1")</f>
        <v>3</v>
      </c>
    </row>
    <row r="59" customFormat="false" ht="15" hidden="false" customHeight="true" outlineLevel="0" collapsed="false">
      <c r="G59" s="1" t="s">
        <v>1855</v>
      </c>
      <c r="H59" s="1" t="n">
        <f aca="false">COUNTIFS('Risk Scoring'!$C$2:$C$1489,G59,'Risk Scoring'!$L$2:$L$1489,"&gt;=1")</f>
        <v>18</v>
      </c>
    </row>
    <row r="60" customFormat="false" ht="15" hidden="false" customHeight="true" outlineLevel="0" collapsed="false">
      <c r="G60" s="1" t="s">
        <v>1910</v>
      </c>
      <c r="H60" s="1" t="n">
        <f aca="false">COUNTIFS('Risk Scoring'!$C$2:$C$1489,G60,'Risk Scoring'!$L$2:$L$1489,"&gt;=1")</f>
        <v>4</v>
      </c>
    </row>
    <row r="61" customFormat="false" ht="15" hidden="false" customHeight="true" outlineLevel="0" collapsed="false">
      <c r="G61" s="1" t="s">
        <v>1931</v>
      </c>
      <c r="H61" s="1" t="n">
        <f aca="false">COUNTIFS('Risk Scoring'!$C$2:$C$1489,G61,'Risk Scoring'!$L$2:$L$1489,"&gt;=1")</f>
        <v>7</v>
      </c>
    </row>
    <row r="62" customFormat="false" ht="15" hidden="false" customHeight="true" outlineLevel="0" collapsed="false">
      <c r="G62" s="1" t="s">
        <v>1968</v>
      </c>
      <c r="H62" s="1" t="n">
        <f aca="false">COUNTIFS('Risk Scoring'!$C$2:$C$1489,G62,'Risk Scoring'!$L$2:$L$1489,"&gt;=1")</f>
        <v>9</v>
      </c>
    </row>
    <row r="63" customFormat="false" ht="15" hidden="false" customHeight="true" outlineLevel="0" collapsed="false">
      <c r="G63" s="1" t="s">
        <v>2009</v>
      </c>
      <c r="H63" s="1" t="n">
        <f aca="false">COUNTIFS('Risk Scoring'!$C$2:$C$1489,G63,'Risk Scoring'!$L$2:$L$1489,"&gt;=1")</f>
        <v>3</v>
      </c>
    </row>
    <row r="64" customFormat="false" ht="15" hidden="false" customHeight="true" outlineLevel="0" collapsed="false">
      <c r="G64" s="1" t="s">
        <v>2044</v>
      </c>
      <c r="H64" s="1" t="n">
        <f aca="false">COUNTIFS('Risk Scoring'!$C$2:$C$1489,G64,'Risk Scoring'!$L$2:$L$1489,"&gt;=1")</f>
        <v>1</v>
      </c>
    </row>
    <row r="65" customFormat="false" ht="15" hidden="false" customHeight="true" outlineLevel="0" collapsed="false">
      <c r="G65" s="1" t="s">
        <v>2073</v>
      </c>
      <c r="H65" s="1" t="n">
        <f aca="false">COUNTIFS('Risk Scoring'!$C$2:$C$1489,G65,'Risk Scoring'!$L$2:$L$1489,"&gt;=1")</f>
        <v>5</v>
      </c>
    </row>
    <row r="66" customFormat="false" ht="15" hidden="false" customHeight="true" outlineLevel="0" collapsed="false">
      <c r="G66" s="1" t="s">
        <v>2099</v>
      </c>
      <c r="H66" s="1" t="n">
        <f aca="false">COUNTIFS('Risk Scoring'!$C$2:$C$1489,G66,'Risk Scoring'!$L$2:$L$1489,"&gt;=1")</f>
        <v>3</v>
      </c>
    </row>
    <row r="67" customFormat="false" ht="15" hidden="false" customHeight="true" outlineLevel="0" collapsed="false">
      <c r="G67" s="1" t="s">
        <v>2132</v>
      </c>
      <c r="H67" s="1" t="n">
        <f aca="false">COUNTIFS('Risk Scoring'!$C$2:$C$1489,G67,'Risk Scoring'!$L$2:$L$1489,"&gt;=1")</f>
        <v>2</v>
      </c>
    </row>
    <row r="68" customFormat="false" ht="15" hidden="false" customHeight="true" outlineLevel="0" collapsed="false">
      <c r="G68" s="1" t="s">
        <v>2166</v>
      </c>
      <c r="H68" s="1" t="n">
        <f aca="false">COUNTIFS('Risk Scoring'!$C$2:$C$1489,G68,'Risk Scoring'!$L$2:$L$1489,"&gt;=1")</f>
        <v>1</v>
      </c>
    </row>
    <row r="69" customFormat="false" ht="15" hidden="false" customHeight="true" outlineLevel="0" collapsed="false">
      <c r="G69" s="1" t="s">
        <v>2199</v>
      </c>
      <c r="H69" s="1" t="n">
        <f aca="false">COUNTIFS('Risk Scoring'!$C$2:$C$1489,G69,'Risk Scoring'!$L$2:$L$1489,"&gt;=1")</f>
        <v>3</v>
      </c>
    </row>
    <row r="70" customFormat="false" ht="15" hidden="false" customHeight="true" outlineLevel="0" collapsed="false">
      <c r="G70" s="1" t="s">
        <v>2226</v>
      </c>
      <c r="H70" s="1" t="n">
        <f aca="false">COUNTIFS('Risk Scoring'!$C$2:$C$1489,G70,'Risk Scoring'!$L$2:$L$1489,"&gt;=1")</f>
        <v>3</v>
      </c>
    </row>
    <row r="71" customFormat="false" ht="15" hidden="false" customHeight="true" outlineLevel="0" collapsed="false">
      <c r="G71" s="1" t="s">
        <v>2259</v>
      </c>
      <c r="H71" s="1" t="n">
        <f aca="false">COUNTIFS('Risk Scoring'!$C$2:$C$1489,G71,'Risk Scoring'!$L$2:$L$1489,"&gt;=1")</f>
        <v>3</v>
      </c>
    </row>
    <row r="72" customFormat="false" ht="15" hidden="false" customHeight="true" outlineLevel="0" collapsed="false">
      <c r="G72" s="1" t="s">
        <v>2296</v>
      </c>
      <c r="H72" s="1" t="n">
        <f aca="false">COUNTIFS('Risk Scoring'!$C$2:$C$1489,G72,'Risk Scoring'!$L$2:$L$1489,"&gt;=1")</f>
        <v>3</v>
      </c>
    </row>
    <row r="73" customFormat="false" ht="15" hidden="false" customHeight="true" outlineLevel="0" collapsed="false">
      <c r="G73" s="1" t="s">
        <v>2335</v>
      </c>
      <c r="H73" s="1" t="n">
        <f aca="false">COUNTIFS('Risk Scoring'!$C$2:$C$1489,G73,'Risk Scoring'!$L$2:$L$1489,"&gt;=1")</f>
        <v>3</v>
      </c>
    </row>
    <row r="74" customFormat="false" ht="15" hidden="false" customHeight="true" outlineLevel="0" collapsed="false">
      <c r="G74" s="1" t="s">
        <v>2360</v>
      </c>
      <c r="H74" s="1" t="n">
        <f aca="false">COUNTIFS('Risk Scoring'!$C$2:$C$1489,G74,'Risk Scoring'!$L$2:$L$1489,"&gt;=1")</f>
        <v>12</v>
      </c>
    </row>
    <row r="75" customFormat="false" ht="15" hidden="false" customHeight="true" outlineLevel="0" collapsed="false">
      <c r="G75" s="1" t="s">
        <v>2415</v>
      </c>
      <c r="H75" s="1" t="n">
        <f aca="false">COUNTIFS('Risk Scoring'!$C$2:$C$1489,G75,'Risk Scoring'!$L$2:$L$1489,"&gt;=1")</f>
        <v>5</v>
      </c>
    </row>
    <row r="76" customFormat="false" ht="15" hidden="false" customHeight="true" outlineLevel="0" collapsed="false">
      <c r="G76" s="1" t="s">
        <v>2455</v>
      </c>
      <c r="H76" s="1" t="n">
        <f aca="false">COUNTIFS('Risk Scoring'!$C$2:$C$1489,G76,'Risk Scoring'!$L$2:$L$1489,"&gt;=1")</f>
        <v>6</v>
      </c>
    </row>
    <row r="77" customFormat="false" ht="15" hidden="false" customHeight="true" outlineLevel="0" collapsed="false">
      <c r="G77" s="1" t="s">
        <v>2492</v>
      </c>
      <c r="H77" s="1" t="n">
        <f aca="false">COUNTIFS('Risk Scoring'!$C$2:$C$1489,G77,'Risk Scoring'!$L$2:$L$1489,"&gt;=1")</f>
        <v>9</v>
      </c>
    </row>
    <row r="78" customFormat="false" ht="15" hidden="false" customHeight="true" outlineLevel="0" collapsed="false">
      <c r="G78" s="1" t="s">
        <v>2525</v>
      </c>
      <c r="H78" s="1" t="n">
        <f aca="false">COUNTIFS('Risk Scoring'!$C$2:$C$1489,G78,'Risk Scoring'!$L$2:$L$1489,"&gt;=1")</f>
        <v>5</v>
      </c>
    </row>
    <row r="79" customFormat="false" ht="15" hidden="false" customHeight="true" outlineLevel="0" collapsed="false">
      <c r="G79" s="1" t="s">
        <v>2562</v>
      </c>
      <c r="H79" s="1" t="n">
        <f aca="false">COUNTIFS('Risk Scoring'!$C$2:$C$1489,G79,'Risk Scoring'!$L$2:$L$1489,"&gt;=1")</f>
        <v>3</v>
      </c>
    </row>
    <row r="80" customFormat="false" ht="15" hidden="false" customHeight="true" outlineLevel="0" collapsed="false">
      <c r="G80" s="1" t="s">
        <v>2609</v>
      </c>
      <c r="H80" s="1" t="n">
        <f aca="false">COUNTIFS('Risk Scoring'!$C$2:$C$1489,G80,'Risk Scoring'!$L$2:$L$1489,"&gt;=1")</f>
        <v>5</v>
      </c>
    </row>
    <row r="81" customFormat="false" ht="15" hidden="false" customHeight="true" outlineLevel="0" collapsed="false">
      <c r="G81" s="1" t="s">
        <v>2638</v>
      </c>
      <c r="H81" s="1" t="n">
        <f aca="false">COUNTIFS('Risk Scoring'!$C$2:$C$1489,G81,'Risk Scoring'!$L$2:$L$1489,"&gt;=1")</f>
        <v>3</v>
      </c>
    </row>
    <row r="82" customFormat="false" ht="15" hidden="false" customHeight="true" outlineLevel="0" collapsed="false">
      <c r="G82" s="1" t="s">
        <v>2659</v>
      </c>
      <c r="H82" s="1" t="n">
        <f aca="false">COUNTIFS('Risk Scoring'!$C$2:$C$1489,G82,'Risk Scoring'!$L$2:$L$1489,"&gt;=1")</f>
        <v>2</v>
      </c>
    </row>
    <row r="83" customFormat="false" ht="15" hidden="false" customHeight="true" outlineLevel="0" collapsed="false">
      <c r="G83" s="1" t="s">
        <v>2682</v>
      </c>
      <c r="H83" s="1" t="n">
        <f aca="false">COUNTIFS('Risk Scoring'!$C$2:$C$1489,G83,'Risk Scoring'!$L$2:$L$1489,"&gt;=1")</f>
        <v>3</v>
      </c>
    </row>
    <row r="84" customFormat="false" ht="15" hidden="false" customHeight="true" outlineLevel="0" collapsed="false">
      <c r="G84" s="1" t="s">
        <v>2707</v>
      </c>
      <c r="H84" s="1" t="n">
        <f aca="false">COUNTIFS('Risk Scoring'!$C$2:$C$1489,G84,'Risk Scoring'!$L$2:$L$1489,"&gt;=1")</f>
        <v>10</v>
      </c>
    </row>
    <row r="85" customFormat="false" ht="15" hidden="false" customHeight="true" outlineLevel="0" collapsed="false">
      <c r="G85" s="1" t="s">
        <v>2750</v>
      </c>
      <c r="H85" s="1" t="n">
        <f aca="false">COUNTIFS('Risk Scoring'!$C$2:$C$1489,G85,'Risk Scoring'!$L$2:$L$1489,"&gt;=1")</f>
        <v>1</v>
      </c>
    </row>
    <row r="86" customFormat="false" ht="15" hidden="false" customHeight="true" outlineLevel="0" collapsed="false">
      <c r="G86" s="1" t="s">
        <v>2765</v>
      </c>
      <c r="H86" s="1" t="n">
        <f aca="false">COUNTIFS('Risk Scoring'!$C$2:$C$1489,G86,'Risk Scoring'!$L$2:$L$1489,"&gt;=1")</f>
        <v>5</v>
      </c>
    </row>
    <row r="87" customFormat="false" ht="15" hidden="false" customHeight="true" outlineLevel="0" collapsed="false">
      <c r="G87" s="1" t="s">
        <v>2792</v>
      </c>
      <c r="H87" s="1" t="n">
        <f aca="false">COUNTIFS('Risk Scoring'!$C$2:$C$1489,G87,'Risk Scoring'!$L$2:$L$1489,"&gt;=1")</f>
        <v>4</v>
      </c>
    </row>
    <row r="88" customFormat="false" ht="15" hidden="false" customHeight="true" outlineLevel="0" collapsed="false">
      <c r="G88" s="1" t="s">
        <v>2821</v>
      </c>
      <c r="H88" s="1" t="n">
        <f aca="false">COUNTIFS('Risk Scoring'!$C$2:$C$1489,G88,'Risk Scoring'!$L$2:$L$1489,"&gt;=1")</f>
        <v>7</v>
      </c>
    </row>
    <row r="89" customFormat="false" ht="15" hidden="false" customHeight="true" outlineLevel="0" collapsed="false">
      <c r="G89" s="1" t="s">
        <v>2872</v>
      </c>
      <c r="H89" s="1" t="n">
        <f aca="false">COUNTIFS('Risk Scoring'!$C$2:$C$1489,G89,'Risk Scoring'!$L$2:$L$1489,"&gt;=1")</f>
        <v>8</v>
      </c>
    </row>
    <row r="90" customFormat="false" ht="15" hidden="false" customHeight="true" outlineLevel="0" collapsed="false">
      <c r="G90" s="1" t="s">
        <v>2911</v>
      </c>
      <c r="H90" s="1" t="n">
        <f aca="false">COUNTIFS('Risk Scoring'!$C$2:$C$1489,G90,'Risk Scoring'!$L$2:$L$1489,"&gt;=1")</f>
        <v>8</v>
      </c>
    </row>
    <row r="91" customFormat="false" ht="15" hidden="false" customHeight="true" outlineLevel="0" collapsed="false">
      <c r="G91" s="1" t="s">
        <v>2962</v>
      </c>
      <c r="H91" s="1" t="n">
        <f aca="false">COUNTIFS('Risk Scoring'!$C$2:$C$1489,G91,'Risk Scoring'!$L$2:$L$1489,"&gt;=1")</f>
        <v>5</v>
      </c>
    </row>
    <row r="92" customFormat="false" ht="15" hidden="false" customHeight="true" outlineLevel="0" collapsed="false">
      <c r="G92" s="1" t="s">
        <v>2991</v>
      </c>
      <c r="H92" s="1" t="n">
        <f aca="false">COUNTIFS('Risk Scoring'!$C$2:$C$1489,G92,'Risk Scoring'!$L$2:$L$1489,"&gt;=1")</f>
        <v>7</v>
      </c>
    </row>
    <row r="93" customFormat="false" ht="15" hidden="false" customHeight="true" outlineLevel="0" collapsed="false">
      <c r="G93" s="1" t="s">
        <v>3034</v>
      </c>
      <c r="H93" s="1" t="n">
        <f aca="false">COUNTIFS('Risk Scoring'!$C$2:$C$1489,G93,'Risk Scoring'!$L$2:$L$1489,"&gt;=1")</f>
        <v>3</v>
      </c>
    </row>
    <row r="94" customFormat="false" ht="15" hidden="false" customHeight="true" outlineLevel="0" collapsed="false">
      <c r="G94" s="1" t="s">
        <v>3067</v>
      </c>
      <c r="H94" s="1" t="n">
        <f aca="false">COUNTIFS('Risk Scoring'!$C$2:$C$1489,G94,'Risk Scoring'!$L$2:$L$1489,"&gt;=1")</f>
        <v>3</v>
      </c>
    </row>
    <row r="95" customFormat="false" ht="15" hidden="false" customHeight="true" outlineLevel="0" collapsed="false">
      <c r="G95" s="1" t="s">
        <v>3100</v>
      </c>
      <c r="H95" s="1" t="n">
        <f aca="false">COUNTIFS('Risk Scoring'!$C$2:$C$1489,G95,'Risk Scoring'!$L$2:$L$1489,"&gt;=1")</f>
        <v>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2026-08-18T14:17:54Z</dcterms:created>
  <dc:creator>openpyxl</dc:creator>
  <dc:description/>
  <dc:language>en-US</dc:language>
  <cp:lastModifiedBy/>
  <dcterms:modified xsi:type="dcterms:W3CDTF">2026-08-18T23:19:17Z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